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kan\Desktop\xls-m\New folder\"/>
    </mc:Choice>
  </mc:AlternateContent>
  <xr:revisionPtr revIDLastSave="0" documentId="13_ncr:1_{B0BDF6BE-0633-4709-AD22-ED625849413C}" xr6:coauthVersionLast="47" xr6:coauthVersionMax="47" xr10:uidLastSave="{00000000-0000-0000-0000-000000000000}"/>
  <bookViews>
    <workbookView xWindow="-120" yWindow="-120" windowWidth="29040" windowHeight="15720" activeTab="4" xr2:uid="{D973BC7D-B057-4070-AE20-DE503109FEB4}"/>
  </bookViews>
  <sheets>
    <sheet name="الاول مساحة" sheetId="7" r:id="rId1"/>
    <sheet name="الثاني مساحة" sheetId="8" r:id="rId2"/>
    <sheet name="الثالث مساحة" sheetId="9" r:id="rId3"/>
    <sheet name="الرابع مساحة" sheetId="10" r:id="rId4"/>
    <sheet name="الخامس مساحة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0" i="11" l="1"/>
  <c r="Q40" i="11"/>
  <c r="P40" i="11"/>
  <c r="O40" i="11"/>
  <c r="O37" i="11" s="1"/>
  <c r="O41" i="11" s="1"/>
  <c r="N40" i="11"/>
  <c r="N37" i="11" s="1"/>
  <c r="N41" i="11" s="1"/>
  <c r="M40" i="11"/>
  <c r="M37" i="11" s="1"/>
  <c r="M41" i="11" s="1"/>
  <c r="L40" i="11"/>
  <c r="L37" i="11" s="1"/>
  <c r="L41" i="11" s="1"/>
  <c r="K40" i="11"/>
  <c r="J40" i="11"/>
  <c r="I40" i="11"/>
  <c r="I37" i="11" s="1"/>
  <c r="I41" i="11" s="1"/>
  <c r="H40" i="11"/>
  <c r="H37" i="11" s="1"/>
  <c r="H41" i="11" s="1"/>
  <c r="G40" i="11"/>
  <c r="G37" i="11" s="1"/>
  <c r="G41" i="11" s="1"/>
  <c r="F40" i="11"/>
  <c r="F37" i="11" s="1"/>
  <c r="R37" i="11"/>
  <c r="R41" i="11" s="1"/>
  <c r="Q37" i="11"/>
  <c r="Q41" i="11" s="1"/>
  <c r="P37" i="11"/>
  <c r="P41" i="11" s="1"/>
  <c r="K37" i="11"/>
  <c r="K41" i="11" s="1"/>
  <c r="J37" i="11"/>
  <c r="J41" i="11" s="1"/>
  <c r="R35" i="11"/>
  <c r="R32" i="11" s="1"/>
  <c r="R36" i="11" s="1"/>
  <c r="Q35" i="11"/>
  <c r="Q32" i="11" s="1"/>
  <c r="Q36" i="11" s="1"/>
  <c r="P35" i="11"/>
  <c r="P32" i="11" s="1"/>
  <c r="P36" i="11" s="1"/>
  <c r="O35" i="11"/>
  <c r="O32" i="11" s="1"/>
  <c r="O36" i="11" s="1"/>
  <c r="N35" i="11"/>
  <c r="N32" i="11" s="1"/>
  <c r="N36" i="11" s="1"/>
  <c r="M35" i="11"/>
  <c r="M32" i="11" s="1"/>
  <c r="M36" i="11" s="1"/>
  <c r="L35" i="11"/>
  <c r="K35" i="11"/>
  <c r="J35" i="11"/>
  <c r="I35" i="11"/>
  <c r="I32" i="11" s="1"/>
  <c r="I36" i="11" s="1"/>
  <c r="H35" i="11"/>
  <c r="H32" i="11" s="1"/>
  <c r="H36" i="11" s="1"/>
  <c r="G35" i="11"/>
  <c r="G32" i="11" s="1"/>
  <c r="G36" i="11" s="1"/>
  <c r="F35" i="11"/>
  <c r="F32" i="11" s="1"/>
  <c r="L32" i="11"/>
  <c r="L36" i="11" s="1"/>
  <c r="K32" i="11"/>
  <c r="K36" i="11" s="1"/>
  <c r="J32" i="11"/>
  <c r="J36" i="11" s="1"/>
  <c r="R30" i="11"/>
  <c r="R27" i="11" s="1"/>
  <c r="R31" i="11" s="1"/>
  <c r="Q30" i="11"/>
  <c r="Q27" i="11" s="1"/>
  <c r="Q31" i="11" s="1"/>
  <c r="P30" i="11"/>
  <c r="P27" i="11" s="1"/>
  <c r="P31" i="11" s="1"/>
  <c r="O30" i="11"/>
  <c r="N30" i="11"/>
  <c r="M30" i="11"/>
  <c r="M27" i="11" s="1"/>
  <c r="M31" i="11" s="1"/>
  <c r="L30" i="11"/>
  <c r="L27" i="11" s="1"/>
  <c r="L31" i="11" s="1"/>
  <c r="K30" i="11"/>
  <c r="K27" i="11" s="1"/>
  <c r="K31" i="11" s="1"/>
  <c r="J30" i="11"/>
  <c r="J27" i="11" s="1"/>
  <c r="J31" i="11" s="1"/>
  <c r="I30" i="11"/>
  <c r="I27" i="11" s="1"/>
  <c r="I31" i="11" s="1"/>
  <c r="H30" i="11"/>
  <c r="H27" i="11" s="1"/>
  <c r="H31" i="11" s="1"/>
  <c r="G30" i="11"/>
  <c r="G27" i="11" s="1"/>
  <c r="G31" i="11" s="1"/>
  <c r="F30" i="11"/>
  <c r="O27" i="11"/>
  <c r="O31" i="11" s="1"/>
  <c r="N27" i="11"/>
  <c r="N31" i="11" s="1"/>
  <c r="F27" i="11"/>
  <c r="R25" i="11"/>
  <c r="R22" i="11" s="1"/>
  <c r="R26" i="11" s="1"/>
  <c r="Q25" i="11"/>
  <c r="Q22" i="11" s="1"/>
  <c r="Q26" i="11" s="1"/>
  <c r="P25" i="11"/>
  <c r="O25" i="11"/>
  <c r="N25" i="11"/>
  <c r="M25" i="11"/>
  <c r="M22" i="11" s="1"/>
  <c r="M26" i="11" s="1"/>
  <c r="L25" i="11"/>
  <c r="L22" i="11" s="1"/>
  <c r="L26" i="11" s="1"/>
  <c r="K25" i="11"/>
  <c r="K22" i="11" s="1"/>
  <c r="K26" i="11" s="1"/>
  <c r="J25" i="11"/>
  <c r="J22" i="11" s="1"/>
  <c r="J26" i="11" s="1"/>
  <c r="I25" i="11"/>
  <c r="H25" i="11"/>
  <c r="G25" i="11"/>
  <c r="G22" i="11" s="1"/>
  <c r="G26" i="11" s="1"/>
  <c r="F25" i="11"/>
  <c r="F22" i="11" s="1"/>
  <c r="P22" i="11"/>
  <c r="P26" i="11" s="1"/>
  <c r="O22" i="11"/>
  <c r="O26" i="11" s="1"/>
  <c r="N22" i="11"/>
  <c r="N26" i="11" s="1"/>
  <c r="I22" i="11"/>
  <c r="I26" i="11" s="1"/>
  <c r="H22" i="11"/>
  <c r="H26" i="11" s="1"/>
  <c r="R20" i="11"/>
  <c r="Q20" i="11"/>
  <c r="Q17" i="11" s="1"/>
  <c r="Q21" i="11" s="1"/>
  <c r="P20" i="11"/>
  <c r="P17" i="11" s="1"/>
  <c r="P21" i="11" s="1"/>
  <c r="O20" i="11"/>
  <c r="O17" i="11" s="1"/>
  <c r="O21" i="11" s="1"/>
  <c r="N20" i="11"/>
  <c r="N17" i="11" s="1"/>
  <c r="N21" i="11" s="1"/>
  <c r="M20" i="11"/>
  <c r="M17" i="11" s="1"/>
  <c r="M21" i="11" s="1"/>
  <c r="L20" i="11"/>
  <c r="L17" i="11" s="1"/>
  <c r="L21" i="11" s="1"/>
  <c r="K20" i="11"/>
  <c r="K17" i="11" s="1"/>
  <c r="K21" i="11" s="1"/>
  <c r="J20" i="11"/>
  <c r="I20" i="11"/>
  <c r="H20" i="11"/>
  <c r="G20" i="11"/>
  <c r="G17" i="11" s="1"/>
  <c r="G21" i="11" s="1"/>
  <c r="F20" i="11"/>
  <c r="F17" i="11" s="1"/>
  <c r="R17" i="11"/>
  <c r="R21" i="11" s="1"/>
  <c r="J17" i="11"/>
  <c r="J21" i="11" s="1"/>
  <c r="I17" i="11"/>
  <c r="I21" i="11" s="1"/>
  <c r="H17" i="11"/>
  <c r="H21" i="11" s="1"/>
  <c r="R15" i="11"/>
  <c r="Q15" i="11"/>
  <c r="Q12" i="11" s="1"/>
  <c r="Q16" i="11" s="1"/>
  <c r="P15" i="11"/>
  <c r="P12" i="11" s="1"/>
  <c r="P16" i="11" s="1"/>
  <c r="O15" i="11"/>
  <c r="O12" i="11" s="1"/>
  <c r="O16" i="11" s="1"/>
  <c r="N15" i="11"/>
  <c r="N12" i="11" s="1"/>
  <c r="N16" i="11" s="1"/>
  <c r="M15" i="11"/>
  <c r="L15" i="11"/>
  <c r="K15" i="11"/>
  <c r="K12" i="11" s="1"/>
  <c r="K16" i="11" s="1"/>
  <c r="J15" i="11"/>
  <c r="J12" i="11" s="1"/>
  <c r="J16" i="11" s="1"/>
  <c r="I15" i="11"/>
  <c r="I12" i="11" s="1"/>
  <c r="I16" i="11" s="1"/>
  <c r="H15" i="11"/>
  <c r="H12" i="11" s="1"/>
  <c r="H16" i="11" s="1"/>
  <c r="G15" i="11"/>
  <c r="G12" i="11" s="1"/>
  <c r="G16" i="11" s="1"/>
  <c r="F15" i="11"/>
  <c r="F12" i="11" s="1"/>
  <c r="R12" i="11"/>
  <c r="R16" i="11" s="1"/>
  <c r="M12" i="11"/>
  <c r="M16" i="11" s="1"/>
  <c r="L12" i="11"/>
  <c r="L16" i="11" s="1"/>
  <c r="K11" i="11"/>
  <c r="F11" i="11"/>
  <c r="R10" i="11"/>
  <c r="R7" i="11" s="1"/>
  <c r="R11" i="11" s="1"/>
  <c r="Q10" i="11"/>
  <c r="Q7" i="11" s="1"/>
  <c r="Q11" i="11" s="1"/>
  <c r="P10" i="11"/>
  <c r="P7" i="11" s="1"/>
  <c r="P11" i="11" s="1"/>
  <c r="O10" i="11"/>
  <c r="O7" i="11" s="1"/>
  <c r="O11" i="11" s="1"/>
  <c r="N10" i="11"/>
  <c r="M10" i="11"/>
  <c r="L10" i="11"/>
  <c r="K10" i="11"/>
  <c r="J10" i="11"/>
  <c r="J7" i="11" s="1"/>
  <c r="J11" i="11" s="1"/>
  <c r="I10" i="11"/>
  <c r="I7" i="11" s="1"/>
  <c r="I11" i="11" s="1"/>
  <c r="H10" i="11"/>
  <c r="H7" i="11" s="1"/>
  <c r="H11" i="11" s="1"/>
  <c r="G10" i="11"/>
  <c r="G7" i="11" s="1"/>
  <c r="N7" i="11"/>
  <c r="N11" i="11" s="1"/>
  <c r="M7" i="11"/>
  <c r="M11" i="11" s="1"/>
  <c r="L7" i="11"/>
  <c r="L11" i="11" s="1"/>
  <c r="K7" i="11"/>
  <c r="I21" i="10"/>
  <c r="R20" i="10"/>
  <c r="R17" i="10" s="1"/>
  <c r="R21" i="10" s="1"/>
  <c r="Q20" i="10"/>
  <c r="P20" i="10"/>
  <c r="O20" i="10"/>
  <c r="O17" i="10" s="1"/>
  <c r="O21" i="10" s="1"/>
  <c r="N20" i="10"/>
  <c r="N17" i="10" s="1"/>
  <c r="N21" i="10" s="1"/>
  <c r="M20" i="10"/>
  <c r="M17" i="10" s="1"/>
  <c r="M21" i="10" s="1"/>
  <c r="L20" i="10"/>
  <c r="L17" i="10" s="1"/>
  <c r="L21" i="10" s="1"/>
  <c r="K20" i="10"/>
  <c r="J20" i="10"/>
  <c r="I20" i="10"/>
  <c r="H20" i="10"/>
  <c r="H17" i="10" s="1"/>
  <c r="H21" i="10" s="1"/>
  <c r="G20" i="10"/>
  <c r="G17" i="10" s="1"/>
  <c r="G21" i="10" s="1"/>
  <c r="F20" i="10"/>
  <c r="F17" i="10" s="1"/>
  <c r="Q17" i="10"/>
  <c r="Q21" i="10" s="1"/>
  <c r="P17" i="10"/>
  <c r="P21" i="10" s="1"/>
  <c r="K17" i="10"/>
  <c r="K21" i="10" s="1"/>
  <c r="J17" i="10"/>
  <c r="J21" i="10" s="1"/>
  <c r="I17" i="10"/>
  <c r="R15" i="10"/>
  <c r="R12" i="10" s="1"/>
  <c r="R16" i="10" s="1"/>
  <c r="Q15" i="10"/>
  <c r="Q12" i="10" s="1"/>
  <c r="Q16" i="10" s="1"/>
  <c r="P15" i="10"/>
  <c r="P12" i="10" s="1"/>
  <c r="P16" i="10" s="1"/>
  <c r="O15" i="10"/>
  <c r="O12" i="10" s="1"/>
  <c r="O16" i="10" s="1"/>
  <c r="N15" i="10"/>
  <c r="N12" i="10" s="1"/>
  <c r="N16" i="10" s="1"/>
  <c r="M15" i="10"/>
  <c r="L15" i="10"/>
  <c r="L12" i="10" s="1"/>
  <c r="L16" i="10" s="1"/>
  <c r="K15" i="10"/>
  <c r="J15" i="10"/>
  <c r="I15" i="10"/>
  <c r="I12" i="10" s="1"/>
  <c r="I16" i="10" s="1"/>
  <c r="H15" i="10"/>
  <c r="H12" i="10" s="1"/>
  <c r="H16" i="10" s="1"/>
  <c r="G15" i="10"/>
  <c r="G12" i="10" s="1"/>
  <c r="G16" i="10" s="1"/>
  <c r="F15" i="10"/>
  <c r="F12" i="10" s="1"/>
  <c r="M12" i="10"/>
  <c r="M16" i="10" s="1"/>
  <c r="K12" i="10"/>
  <c r="K16" i="10" s="1"/>
  <c r="J12" i="10"/>
  <c r="J16" i="10" s="1"/>
  <c r="M11" i="10"/>
  <c r="R10" i="10"/>
  <c r="R7" i="10" s="1"/>
  <c r="R11" i="10" s="1"/>
  <c r="Q10" i="10"/>
  <c r="Q7" i="10" s="1"/>
  <c r="Q11" i="10" s="1"/>
  <c r="P10" i="10"/>
  <c r="P7" i="10" s="1"/>
  <c r="P11" i="10" s="1"/>
  <c r="O10" i="10"/>
  <c r="N10" i="10"/>
  <c r="M10" i="10"/>
  <c r="L10" i="10"/>
  <c r="L7" i="10" s="1"/>
  <c r="L11" i="10" s="1"/>
  <c r="K10" i="10"/>
  <c r="K7" i="10" s="1"/>
  <c r="K11" i="10" s="1"/>
  <c r="J10" i="10"/>
  <c r="J7" i="10" s="1"/>
  <c r="J11" i="10" s="1"/>
  <c r="I10" i="10"/>
  <c r="I7" i="10" s="1"/>
  <c r="I11" i="10" s="1"/>
  <c r="H10" i="10"/>
  <c r="H7" i="10" s="1"/>
  <c r="H11" i="10" s="1"/>
  <c r="G10" i="10"/>
  <c r="F10" i="10"/>
  <c r="F7" i="10" s="1"/>
  <c r="O7" i="10"/>
  <c r="O11" i="10" s="1"/>
  <c r="N7" i="10"/>
  <c r="N11" i="10" s="1"/>
  <c r="M7" i="10"/>
  <c r="G7" i="10"/>
  <c r="G11" i="10" s="1"/>
  <c r="O41" i="9"/>
  <c r="N41" i="9"/>
  <c r="J41" i="9"/>
  <c r="I41" i="9"/>
  <c r="R40" i="9"/>
  <c r="R37" i="9" s="1"/>
  <c r="R41" i="9" s="1"/>
  <c r="Q40" i="9"/>
  <c r="P40" i="9"/>
  <c r="O40" i="9"/>
  <c r="N40" i="9"/>
  <c r="M40" i="9"/>
  <c r="M37" i="9" s="1"/>
  <c r="M41" i="9" s="1"/>
  <c r="L40" i="9"/>
  <c r="L37" i="9" s="1"/>
  <c r="L41" i="9" s="1"/>
  <c r="K40" i="9"/>
  <c r="K37" i="9" s="1"/>
  <c r="K41" i="9" s="1"/>
  <c r="J40" i="9"/>
  <c r="I40" i="9"/>
  <c r="H40" i="9"/>
  <c r="H37" i="9" s="1"/>
  <c r="H41" i="9" s="1"/>
  <c r="G40" i="9"/>
  <c r="G37" i="9" s="1"/>
  <c r="G41" i="9" s="1"/>
  <c r="F40" i="9"/>
  <c r="F37" i="9" s="1"/>
  <c r="Q37" i="9"/>
  <c r="Q41" i="9" s="1"/>
  <c r="P37" i="9"/>
  <c r="P41" i="9" s="1"/>
  <c r="O37" i="9"/>
  <c r="N37" i="9"/>
  <c r="J37" i="9"/>
  <c r="I37" i="9"/>
  <c r="I36" i="9"/>
  <c r="H36" i="9"/>
  <c r="G36" i="9"/>
  <c r="R35" i="9"/>
  <c r="R32" i="9" s="1"/>
  <c r="R36" i="9" s="1"/>
  <c r="Q35" i="9"/>
  <c r="Q32" i="9" s="1"/>
  <c r="Q36" i="9" s="1"/>
  <c r="P35" i="9"/>
  <c r="P32" i="9" s="1"/>
  <c r="P36" i="9" s="1"/>
  <c r="O35" i="9"/>
  <c r="O32" i="9" s="1"/>
  <c r="O36" i="9" s="1"/>
  <c r="N35" i="9"/>
  <c r="M35" i="9"/>
  <c r="M32" i="9" s="1"/>
  <c r="M36" i="9" s="1"/>
  <c r="L35" i="9"/>
  <c r="L32" i="9" s="1"/>
  <c r="L36" i="9" s="1"/>
  <c r="K35" i="9"/>
  <c r="J35" i="9"/>
  <c r="I35" i="9"/>
  <c r="H35" i="9"/>
  <c r="G35" i="9"/>
  <c r="F35" i="9"/>
  <c r="F32" i="9" s="1"/>
  <c r="N32" i="9"/>
  <c r="N36" i="9" s="1"/>
  <c r="K32" i="9"/>
  <c r="K36" i="9" s="1"/>
  <c r="J32" i="9"/>
  <c r="J36" i="9" s="1"/>
  <c r="I32" i="9"/>
  <c r="H32" i="9"/>
  <c r="G32" i="9"/>
  <c r="R31" i="9"/>
  <c r="Q31" i="9"/>
  <c r="N31" i="9"/>
  <c r="M31" i="9"/>
  <c r="R30" i="9"/>
  <c r="Q30" i="9"/>
  <c r="P30" i="9"/>
  <c r="P27" i="9" s="1"/>
  <c r="P31" i="9" s="1"/>
  <c r="O30" i="9"/>
  <c r="O27" i="9" s="1"/>
  <c r="O31" i="9" s="1"/>
  <c r="N30" i="9"/>
  <c r="M30" i="9"/>
  <c r="L30" i="9"/>
  <c r="L27" i="9" s="1"/>
  <c r="L31" i="9" s="1"/>
  <c r="K30" i="9"/>
  <c r="K27" i="9" s="1"/>
  <c r="K31" i="9" s="1"/>
  <c r="J30" i="9"/>
  <c r="J27" i="9" s="1"/>
  <c r="J31" i="9" s="1"/>
  <c r="I30" i="9"/>
  <c r="I27" i="9" s="1"/>
  <c r="I31" i="9" s="1"/>
  <c r="H30" i="9"/>
  <c r="G30" i="9"/>
  <c r="G27" i="9" s="1"/>
  <c r="G31" i="9" s="1"/>
  <c r="F30" i="9"/>
  <c r="F27" i="9" s="1"/>
  <c r="R27" i="9"/>
  <c r="Q27" i="9"/>
  <c r="N27" i="9"/>
  <c r="M27" i="9"/>
  <c r="H27" i="9"/>
  <c r="H31" i="9" s="1"/>
  <c r="M26" i="9"/>
  <c r="L26" i="9"/>
  <c r="K26" i="9"/>
  <c r="H26" i="9"/>
  <c r="G26" i="9"/>
  <c r="R25" i="9"/>
  <c r="Q25" i="9"/>
  <c r="Q22" i="9" s="1"/>
  <c r="Q26" i="9" s="1"/>
  <c r="P25" i="9"/>
  <c r="P22" i="9" s="1"/>
  <c r="P26" i="9" s="1"/>
  <c r="O25" i="9"/>
  <c r="N25" i="9"/>
  <c r="M25" i="9"/>
  <c r="L25" i="9"/>
  <c r="K25" i="9"/>
  <c r="J25" i="9"/>
  <c r="J22" i="9" s="1"/>
  <c r="J26" i="9" s="1"/>
  <c r="I25" i="9"/>
  <c r="I22" i="9" s="1"/>
  <c r="I26" i="9" s="1"/>
  <c r="H25" i="9"/>
  <c r="G25" i="9"/>
  <c r="F25" i="9"/>
  <c r="F22" i="9" s="1"/>
  <c r="R22" i="9"/>
  <c r="R26" i="9" s="1"/>
  <c r="O22" i="9"/>
  <c r="O26" i="9" s="1"/>
  <c r="N22" i="9"/>
  <c r="N26" i="9" s="1"/>
  <c r="M22" i="9"/>
  <c r="L22" i="9"/>
  <c r="K22" i="9"/>
  <c r="H22" i="9"/>
  <c r="G22" i="9"/>
  <c r="R21" i="9"/>
  <c r="Q21" i="9"/>
  <c r="G21" i="9"/>
  <c r="F21" i="9"/>
  <c r="R20" i="9"/>
  <c r="Q20" i="9"/>
  <c r="P20" i="9"/>
  <c r="P17" i="9" s="1"/>
  <c r="P21" i="9" s="1"/>
  <c r="O20" i="9"/>
  <c r="O17" i="9" s="1"/>
  <c r="O21" i="9" s="1"/>
  <c r="N20" i="9"/>
  <c r="N17" i="9" s="1"/>
  <c r="N21" i="9" s="1"/>
  <c r="M20" i="9"/>
  <c r="M17" i="9" s="1"/>
  <c r="M21" i="9" s="1"/>
  <c r="L20" i="9"/>
  <c r="K20" i="9"/>
  <c r="K17" i="9" s="1"/>
  <c r="K21" i="9" s="1"/>
  <c r="J20" i="9"/>
  <c r="J17" i="9" s="1"/>
  <c r="J21" i="9" s="1"/>
  <c r="I20" i="9"/>
  <c r="H20" i="9"/>
  <c r="G20" i="9"/>
  <c r="F20" i="9"/>
  <c r="R17" i="9"/>
  <c r="Q17" i="9"/>
  <c r="L17" i="9"/>
  <c r="L21" i="9" s="1"/>
  <c r="I17" i="9"/>
  <c r="I21" i="9" s="1"/>
  <c r="H17" i="9"/>
  <c r="H21" i="9" s="1"/>
  <c r="G17" i="9"/>
  <c r="F17" i="9"/>
  <c r="Q16" i="9"/>
  <c r="O16" i="9"/>
  <c r="L16" i="9"/>
  <c r="K16" i="9"/>
  <c r="R15" i="9"/>
  <c r="Q15" i="9"/>
  <c r="P15" i="9"/>
  <c r="P12" i="9" s="1"/>
  <c r="P16" i="9" s="1"/>
  <c r="O15" i="9"/>
  <c r="N15" i="9"/>
  <c r="N12" i="9" s="1"/>
  <c r="N16" i="9" s="1"/>
  <c r="M15" i="9"/>
  <c r="M12" i="9" s="1"/>
  <c r="M16" i="9" s="1"/>
  <c r="L15" i="9"/>
  <c r="K15" i="9"/>
  <c r="J15" i="9"/>
  <c r="J12" i="9" s="1"/>
  <c r="J16" i="9" s="1"/>
  <c r="I15" i="9"/>
  <c r="I12" i="9" s="1"/>
  <c r="I16" i="9" s="1"/>
  <c r="H15" i="9"/>
  <c r="H12" i="9" s="1"/>
  <c r="H16" i="9" s="1"/>
  <c r="G15" i="9"/>
  <c r="G12" i="9" s="1"/>
  <c r="F15" i="9"/>
  <c r="R12" i="9"/>
  <c r="R16" i="9" s="1"/>
  <c r="Q12" i="9"/>
  <c r="O12" i="9"/>
  <c r="L12" i="9"/>
  <c r="K12" i="9"/>
  <c r="F12" i="9"/>
  <c r="F16" i="9" s="1"/>
  <c r="K11" i="9"/>
  <c r="I11" i="9"/>
  <c r="F11" i="9"/>
  <c r="R10" i="9"/>
  <c r="R7" i="9" s="1"/>
  <c r="R11" i="9" s="1"/>
  <c r="Q10" i="9"/>
  <c r="Q7" i="9" s="1"/>
  <c r="Q11" i="9" s="1"/>
  <c r="P10" i="9"/>
  <c r="O10" i="9"/>
  <c r="O7" i="9" s="1"/>
  <c r="O11" i="9" s="1"/>
  <c r="N10" i="9"/>
  <c r="N7" i="9" s="1"/>
  <c r="N11" i="9" s="1"/>
  <c r="M10" i="9"/>
  <c r="L10" i="9"/>
  <c r="K10" i="9"/>
  <c r="J10" i="9"/>
  <c r="J7" i="9" s="1"/>
  <c r="J11" i="9" s="1"/>
  <c r="I10" i="9"/>
  <c r="H10" i="9"/>
  <c r="H7" i="9" s="1"/>
  <c r="H11" i="9" s="1"/>
  <c r="G10" i="9"/>
  <c r="G7" i="9" s="1"/>
  <c r="G11" i="9" s="1"/>
  <c r="F10" i="9"/>
  <c r="P7" i="9"/>
  <c r="P11" i="9" s="1"/>
  <c r="M7" i="9"/>
  <c r="M11" i="9" s="1"/>
  <c r="L7" i="9"/>
  <c r="L11" i="9" s="1"/>
  <c r="K7" i="9"/>
  <c r="I7" i="9"/>
  <c r="F7" i="9"/>
  <c r="P41" i="8"/>
  <c r="O41" i="8"/>
  <c r="K41" i="8"/>
  <c r="I41" i="8"/>
  <c r="T40" i="8"/>
  <c r="S40" i="8"/>
  <c r="R40" i="8"/>
  <c r="Q40" i="8"/>
  <c r="P40" i="8"/>
  <c r="O40" i="8"/>
  <c r="N40" i="8"/>
  <c r="T37" i="8" s="1"/>
  <c r="T41" i="8" s="1"/>
  <c r="M40" i="8"/>
  <c r="L40" i="8"/>
  <c r="K40" i="8"/>
  <c r="J40" i="8"/>
  <c r="I40" i="8"/>
  <c r="H40" i="8"/>
  <c r="H37" i="8" s="1"/>
  <c r="H41" i="8" s="1"/>
  <c r="G40" i="8"/>
  <c r="F40" i="8"/>
  <c r="R37" i="8"/>
  <c r="R41" i="8" s="1"/>
  <c r="Q37" i="8"/>
  <c r="Q41" i="8" s="1"/>
  <c r="P37" i="8"/>
  <c r="O37" i="8"/>
  <c r="M37" i="8"/>
  <c r="M41" i="8" s="1"/>
  <c r="L37" i="8"/>
  <c r="L41" i="8" s="1"/>
  <c r="K37" i="8"/>
  <c r="J37" i="8"/>
  <c r="J41" i="8" s="1"/>
  <c r="I37" i="8"/>
  <c r="G37" i="8"/>
  <c r="G41" i="8" s="1"/>
  <c r="F37" i="8"/>
  <c r="F41" i="8" s="1"/>
  <c r="P36" i="8"/>
  <c r="O36" i="8"/>
  <c r="L36" i="8"/>
  <c r="K36" i="8"/>
  <c r="I36" i="8"/>
  <c r="T35" i="8"/>
  <c r="S35" i="8"/>
  <c r="R35" i="8"/>
  <c r="Q35" i="8"/>
  <c r="P35" i="8"/>
  <c r="O35" i="8"/>
  <c r="N35" i="8"/>
  <c r="T32" i="8" s="1"/>
  <c r="T36" i="8" s="1"/>
  <c r="M35" i="8"/>
  <c r="L35" i="8"/>
  <c r="K35" i="8"/>
  <c r="J35" i="8"/>
  <c r="I35" i="8"/>
  <c r="H35" i="8"/>
  <c r="H32" i="8" s="1"/>
  <c r="H36" i="8" s="1"/>
  <c r="G35" i="8"/>
  <c r="F35" i="8"/>
  <c r="R32" i="8"/>
  <c r="R36" i="8" s="1"/>
  <c r="Q32" i="8"/>
  <c r="Q36" i="8" s="1"/>
  <c r="P32" i="8"/>
  <c r="O32" i="8"/>
  <c r="M32" i="8"/>
  <c r="M36" i="8" s="1"/>
  <c r="L32" i="8"/>
  <c r="K32" i="8"/>
  <c r="J32" i="8"/>
  <c r="J36" i="8" s="1"/>
  <c r="I32" i="8"/>
  <c r="G32" i="8"/>
  <c r="G36" i="8" s="1"/>
  <c r="F32" i="8"/>
  <c r="F36" i="8" s="1"/>
  <c r="Q31" i="8"/>
  <c r="P31" i="8"/>
  <c r="O31" i="8"/>
  <c r="L31" i="8"/>
  <c r="K31" i="8"/>
  <c r="I31" i="8"/>
  <c r="T30" i="8"/>
  <c r="S30" i="8"/>
  <c r="R30" i="8"/>
  <c r="Q30" i="8"/>
  <c r="P30" i="8"/>
  <c r="O30" i="8"/>
  <c r="N30" i="8"/>
  <c r="T27" i="8" s="1"/>
  <c r="T31" i="8" s="1"/>
  <c r="M30" i="8"/>
  <c r="L30" i="8"/>
  <c r="K30" i="8"/>
  <c r="J30" i="8"/>
  <c r="I30" i="8"/>
  <c r="H30" i="8"/>
  <c r="H27" i="8" s="1"/>
  <c r="H31" i="8" s="1"/>
  <c r="G30" i="8"/>
  <c r="G27" i="8" s="1"/>
  <c r="G31" i="8" s="1"/>
  <c r="F30" i="8"/>
  <c r="R27" i="8"/>
  <c r="R31" i="8" s="1"/>
  <c r="Q27" i="8"/>
  <c r="P27" i="8"/>
  <c r="O27" i="8"/>
  <c r="M27" i="8"/>
  <c r="M31" i="8" s="1"/>
  <c r="L27" i="8"/>
  <c r="K27" i="8"/>
  <c r="J27" i="8"/>
  <c r="J31" i="8" s="1"/>
  <c r="I27" i="8"/>
  <c r="F27" i="8"/>
  <c r="F31" i="8" s="1"/>
  <c r="Q26" i="8"/>
  <c r="P26" i="8"/>
  <c r="O26" i="8"/>
  <c r="L26" i="8"/>
  <c r="K26" i="8"/>
  <c r="I26" i="8"/>
  <c r="H26" i="8"/>
  <c r="T25" i="8"/>
  <c r="S25" i="8"/>
  <c r="R25" i="8"/>
  <c r="Q25" i="8"/>
  <c r="P25" i="8"/>
  <c r="O25" i="8"/>
  <c r="N25" i="8"/>
  <c r="T22" i="8" s="1"/>
  <c r="T26" i="8" s="1"/>
  <c r="M25" i="8"/>
  <c r="L25" i="8"/>
  <c r="K25" i="8"/>
  <c r="J25" i="8"/>
  <c r="I25" i="8"/>
  <c r="H25" i="8"/>
  <c r="G25" i="8"/>
  <c r="G22" i="8" s="1"/>
  <c r="G26" i="8" s="1"/>
  <c r="F25" i="8"/>
  <c r="R22" i="8"/>
  <c r="R26" i="8" s="1"/>
  <c r="Q22" i="8"/>
  <c r="P22" i="8"/>
  <c r="O22" i="8"/>
  <c r="M22" i="8"/>
  <c r="M26" i="8" s="1"/>
  <c r="L22" i="8"/>
  <c r="K22" i="8"/>
  <c r="J22" i="8"/>
  <c r="J26" i="8" s="1"/>
  <c r="I22" i="8"/>
  <c r="H22" i="8"/>
  <c r="F22" i="8"/>
  <c r="F26" i="8" s="1"/>
  <c r="Q21" i="8"/>
  <c r="P21" i="8"/>
  <c r="O21" i="8"/>
  <c r="L21" i="8"/>
  <c r="K21" i="8"/>
  <c r="I21" i="8"/>
  <c r="T20" i="8"/>
  <c r="S20" i="8"/>
  <c r="R20" i="8"/>
  <c r="Q20" i="8"/>
  <c r="P20" i="8"/>
  <c r="O20" i="8"/>
  <c r="N20" i="8"/>
  <c r="T17" i="8" s="1"/>
  <c r="T21" i="8" s="1"/>
  <c r="M20" i="8"/>
  <c r="L20" i="8"/>
  <c r="K20" i="8"/>
  <c r="J20" i="8"/>
  <c r="I20" i="8"/>
  <c r="H20" i="8"/>
  <c r="H17" i="8" s="1"/>
  <c r="H21" i="8" s="1"/>
  <c r="G20" i="8"/>
  <c r="G17" i="8" s="1"/>
  <c r="G21" i="8" s="1"/>
  <c r="F20" i="8"/>
  <c r="R17" i="8"/>
  <c r="R21" i="8" s="1"/>
  <c r="Q17" i="8"/>
  <c r="P17" i="8"/>
  <c r="O17" i="8"/>
  <c r="N17" i="8"/>
  <c r="N21" i="8" s="1"/>
  <c r="M17" i="8"/>
  <c r="M21" i="8" s="1"/>
  <c r="L17" i="8"/>
  <c r="K17" i="8"/>
  <c r="J17" i="8"/>
  <c r="J21" i="8" s="1"/>
  <c r="I17" i="8"/>
  <c r="F17" i="8"/>
  <c r="F21" i="8" s="1"/>
  <c r="Q16" i="8"/>
  <c r="P16" i="8"/>
  <c r="O16" i="8"/>
  <c r="L16" i="8"/>
  <c r="K16" i="8"/>
  <c r="I16" i="8"/>
  <c r="T15" i="8"/>
  <c r="S15" i="8"/>
  <c r="R15" i="8"/>
  <c r="Q15" i="8"/>
  <c r="P15" i="8"/>
  <c r="O15" i="8"/>
  <c r="N15" i="8"/>
  <c r="T12" i="8" s="1"/>
  <c r="T16" i="8" s="1"/>
  <c r="M15" i="8"/>
  <c r="L15" i="8"/>
  <c r="K15" i="8"/>
  <c r="J15" i="8"/>
  <c r="J12" i="8" s="1"/>
  <c r="J16" i="8" s="1"/>
  <c r="I15" i="8"/>
  <c r="H15" i="8"/>
  <c r="H12" i="8" s="1"/>
  <c r="H16" i="8" s="1"/>
  <c r="G15" i="8"/>
  <c r="G12" i="8" s="1"/>
  <c r="G16" i="8" s="1"/>
  <c r="F15" i="8"/>
  <c r="R12" i="8"/>
  <c r="R16" i="8" s="1"/>
  <c r="Q12" i="8"/>
  <c r="P12" i="8"/>
  <c r="O12" i="8"/>
  <c r="M12" i="8"/>
  <c r="M16" i="8" s="1"/>
  <c r="L12" i="8"/>
  <c r="K12" i="8"/>
  <c r="I12" i="8"/>
  <c r="F12" i="8"/>
  <c r="F16" i="8" s="1"/>
  <c r="Q11" i="8"/>
  <c r="P11" i="8"/>
  <c r="O11" i="8"/>
  <c r="L11" i="8"/>
  <c r="K11" i="8"/>
  <c r="I11" i="8"/>
  <c r="T10" i="8"/>
  <c r="S10" i="8"/>
  <c r="R10" i="8"/>
  <c r="Q10" i="8"/>
  <c r="P10" i="8"/>
  <c r="O10" i="8"/>
  <c r="N10" i="8"/>
  <c r="T7" i="8" s="1"/>
  <c r="T11" i="8" s="1"/>
  <c r="M10" i="8"/>
  <c r="L10" i="8"/>
  <c r="K10" i="8"/>
  <c r="J10" i="8"/>
  <c r="J7" i="8" s="1"/>
  <c r="J11" i="8" s="1"/>
  <c r="I10" i="8"/>
  <c r="H10" i="8"/>
  <c r="H7" i="8" s="1"/>
  <c r="H11" i="8" s="1"/>
  <c r="G10" i="8"/>
  <c r="G7" i="8" s="1"/>
  <c r="G11" i="8" s="1"/>
  <c r="F10" i="8"/>
  <c r="R7" i="8"/>
  <c r="R11" i="8" s="1"/>
  <c r="Q7" i="8"/>
  <c r="P7" i="8"/>
  <c r="O7" i="8"/>
  <c r="M7" i="8"/>
  <c r="M11" i="8" s="1"/>
  <c r="L7" i="8"/>
  <c r="K7" i="8"/>
  <c r="I7" i="8"/>
  <c r="F7" i="8"/>
  <c r="F11" i="8" s="1"/>
  <c r="M74" i="7"/>
  <c r="L74" i="7"/>
  <c r="K74" i="7"/>
  <c r="J74" i="7"/>
  <c r="J71" i="7" s="1"/>
  <c r="J75" i="7" s="1"/>
  <c r="I74" i="7"/>
  <c r="I71" i="7" s="1"/>
  <c r="I75" i="7" s="1"/>
  <c r="H74" i="7"/>
  <c r="H71" i="7" s="1"/>
  <c r="H75" i="7" s="1"/>
  <c r="G74" i="7"/>
  <c r="M71" i="7" s="1"/>
  <c r="M75" i="7" s="1"/>
  <c r="F74" i="7"/>
  <c r="F71" i="7" s="1"/>
  <c r="K71" i="7"/>
  <c r="K75" i="7" s="1"/>
  <c r="K70" i="7"/>
  <c r="I70" i="7"/>
  <c r="M69" i="7"/>
  <c r="M70" i="7" s="1"/>
  <c r="L69" i="7"/>
  <c r="K69" i="7"/>
  <c r="J69" i="7"/>
  <c r="I69" i="7"/>
  <c r="H69" i="7"/>
  <c r="H66" i="7" s="1"/>
  <c r="H70" i="7" s="1"/>
  <c r="G69" i="7"/>
  <c r="G66" i="7" s="1"/>
  <c r="G70" i="7" s="1"/>
  <c r="F69" i="7"/>
  <c r="M66" i="7"/>
  <c r="L66" i="7"/>
  <c r="L70" i="7" s="1"/>
  <c r="K66" i="7"/>
  <c r="J66" i="7"/>
  <c r="J70" i="7" s="1"/>
  <c r="I66" i="7"/>
  <c r="F66" i="7"/>
  <c r="F70" i="7" s="1"/>
  <c r="F65" i="7"/>
  <c r="M64" i="7"/>
  <c r="L64" i="7"/>
  <c r="K64" i="7"/>
  <c r="K61" i="7" s="1"/>
  <c r="K65" i="7" s="1"/>
  <c r="J64" i="7"/>
  <c r="I64" i="7"/>
  <c r="H64" i="7"/>
  <c r="H61" i="7" s="1"/>
  <c r="H65" i="7" s="1"/>
  <c r="G64" i="7"/>
  <c r="F64" i="7"/>
  <c r="M61" i="7"/>
  <c r="M65" i="7" s="1"/>
  <c r="L61" i="7"/>
  <c r="L65" i="7" s="1"/>
  <c r="J61" i="7"/>
  <c r="J65" i="7" s="1"/>
  <c r="I61" i="7"/>
  <c r="I65" i="7" s="1"/>
  <c r="G61" i="7"/>
  <c r="G65" i="7" s="1"/>
  <c r="F61" i="7"/>
  <c r="M59" i="7"/>
  <c r="L59" i="7"/>
  <c r="K59" i="7"/>
  <c r="K56" i="7" s="1"/>
  <c r="K60" i="7" s="1"/>
  <c r="J59" i="7"/>
  <c r="I59" i="7"/>
  <c r="I56" i="7" s="1"/>
  <c r="I60" i="7" s="1"/>
  <c r="H59" i="7"/>
  <c r="H56" i="7" s="1"/>
  <c r="H60" i="7" s="1"/>
  <c r="G59" i="7"/>
  <c r="M56" i="7" s="1"/>
  <c r="M60" i="7" s="1"/>
  <c r="F59" i="7"/>
  <c r="F56" i="7" s="1"/>
  <c r="L56" i="7"/>
  <c r="L60" i="7" s="1"/>
  <c r="J56" i="7"/>
  <c r="J60" i="7" s="1"/>
  <c r="L55" i="7"/>
  <c r="J55" i="7"/>
  <c r="I55" i="7"/>
  <c r="M54" i="7"/>
  <c r="L54" i="7"/>
  <c r="K54" i="7"/>
  <c r="J54" i="7"/>
  <c r="I54" i="7"/>
  <c r="H54" i="7"/>
  <c r="H51" i="7" s="1"/>
  <c r="H55" i="7" s="1"/>
  <c r="G54" i="7"/>
  <c r="F54" i="7"/>
  <c r="F51" i="7" s="1"/>
  <c r="M51" i="7"/>
  <c r="M55" i="7" s="1"/>
  <c r="L51" i="7"/>
  <c r="K51" i="7"/>
  <c r="K55" i="7" s="1"/>
  <c r="J51" i="7"/>
  <c r="I51" i="7"/>
  <c r="G51" i="7"/>
  <c r="G55" i="7" s="1"/>
  <c r="G50" i="7"/>
  <c r="M49" i="7"/>
  <c r="L49" i="7"/>
  <c r="K49" i="7"/>
  <c r="J49" i="7"/>
  <c r="I49" i="7"/>
  <c r="I46" i="7" s="1"/>
  <c r="I50" i="7" s="1"/>
  <c r="H49" i="7"/>
  <c r="G49" i="7"/>
  <c r="M46" i="7" s="1"/>
  <c r="M50" i="7" s="1"/>
  <c r="F49" i="7"/>
  <c r="K46" i="7"/>
  <c r="K50" i="7" s="1"/>
  <c r="J46" i="7"/>
  <c r="J50" i="7" s="1"/>
  <c r="H46" i="7"/>
  <c r="H50" i="7" s="1"/>
  <c r="G46" i="7"/>
  <c r="F46" i="7"/>
  <c r="F50" i="7" s="1"/>
  <c r="M44" i="7"/>
  <c r="L44" i="7"/>
  <c r="K44" i="7"/>
  <c r="J44" i="7"/>
  <c r="J41" i="7" s="1"/>
  <c r="J45" i="7" s="1"/>
  <c r="I44" i="7"/>
  <c r="I41" i="7" s="1"/>
  <c r="I45" i="7" s="1"/>
  <c r="H44" i="7"/>
  <c r="H41" i="7" s="1"/>
  <c r="H45" i="7" s="1"/>
  <c r="G44" i="7"/>
  <c r="L41" i="7" s="1"/>
  <c r="L45" i="7" s="1"/>
  <c r="F44" i="7"/>
  <c r="M41" i="7"/>
  <c r="M45" i="7" s="1"/>
  <c r="K41" i="7"/>
  <c r="K45" i="7" s="1"/>
  <c r="F41" i="7"/>
  <c r="K40" i="7"/>
  <c r="J40" i="7"/>
  <c r="I40" i="7"/>
  <c r="M39" i="7"/>
  <c r="L39" i="7"/>
  <c r="K39" i="7"/>
  <c r="J39" i="7"/>
  <c r="I39" i="7"/>
  <c r="H39" i="7"/>
  <c r="G39" i="7"/>
  <c r="M36" i="7" s="1"/>
  <c r="M40" i="7" s="1"/>
  <c r="F39" i="7"/>
  <c r="K36" i="7"/>
  <c r="J36" i="7"/>
  <c r="I36" i="7"/>
  <c r="H36" i="7"/>
  <c r="H40" i="7" s="1"/>
  <c r="F36" i="7"/>
  <c r="F40" i="7" s="1"/>
  <c r="H35" i="7"/>
  <c r="F35" i="7"/>
  <c r="M34" i="7"/>
  <c r="L34" i="7"/>
  <c r="K34" i="7"/>
  <c r="J34" i="7"/>
  <c r="J31" i="7" s="1"/>
  <c r="J35" i="7" s="1"/>
  <c r="I34" i="7"/>
  <c r="H34" i="7"/>
  <c r="G34" i="7"/>
  <c r="M31" i="7" s="1"/>
  <c r="M35" i="7" s="1"/>
  <c r="F34" i="7"/>
  <c r="K31" i="7"/>
  <c r="K35" i="7" s="1"/>
  <c r="I31" i="7"/>
  <c r="I35" i="7" s="1"/>
  <c r="H31" i="7"/>
  <c r="G31" i="7"/>
  <c r="G35" i="7" s="1"/>
  <c r="F31" i="7"/>
  <c r="M29" i="7"/>
  <c r="L29" i="7"/>
  <c r="K29" i="7"/>
  <c r="K26" i="7" s="1"/>
  <c r="K30" i="7" s="1"/>
  <c r="J29" i="7"/>
  <c r="J26" i="7" s="1"/>
  <c r="J30" i="7" s="1"/>
  <c r="I29" i="7"/>
  <c r="I26" i="7" s="1"/>
  <c r="I30" i="7" s="1"/>
  <c r="H29" i="7"/>
  <c r="H26" i="7" s="1"/>
  <c r="G29" i="7"/>
  <c r="M26" i="7" s="1"/>
  <c r="M30" i="7" s="1"/>
  <c r="F29" i="7"/>
  <c r="L26" i="7"/>
  <c r="L30" i="7" s="1"/>
  <c r="G26" i="7"/>
  <c r="G30" i="7" s="1"/>
  <c r="F26" i="7"/>
  <c r="F30" i="7" s="1"/>
  <c r="L25" i="7"/>
  <c r="K25" i="7"/>
  <c r="J25" i="7"/>
  <c r="M24" i="7"/>
  <c r="L24" i="7"/>
  <c r="K24" i="7"/>
  <c r="J24" i="7"/>
  <c r="I24" i="7"/>
  <c r="H24" i="7"/>
  <c r="H21" i="7" s="1"/>
  <c r="H25" i="7" s="1"/>
  <c r="G24" i="7"/>
  <c r="F24" i="7"/>
  <c r="F21" i="7" s="1"/>
  <c r="M21" i="7"/>
  <c r="M25" i="7" s="1"/>
  <c r="L21" i="7"/>
  <c r="K21" i="7"/>
  <c r="J21" i="7"/>
  <c r="I21" i="7"/>
  <c r="I25" i="7" s="1"/>
  <c r="G21" i="7"/>
  <c r="G25" i="7" s="1"/>
  <c r="I20" i="7"/>
  <c r="G20" i="7"/>
  <c r="F20" i="7"/>
  <c r="M19" i="7"/>
  <c r="L19" i="7"/>
  <c r="K19" i="7"/>
  <c r="K16" i="7" s="1"/>
  <c r="K20" i="7" s="1"/>
  <c r="J19" i="7"/>
  <c r="I19" i="7"/>
  <c r="H19" i="7"/>
  <c r="G19" i="7"/>
  <c r="F19" i="7"/>
  <c r="M16" i="7"/>
  <c r="M20" i="7" s="1"/>
  <c r="L16" i="7"/>
  <c r="L20" i="7" s="1"/>
  <c r="J16" i="7"/>
  <c r="J20" i="7" s="1"/>
  <c r="I16" i="7"/>
  <c r="H16" i="7"/>
  <c r="H20" i="7" s="1"/>
  <c r="G16" i="7"/>
  <c r="F16" i="7"/>
  <c r="M14" i="7"/>
  <c r="L14" i="7"/>
  <c r="K14" i="7"/>
  <c r="K11" i="7" s="1"/>
  <c r="K15" i="7" s="1"/>
  <c r="J14" i="7"/>
  <c r="J11" i="7" s="1"/>
  <c r="J15" i="7" s="1"/>
  <c r="I14" i="7"/>
  <c r="I11" i="7" s="1"/>
  <c r="I15" i="7" s="1"/>
  <c r="H14" i="7"/>
  <c r="G14" i="7"/>
  <c r="F14" i="7"/>
  <c r="F11" i="7" s="1"/>
  <c r="M11" i="7"/>
  <c r="M15" i="7" s="1"/>
  <c r="L11" i="7"/>
  <c r="L15" i="7" s="1"/>
  <c r="H11" i="7"/>
  <c r="H15" i="7" s="1"/>
  <c r="G11" i="7"/>
  <c r="G15" i="7" s="1"/>
  <c r="K10" i="7"/>
  <c r="M9" i="7"/>
  <c r="L9" i="7"/>
  <c r="K9" i="7"/>
  <c r="J9" i="7"/>
  <c r="I9" i="7"/>
  <c r="I6" i="7" s="1"/>
  <c r="I10" i="7" s="1"/>
  <c r="H9" i="7"/>
  <c r="G9" i="7"/>
  <c r="M6" i="7" s="1"/>
  <c r="M10" i="7" s="1"/>
  <c r="F9" i="7"/>
  <c r="F6" i="7" s="1"/>
  <c r="K6" i="7"/>
  <c r="J6" i="7"/>
  <c r="J10" i="7" s="1"/>
  <c r="H6" i="7"/>
  <c r="H10" i="7" s="1"/>
  <c r="S22" i="11" l="1"/>
  <c r="F26" i="11"/>
  <c r="S26" i="11" s="1"/>
  <c r="T26" i="11" s="1"/>
  <c r="S32" i="11"/>
  <c r="F36" i="11"/>
  <c r="S36" i="11" s="1"/>
  <c r="T36" i="11" s="1"/>
  <c r="F41" i="11"/>
  <c r="S41" i="11" s="1"/>
  <c r="S37" i="11"/>
  <c r="S7" i="11"/>
  <c r="G11" i="11"/>
  <c r="S11" i="11" s="1"/>
  <c r="T11" i="11" s="1"/>
  <c r="F16" i="11"/>
  <c r="S16" i="11" s="1"/>
  <c r="T16" i="11" s="1"/>
  <c r="S12" i="11"/>
  <c r="S27" i="11"/>
  <c r="S17" i="11"/>
  <c r="F21" i="11"/>
  <c r="S21" i="11" s="1"/>
  <c r="T21" i="11" s="1"/>
  <c r="F31" i="11"/>
  <c r="S31" i="11" s="1"/>
  <c r="T31" i="11" s="1"/>
  <c r="S12" i="10"/>
  <c r="F16" i="10"/>
  <c r="S16" i="10" s="1"/>
  <c r="T16" i="10" s="1"/>
  <c r="S17" i="10"/>
  <c r="F21" i="10"/>
  <c r="S21" i="10" s="1"/>
  <c r="T21" i="10" s="1"/>
  <c r="S7" i="10"/>
  <c r="F11" i="10"/>
  <c r="S11" i="10" s="1"/>
  <c r="T11" i="10" s="1"/>
  <c r="S27" i="9"/>
  <c r="F31" i="9"/>
  <c r="S31" i="9" s="1"/>
  <c r="T31" i="9" s="1"/>
  <c r="S11" i="9"/>
  <c r="S32" i="9"/>
  <c r="F36" i="9"/>
  <c r="S36" i="9" s="1"/>
  <c r="T36" i="9" s="1"/>
  <c r="S17" i="9"/>
  <c r="S22" i="9"/>
  <c r="F26" i="9"/>
  <c r="S26" i="9" s="1"/>
  <c r="T26" i="9" s="1"/>
  <c r="S21" i="9"/>
  <c r="T21" i="9" s="1"/>
  <c r="G16" i="9"/>
  <c r="S16" i="9" s="1"/>
  <c r="T16" i="9" s="1"/>
  <c r="S12" i="9"/>
  <c r="S7" i="9"/>
  <c r="S37" i="9"/>
  <c r="F41" i="9"/>
  <c r="S41" i="9" s="1"/>
  <c r="T41" i="9" s="1"/>
  <c r="N12" i="8"/>
  <c r="N16" i="8" s="1"/>
  <c r="U16" i="8" s="1"/>
  <c r="N22" i="8"/>
  <c r="N26" i="8" s="1"/>
  <c r="U26" i="8" s="1"/>
  <c r="N27" i="8"/>
  <c r="N31" i="8" s="1"/>
  <c r="U31" i="8" s="1"/>
  <c r="N7" i="8"/>
  <c r="N11" i="8" s="1"/>
  <c r="U11" i="8" s="1"/>
  <c r="N32" i="8"/>
  <c r="N36" i="8" s="1"/>
  <c r="U36" i="8" s="1"/>
  <c r="N37" i="8"/>
  <c r="N41" i="8" s="1"/>
  <c r="U41" i="8" s="1"/>
  <c r="S7" i="8"/>
  <c r="S11" i="8" s="1"/>
  <c r="S12" i="8"/>
  <c r="S16" i="8" s="1"/>
  <c r="S17" i="8"/>
  <c r="S21" i="8" s="1"/>
  <c r="U21" i="8" s="1"/>
  <c r="S22" i="8"/>
  <c r="S26" i="8" s="1"/>
  <c r="S27" i="8"/>
  <c r="S31" i="8" s="1"/>
  <c r="S32" i="8"/>
  <c r="S36" i="8" s="1"/>
  <c r="S37" i="8"/>
  <c r="S41" i="8" s="1"/>
  <c r="F10" i="7"/>
  <c r="N65" i="7"/>
  <c r="N70" i="7"/>
  <c r="N61" i="7"/>
  <c r="F75" i="7"/>
  <c r="N20" i="7"/>
  <c r="N16" i="7"/>
  <c r="F60" i="7"/>
  <c r="N30" i="7"/>
  <c r="O30" i="7" s="1"/>
  <c r="F55" i="7"/>
  <c r="N55" i="7" s="1"/>
  <c r="O55" i="7" s="1"/>
  <c r="N51" i="7"/>
  <c r="N11" i="7"/>
  <c r="F15" i="7"/>
  <c r="N15" i="7" s="1"/>
  <c r="O15" i="7" s="1"/>
  <c r="N21" i="7"/>
  <c r="F25" i="7"/>
  <c r="N25" i="7" s="1"/>
  <c r="O25" i="7" s="1"/>
  <c r="N26" i="7"/>
  <c r="H30" i="7"/>
  <c r="N66" i="7"/>
  <c r="L31" i="7"/>
  <c r="L35" i="7" s="1"/>
  <c r="N35" i="7" s="1"/>
  <c r="G41" i="7"/>
  <c r="G45" i="7" s="1"/>
  <c r="F45" i="7"/>
  <c r="N45" i="7" s="1"/>
  <c r="L46" i="7"/>
  <c r="L50" i="7" s="1"/>
  <c r="N50" i="7" s="1"/>
  <c r="O50" i="7" s="1"/>
  <c r="G56" i="7"/>
  <c r="G60" i="7" s="1"/>
  <c r="N46" i="7"/>
  <c r="G71" i="7"/>
  <c r="G75" i="7" s="1"/>
  <c r="G6" i="7"/>
  <c r="G10" i="7" s="1"/>
  <c r="G36" i="7"/>
  <c r="L71" i="7"/>
  <c r="L75" i="7" s="1"/>
  <c r="L6" i="7"/>
  <c r="L10" i="7" s="1"/>
  <c r="L36" i="7"/>
  <c r="L40" i="7" s="1"/>
  <c r="T41" i="11" l="1"/>
  <c r="T11" i="9"/>
  <c r="U17" i="8"/>
  <c r="V21" i="8" s="1"/>
  <c r="U37" i="8"/>
  <c r="V41" i="8" s="1"/>
  <c r="U32" i="8"/>
  <c r="V36" i="8" s="1"/>
  <c r="U27" i="8"/>
  <c r="V31" i="8" s="1"/>
  <c r="U22" i="8"/>
  <c r="V26" i="8" s="1"/>
  <c r="U12" i="8"/>
  <c r="V16" i="8" s="1"/>
  <c r="U7" i="8"/>
  <c r="V11" i="8" s="1"/>
  <c r="N56" i="7"/>
  <c r="N60" i="7"/>
  <c r="O60" i="7" s="1"/>
  <c r="N75" i="7"/>
  <c r="O65" i="7"/>
  <c r="O20" i="7"/>
  <c r="N41" i="7"/>
  <c r="O45" i="7" s="1"/>
  <c r="G40" i="7"/>
  <c r="N40" i="7" s="1"/>
  <c r="O40" i="7" s="1"/>
  <c r="N36" i="7"/>
  <c r="N71" i="7"/>
  <c r="O70" i="7"/>
  <c r="N31" i="7"/>
  <c r="O35" i="7" s="1"/>
  <c r="N10" i="7"/>
  <c r="N6" i="7"/>
  <c r="O10" i="7" l="1"/>
  <c r="O7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9FE82F84-8DED-443C-860C-128EDDB285E4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D4EE4A17-6B6E-4F37-A8D0-1ED8609EB8BB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FD093F00-36B1-403C-A126-CDFD66989855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2A6B721C-0D25-4FDA-8C95-6FFFDB6B53F3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<sst xmlns="http://schemas.openxmlformats.org/spreadsheetml/2006/main" count="352" uniqueCount="99">
  <si>
    <t>رقم تسلسل</t>
  </si>
  <si>
    <t>رقم القيد</t>
  </si>
  <si>
    <t>التقييم</t>
  </si>
  <si>
    <t>الأمتحان النهائي</t>
  </si>
  <si>
    <t>المجموع</t>
  </si>
  <si>
    <t>عدد الوحدات</t>
  </si>
  <si>
    <t>التقييم النهائي</t>
  </si>
  <si>
    <t>اســــــم الطالـــــب</t>
  </si>
  <si>
    <t>معدل الفصل</t>
  </si>
  <si>
    <t>صحة وسلامة مهنية</t>
  </si>
  <si>
    <t>مواد مطالب بها من الفصل الاول</t>
  </si>
  <si>
    <t>رياضة1</t>
  </si>
  <si>
    <t>فيزياء</t>
  </si>
  <si>
    <t>اساسيات الحاسوب</t>
  </si>
  <si>
    <t>رياضة 2</t>
  </si>
  <si>
    <t>مواد مطالب بها من الفصل الرابع</t>
  </si>
  <si>
    <t>مـــــواد الفصــــــــــــــل الثانــــــــــــــــي</t>
  </si>
  <si>
    <t>التقديـــر</t>
  </si>
  <si>
    <t>نتيجــة الطالــب</t>
  </si>
  <si>
    <t>مــلا حظات</t>
  </si>
  <si>
    <t>مـــــواد الفصــــــــــــــل الثااـــث</t>
  </si>
  <si>
    <t>مواد مطالب بها من الفصل الثاني</t>
  </si>
  <si>
    <t>تطبيقات حاسوب2</t>
  </si>
  <si>
    <t>مواد مطالب بها من الفصل الثالــث</t>
  </si>
  <si>
    <t>مـــــواد الفصــــــــــــــل الرابـــع</t>
  </si>
  <si>
    <t>مـــــواد الفصــــــــــــــل الخامس</t>
  </si>
  <si>
    <t>لغـــة عربية</t>
  </si>
  <si>
    <t>لغة انجليزية 1</t>
  </si>
  <si>
    <t>رسم هندسي 1</t>
  </si>
  <si>
    <t>تقنية ورش</t>
  </si>
  <si>
    <t>لغة انجليزية 2</t>
  </si>
  <si>
    <t>تطبيقات حاسوب( اتوكاد )</t>
  </si>
  <si>
    <t xml:space="preserve">مواد الانشاء </t>
  </si>
  <si>
    <t>استاتيكا</t>
  </si>
  <si>
    <t>مساحة 1</t>
  </si>
  <si>
    <t>هندسة وصفية</t>
  </si>
  <si>
    <t>المسح الهندسي</t>
  </si>
  <si>
    <t>علم الخرائط 1</t>
  </si>
  <si>
    <t>جيولوجيا</t>
  </si>
  <si>
    <t>مساحة تصويرية 1</t>
  </si>
  <si>
    <t>مساحة 2</t>
  </si>
  <si>
    <t>الإحصاء</t>
  </si>
  <si>
    <t>مسح كادسترائي</t>
  </si>
  <si>
    <t>الأجهزة المساحية</t>
  </si>
  <si>
    <t xml:space="preserve">علم الخرائط 2 </t>
  </si>
  <si>
    <t>مساحة تصويرية 2</t>
  </si>
  <si>
    <t>الكميات و المواصفات</t>
  </si>
  <si>
    <t>كتابة تقارير فنية</t>
  </si>
  <si>
    <t>تسقيط منشات</t>
  </si>
  <si>
    <t>هندسة الطرق والمطارات</t>
  </si>
  <si>
    <t>المساحة الجيوديسية</t>
  </si>
  <si>
    <t>استشعار عن بعد</t>
  </si>
  <si>
    <t>إدارة المشاريع الهندسية</t>
  </si>
  <si>
    <t>إدارة مشاريع صغرة</t>
  </si>
  <si>
    <t>مريم احمد حمدو</t>
  </si>
  <si>
    <t>ابتهاج إبراهيم اسطيل</t>
  </si>
  <si>
    <t>بشير رمضان زيدان</t>
  </si>
  <si>
    <t>مسعود علي محمد شنتال</t>
  </si>
  <si>
    <t>سمية علي الفالح</t>
  </si>
  <si>
    <t>اماني عبدالحميد محمد</t>
  </si>
  <si>
    <t>محمد علي منصور</t>
  </si>
  <si>
    <t>فتح الله محمد فتح الله بلامة</t>
  </si>
  <si>
    <t>رفيق عبدالرحمن سليمان</t>
  </si>
  <si>
    <t>حنين محمد عبدالسلام</t>
  </si>
  <si>
    <t>ملاك مجحود زائد</t>
  </si>
  <si>
    <t>سلسبيل عبدالناصر بشير</t>
  </si>
  <si>
    <t>عائشة موسى الصديق</t>
  </si>
  <si>
    <t>يسرى عتيق حيدر</t>
  </si>
  <si>
    <t>مسرة مصباح محمد</t>
  </si>
  <si>
    <t>فاطمة جمعة علي</t>
  </si>
  <si>
    <t>هدى صالح وحاد</t>
  </si>
  <si>
    <t>نجمة ميلاد بيوض</t>
  </si>
  <si>
    <t>عائشة سالم عبدالسلام</t>
  </si>
  <si>
    <t>خديجة عبدالصمد محمد</t>
  </si>
  <si>
    <t>فاطمة مصباح عقيل</t>
  </si>
  <si>
    <t>امباركة صالح كريم</t>
  </si>
  <si>
    <t>حمزة علي امحمد الفالح</t>
  </si>
  <si>
    <t>ندى ونيس مسعود</t>
  </si>
  <si>
    <t>SE242001</t>
  </si>
  <si>
    <t>SE231001</t>
  </si>
  <si>
    <t>SE252001</t>
  </si>
  <si>
    <t>SE252004</t>
  </si>
  <si>
    <t>SE252007</t>
  </si>
  <si>
    <t>SE252008</t>
  </si>
  <si>
    <t>SE251001</t>
  </si>
  <si>
    <t>SE221001</t>
  </si>
  <si>
    <t>SE231007</t>
  </si>
  <si>
    <t>SE232006</t>
  </si>
  <si>
    <t>SE242002</t>
  </si>
  <si>
    <t>SE252006</t>
  </si>
  <si>
    <t>SE252009</t>
  </si>
  <si>
    <t>SE232004</t>
  </si>
  <si>
    <t>SE232012</t>
  </si>
  <si>
    <t>SE241002</t>
  </si>
  <si>
    <t>SE232002</t>
  </si>
  <si>
    <t>SE231008</t>
  </si>
  <si>
    <t>SE232005</t>
  </si>
  <si>
    <t>اعمال الفصل</t>
  </si>
  <si>
    <t>SE252003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</si>
</sst>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4"/>
      <name val="Arial"/>
      <family val="2"/>
    </font>
    <font>
      <b/>
      <i/>
      <sz val="18"/>
      <name val="Arial"/>
      <family val="2"/>
    </font>
    <font>
      <sz val="14"/>
      <name val="Arial"/>
      <family val="2"/>
    </font>
    <font>
      <b/>
      <i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7FBD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43">
    <border>
      <left/>
      <right/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1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ck">
        <color indexed="10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thick">
        <color indexed="10"/>
      </bottom>
      <diagonal/>
    </border>
    <border>
      <left style="double">
        <color indexed="64"/>
      </left>
      <right/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10"/>
      </bottom>
      <diagonal/>
    </border>
    <border>
      <left style="double">
        <color indexed="64"/>
      </left>
      <right style="double">
        <color indexed="64"/>
      </right>
      <top style="thick">
        <color indexed="10"/>
      </top>
      <bottom/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2" borderId="7" xfId="0" applyFont="1" applyFill="1" applyBorder="1" applyAlignment="1">
      <alignment wrapText="1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5" fillId="2" borderId="8" xfId="0" applyFont="1" applyFill="1" applyBorder="1" applyAlignment="1">
      <alignment wrapText="1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5" borderId="15" xfId="0" applyFont="1" applyFill="1" applyBorder="1"/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 textRotation="90"/>
    </xf>
    <xf numFmtId="0" fontId="6" fillId="3" borderId="12" xfId="0" applyFont="1" applyFill="1" applyBorder="1" applyAlignment="1">
      <alignment horizontal="center" vertical="center" textRotation="90"/>
    </xf>
    <xf numFmtId="0" fontId="6" fillId="3" borderId="16" xfId="0" applyFont="1" applyFill="1" applyBorder="1" applyAlignment="1">
      <alignment horizontal="center" vertical="center" textRotation="90"/>
    </xf>
    <xf numFmtId="0" fontId="6" fillId="3" borderId="17" xfId="0" applyFont="1" applyFill="1" applyBorder="1" applyAlignment="1">
      <alignment horizontal="center" vertical="center" textRotation="90"/>
    </xf>
    <xf numFmtId="0" fontId="7" fillId="0" borderId="4" xfId="0" applyFont="1" applyBorder="1"/>
    <xf numFmtId="0" fontId="7" fillId="0" borderId="1" xfId="0" applyFont="1" applyBorder="1"/>
    <xf numFmtId="0" fontId="7" fillId="0" borderId="15" xfId="0" applyFont="1" applyBorder="1"/>
    <xf numFmtId="0" fontId="7" fillId="0" borderId="19" xfId="0" applyFont="1" applyBorder="1" applyAlignment="1">
      <alignment wrapText="1"/>
    </xf>
    <xf numFmtId="0" fontId="7" fillId="0" borderId="2" xfId="0" applyFont="1" applyBorder="1"/>
    <xf numFmtId="0" fontId="7" fillId="0" borderId="8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8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 textRotation="90"/>
    </xf>
    <xf numFmtId="0" fontId="3" fillId="4" borderId="23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 vertical="center" textRotation="90"/>
    </xf>
    <xf numFmtId="0" fontId="3" fillId="3" borderId="22" xfId="0" applyFont="1" applyFill="1" applyBorder="1" applyAlignment="1">
      <alignment horizontal="center" vertical="center" textRotation="90"/>
    </xf>
    <xf numFmtId="0" fontId="3" fillId="3" borderId="17" xfId="0" applyFont="1" applyFill="1" applyBorder="1" applyAlignment="1">
      <alignment horizontal="center" vertical="center" textRotation="90"/>
    </xf>
    <xf numFmtId="0" fontId="6" fillId="3" borderId="26" xfId="0" applyFont="1" applyFill="1" applyBorder="1" applyAlignment="1">
      <alignment horizontal="center" vertical="center" textRotation="90"/>
    </xf>
    <xf numFmtId="0" fontId="3" fillId="3" borderId="22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wrapText="1"/>
    </xf>
    <xf numFmtId="0" fontId="5" fillId="2" borderId="19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 vertical="center" textRotation="90"/>
    </xf>
    <xf numFmtId="0" fontId="5" fillId="6" borderId="6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 textRotation="90"/>
    </xf>
    <xf numFmtId="0" fontId="3" fillId="0" borderId="29" xfId="0" applyFont="1" applyBorder="1" applyAlignment="1">
      <alignment horizontal="center" vertical="center" textRotation="90"/>
    </xf>
    <xf numFmtId="0" fontId="3" fillId="0" borderId="30" xfId="0" applyFont="1" applyBorder="1" applyAlignment="1">
      <alignment horizontal="center" vertical="center" textRotation="90"/>
    </xf>
    <xf numFmtId="0" fontId="4" fillId="0" borderId="2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textRotation="90"/>
    </xf>
    <xf numFmtId="0" fontId="6" fillId="0" borderId="29" xfId="0" applyFont="1" applyBorder="1" applyAlignment="1">
      <alignment horizontal="center" vertical="center" textRotation="90"/>
    </xf>
    <xf numFmtId="0" fontId="6" fillId="0" borderId="30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 textRotation="90"/>
    </xf>
    <xf numFmtId="0" fontId="8" fillId="0" borderId="5" xfId="0" applyFont="1" applyBorder="1" applyAlignment="1">
      <alignment textRotation="90"/>
    </xf>
    <xf numFmtId="0" fontId="6" fillId="3" borderId="5" xfId="0" applyFont="1" applyFill="1" applyBorder="1" applyAlignment="1">
      <alignment horizontal="center" vertical="center" textRotation="90"/>
    </xf>
    <xf numFmtId="0" fontId="8" fillId="0" borderId="5" xfId="0" applyFont="1" applyBorder="1"/>
    <xf numFmtId="0" fontId="6" fillId="3" borderId="27" xfId="0" applyFont="1" applyFill="1" applyBorder="1" applyAlignment="1">
      <alignment horizontal="center" vertical="center" textRotation="90"/>
    </xf>
    <xf numFmtId="0" fontId="6" fillId="3" borderId="37" xfId="0" applyFont="1" applyFill="1" applyBorder="1" applyAlignment="1">
      <alignment horizontal="center" vertical="center" textRotation="90"/>
    </xf>
    <xf numFmtId="0" fontId="6" fillId="9" borderId="38" xfId="0" applyFont="1" applyFill="1" applyBorder="1" applyAlignment="1">
      <alignment horizontal="center" vertical="center"/>
    </xf>
    <xf numFmtId="0" fontId="6" fillId="9" borderId="39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/>
    </xf>
    <xf numFmtId="0" fontId="6" fillId="10" borderId="38" xfId="0" applyFont="1" applyFill="1" applyBorder="1" applyAlignment="1">
      <alignment horizontal="center" vertical="center"/>
    </xf>
    <xf numFmtId="0" fontId="6" fillId="10" borderId="39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1238-069A-49F6-BDEB-885CC49864BB}">
  <dimension ref="B4:R76"/>
  <sheetViews>
    <sheetView rightToLeft="1" topLeftCell="A8" workbookViewId="0">
      <selection activeCell="C21" sqref="C21:C25"/>
    </sheetView>
  </sheetViews>
  <sheetFormatPr defaultRowHeight="12.75" x14ac:dyDescent="0.2"/>
  <cols>
    <col min="3" max="3" width="20.5703125" customWidth="1"/>
    <col min="5" max="5" width="23.85546875" customWidth="1"/>
    <col min="18" max="18" width="20" customWidth="1"/>
  </cols>
  <sheetData>
    <row r="4" spans="2:18" ht="13.5" thickBot="1" x14ac:dyDescent="0.25"/>
    <row r="5" spans="2:18" ht="99" thickTop="1" thickBot="1" x14ac:dyDescent="0.25">
      <c r="B5" s="62" t="s">
        <v>0</v>
      </c>
      <c r="C5" s="58" t="s">
        <v>7</v>
      </c>
      <c r="D5" s="57" t="s">
        <v>1</v>
      </c>
      <c r="E5" s="58" t="s">
        <v>2</v>
      </c>
      <c r="F5" s="55" t="s">
        <v>11</v>
      </c>
      <c r="G5" s="55" t="s">
        <v>12</v>
      </c>
      <c r="H5" s="55" t="s">
        <v>26</v>
      </c>
      <c r="I5" s="55" t="s">
        <v>27</v>
      </c>
      <c r="J5" s="55" t="s">
        <v>13</v>
      </c>
      <c r="K5" s="55" t="s">
        <v>28</v>
      </c>
      <c r="L5" s="55" t="s">
        <v>29</v>
      </c>
      <c r="M5" s="55" t="s">
        <v>9</v>
      </c>
      <c r="N5" s="55" t="s">
        <v>4</v>
      </c>
      <c r="O5" s="56" t="s">
        <v>8</v>
      </c>
      <c r="P5" s="54" t="s">
        <v>17</v>
      </c>
      <c r="Q5" s="49" t="s">
        <v>18</v>
      </c>
      <c r="R5" s="118" t="s">
        <v>19</v>
      </c>
    </row>
    <row r="6" spans="2:18" ht="20.25" thickTop="1" thickBot="1" x14ac:dyDescent="0.35">
      <c r="B6" s="78">
        <v>-1</v>
      </c>
      <c r="C6" s="75" t="s">
        <v>70</v>
      </c>
      <c r="D6" s="89" t="s">
        <v>84</v>
      </c>
      <c r="E6" s="50" t="s">
        <v>5</v>
      </c>
      <c r="F6" s="51">
        <f>IF(IF(F9=0,0,3),3,0)</f>
        <v>3</v>
      </c>
      <c r="G6" s="51">
        <f>IF(IF(G9=0,0,3),3,0)</f>
        <v>3</v>
      </c>
      <c r="H6" s="51">
        <f>IF(IF(H9=0,0,2),2,0)</f>
        <v>0</v>
      </c>
      <c r="I6" s="51">
        <f>IF(IF(I9=0,0,2),2,0)</f>
        <v>0</v>
      </c>
      <c r="J6" s="51">
        <f>IF(IF(J9=0,0,3),3,0)</f>
        <v>3</v>
      </c>
      <c r="K6" s="51">
        <f>IF(IF(K9=0,0,3),3,0)</f>
        <v>3</v>
      </c>
      <c r="L6" s="52">
        <f>IF(IF(G9=0,0,3),3,0)</f>
        <v>3</v>
      </c>
      <c r="M6" s="52">
        <f>IF(IF(G9=0,0,2),2,0)</f>
        <v>2</v>
      </c>
      <c r="N6" s="11">
        <f>SUM(F6:M6)</f>
        <v>17</v>
      </c>
      <c r="O6" s="17"/>
      <c r="P6" s="95"/>
      <c r="Q6" s="95"/>
      <c r="R6" s="81"/>
    </row>
    <row r="7" spans="2:18" ht="19.5" thickTop="1" thickBot="1" x14ac:dyDescent="0.3">
      <c r="B7" s="79"/>
      <c r="C7" s="76"/>
      <c r="D7" s="89"/>
      <c r="E7" s="5" t="s">
        <v>97</v>
      </c>
      <c r="F7" s="6">
        <v>25</v>
      </c>
      <c r="G7" s="6">
        <v>10</v>
      </c>
      <c r="H7" s="6">
        <v>0</v>
      </c>
      <c r="I7" s="7">
        <v>0</v>
      </c>
      <c r="J7" s="7">
        <v>22</v>
      </c>
      <c r="K7" s="7">
        <v>37</v>
      </c>
      <c r="L7" s="7">
        <v>0</v>
      </c>
      <c r="M7" s="7">
        <v>0</v>
      </c>
      <c r="N7" s="7"/>
      <c r="O7" s="18"/>
      <c r="P7" s="89"/>
      <c r="Q7" s="89"/>
      <c r="R7" s="82"/>
    </row>
    <row r="8" spans="2:18" ht="19.5" thickTop="1" thickBot="1" x14ac:dyDescent="0.3">
      <c r="B8" s="79"/>
      <c r="C8" s="76"/>
      <c r="D8" s="89"/>
      <c r="E8" s="1" t="s">
        <v>3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4"/>
      <c r="O8" s="16"/>
      <c r="P8" s="89"/>
      <c r="Q8" s="89"/>
      <c r="R8" s="82"/>
    </row>
    <row r="9" spans="2:18" ht="19.5" thickTop="1" thickBot="1" x14ac:dyDescent="0.3">
      <c r="B9" s="79"/>
      <c r="C9" s="76"/>
      <c r="D9" s="89"/>
      <c r="E9" s="21" t="s">
        <v>4</v>
      </c>
      <c r="F9" s="22">
        <f t="shared" ref="F9:M9" si="0">IF(F8&lt;30,F7,F7+F8)</f>
        <v>25</v>
      </c>
      <c r="G9" s="22">
        <f t="shared" si="0"/>
        <v>10</v>
      </c>
      <c r="H9" s="22">
        <f t="shared" si="0"/>
        <v>0</v>
      </c>
      <c r="I9" s="22">
        <f t="shared" si="0"/>
        <v>0</v>
      </c>
      <c r="J9" s="22">
        <f t="shared" si="0"/>
        <v>22</v>
      </c>
      <c r="K9" s="22">
        <f t="shared" si="0"/>
        <v>37</v>
      </c>
      <c r="L9" s="22">
        <f t="shared" si="0"/>
        <v>0</v>
      </c>
      <c r="M9" s="22">
        <f t="shared" si="0"/>
        <v>0</v>
      </c>
      <c r="N9" s="23"/>
      <c r="O9" s="24"/>
      <c r="P9" s="89"/>
      <c r="Q9" s="89"/>
      <c r="R9" s="82"/>
    </row>
    <row r="10" spans="2:18" ht="37.5" thickTop="1" thickBot="1" x14ac:dyDescent="0.3">
      <c r="B10" s="80"/>
      <c r="C10" s="77"/>
      <c r="D10" s="90"/>
      <c r="E10" s="12" t="s">
        <v>6</v>
      </c>
      <c r="F10" s="13">
        <f t="shared" ref="F10:M10" si="1">SUM(F6*F9)</f>
        <v>75</v>
      </c>
      <c r="G10" s="13">
        <f t="shared" si="1"/>
        <v>30</v>
      </c>
      <c r="H10" s="13">
        <f t="shared" si="1"/>
        <v>0</v>
      </c>
      <c r="I10" s="13">
        <f t="shared" si="1"/>
        <v>0</v>
      </c>
      <c r="J10" s="13">
        <f t="shared" si="1"/>
        <v>66</v>
      </c>
      <c r="K10" s="13">
        <f t="shared" si="1"/>
        <v>111</v>
      </c>
      <c r="L10" s="13">
        <f t="shared" si="1"/>
        <v>0</v>
      </c>
      <c r="M10" s="13">
        <f t="shared" si="1"/>
        <v>0</v>
      </c>
      <c r="N10" s="14">
        <f>SUM(F10:M10)</f>
        <v>282</v>
      </c>
      <c r="O10" s="20">
        <f>SUM(N10/N6)</f>
        <v>16.588235294117649</v>
      </c>
      <c r="P10" s="90"/>
      <c r="Q10" s="90"/>
      <c r="R10" s="83"/>
    </row>
    <row r="11" spans="2:18" ht="20.25" thickTop="1" thickBot="1" x14ac:dyDescent="0.35">
      <c r="B11" s="91">
        <v>-2</v>
      </c>
      <c r="C11" s="84" t="s">
        <v>68</v>
      </c>
      <c r="D11" s="89" t="s">
        <v>80</v>
      </c>
      <c r="E11" s="15" t="s">
        <v>5</v>
      </c>
      <c r="F11" s="51">
        <f>IF(IF(F14=0,0,3),3,0)</f>
        <v>3</v>
      </c>
      <c r="G11" s="51">
        <f>IF(IF(G14=0,0,3),3,0)</f>
        <v>3</v>
      </c>
      <c r="H11" s="51">
        <f>IF(IF(H14=0,0,2),2,0)</f>
        <v>0</v>
      </c>
      <c r="I11" s="51">
        <f>IF(IF(I14=0,0,2),2,0)</f>
        <v>0</v>
      </c>
      <c r="J11" s="51">
        <f>IF(IF(J14=0,0,3),3,0)</f>
        <v>3</v>
      </c>
      <c r="K11" s="51">
        <f>IF(IF(K14=0,0,3),3,0)</f>
        <v>3</v>
      </c>
      <c r="L11" s="52">
        <f>IF(IF(G14=0,0,3),3,0)</f>
        <v>3</v>
      </c>
      <c r="M11" s="52">
        <f>IF(IF(G14=0,0,2),2,0)</f>
        <v>2</v>
      </c>
      <c r="N11" s="11">
        <f>SUM(F11:M11)</f>
        <v>17</v>
      </c>
      <c r="O11" s="17"/>
      <c r="P11" s="95"/>
      <c r="Q11" s="95"/>
      <c r="R11" s="81"/>
    </row>
    <row r="12" spans="2:18" ht="19.5" thickTop="1" thickBot="1" x14ac:dyDescent="0.3">
      <c r="B12" s="79"/>
      <c r="C12" s="76"/>
      <c r="D12" s="89"/>
      <c r="E12" s="2" t="s">
        <v>97</v>
      </c>
      <c r="F12" s="6">
        <v>28</v>
      </c>
      <c r="G12" s="6">
        <v>25</v>
      </c>
      <c r="H12" s="6">
        <v>0</v>
      </c>
      <c r="I12" s="7">
        <v>0</v>
      </c>
      <c r="J12" s="7">
        <v>27</v>
      </c>
      <c r="K12" s="7">
        <v>35</v>
      </c>
      <c r="L12" s="7">
        <v>0</v>
      </c>
      <c r="M12" s="7">
        <v>10</v>
      </c>
      <c r="N12" s="7"/>
      <c r="O12" s="18"/>
      <c r="P12" s="89"/>
      <c r="Q12" s="89"/>
      <c r="R12" s="82"/>
    </row>
    <row r="13" spans="2:18" ht="19.5" thickTop="1" thickBot="1" x14ac:dyDescent="0.3">
      <c r="B13" s="79"/>
      <c r="C13" s="76"/>
      <c r="D13" s="89"/>
      <c r="E13" s="1" t="s">
        <v>3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4"/>
      <c r="O13" s="16"/>
      <c r="P13" s="89"/>
      <c r="Q13" s="89"/>
      <c r="R13" s="82"/>
    </row>
    <row r="14" spans="2:18" ht="19.5" thickTop="1" thickBot="1" x14ac:dyDescent="0.3">
      <c r="B14" s="79"/>
      <c r="C14" s="76"/>
      <c r="D14" s="89"/>
      <c r="E14" s="21" t="s">
        <v>4</v>
      </c>
      <c r="F14" s="22">
        <f t="shared" ref="F14:M14" si="2">IF(F13&lt;30,F12,F12+F13)</f>
        <v>28</v>
      </c>
      <c r="G14" s="22">
        <f t="shared" si="2"/>
        <v>25</v>
      </c>
      <c r="H14" s="22">
        <f t="shared" si="2"/>
        <v>0</v>
      </c>
      <c r="I14" s="22">
        <f t="shared" si="2"/>
        <v>0</v>
      </c>
      <c r="J14" s="22">
        <f t="shared" si="2"/>
        <v>27</v>
      </c>
      <c r="K14" s="22">
        <f t="shared" si="2"/>
        <v>35</v>
      </c>
      <c r="L14" s="22">
        <f t="shared" si="2"/>
        <v>0</v>
      </c>
      <c r="M14" s="22">
        <f t="shared" si="2"/>
        <v>10</v>
      </c>
      <c r="N14" s="23"/>
      <c r="O14" s="24"/>
      <c r="P14" s="89"/>
      <c r="Q14" s="89"/>
      <c r="R14" s="82"/>
    </row>
    <row r="15" spans="2:18" ht="37.5" thickTop="1" thickBot="1" x14ac:dyDescent="0.3">
      <c r="B15" s="80"/>
      <c r="C15" s="77"/>
      <c r="D15" s="90"/>
      <c r="E15" s="12" t="s">
        <v>6</v>
      </c>
      <c r="F15" s="13">
        <f t="shared" ref="F15:M15" si="3">SUM(F11*F14)</f>
        <v>84</v>
      </c>
      <c r="G15" s="13">
        <f t="shared" si="3"/>
        <v>75</v>
      </c>
      <c r="H15" s="13">
        <f t="shared" si="3"/>
        <v>0</v>
      </c>
      <c r="I15" s="13">
        <f t="shared" si="3"/>
        <v>0</v>
      </c>
      <c r="J15" s="13">
        <f t="shared" si="3"/>
        <v>81</v>
      </c>
      <c r="K15" s="13">
        <f t="shared" si="3"/>
        <v>105</v>
      </c>
      <c r="L15" s="13">
        <f t="shared" si="3"/>
        <v>0</v>
      </c>
      <c r="M15" s="13">
        <f t="shared" si="3"/>
        <v>20</v>
      </c>
      <c r="N15" s="14">
        <f>SUM(F15:M15)</f>
        <v>365</v>
      </c>
      <c r="O15" s="20">
        <f>SUM(N15/N11)</f>
        <v>21.470588235294116</v>
      </c>
      <c r="P15" s="90"/>
      <c r="Q15" s="90"/>
      <c r="R15" s="83"/>
    </row>
    <row r="16" spans="2:18" ht="20.25" thickTop="1" thickBot="1" x14ac:dyDescent="0.35">
      <c r="B16" s="91">
        <v>-3</v>
      </c>
      <c r="C16" s="84" t="s">
        <v>71</v>
      </c>
      <c r="D16" s="89" t="s">
        <v>80</v>
      </c>
      <c r="E16" s="15" t="s">
        <v>5</v>
      </c>
      <c r="F16" s="51">
        <f>IF(IF(F19=0,0,3),3,0)</f>
        <v>0</v>
      </c>
      <c r="G16" s="51">
        <f>IF(IF(G19=0,0,3),3,0)</f>
        <v>3</v>
      </c>
      <c r="H16" s="51">
        <f>IF(IF(H19=0,0,2),2,0)</f>
        <v>0</v>
      </c>
      <c r="I16" s="51">
        <f>IF(IF(I19=0,0,2),2,0)</f>
        <v>0</v>
      </c>
      <c r="J16" s="51">
        <f>IF(IF(J19=0,0,3),3,0)</f>
        <v>3</v>
      </c>
      <c r="K16" s="51">
        <f>IF(IF(K19=0,0,3),3,0)</f>
        <v>3</v>
      </c>
      <c r="L16" s="52">
        <f>IF(IF(G19=0,0,3),3,0)</f>
        <v>3</v>
      </c>
      <c r="M16" s="52">
        <f>IF(IF(G19=0,0,2),2,0)</f>
        <v>2</v>
      </c>
      <c r="N16" s="11">
        <f>SUM(F16:M16)</f>
        <v>14</v>
      </c>
      <c r="O16" s="17"/>
      <c r="P16" s="95"/>
      <c r="Q16" s="95"/>
      <c r="R16" s="81"/>
    </row>
    <row r="17" spans="2:18" ht="19.5" thickTop="1" thickBot="1" x14ac:dyDescent="0.3">
      <c r="B17" s="79"/>
      <c r="C17" s="76"/>
      <c r="D17" s="89"/>
      <c r="E17" s="2" t="s">
        <v>97</v>
      </c>
      <c r="F17" s="6">
        <v>0</v>
      </c>
      <c r="G17" s="6">
        <v>20</v>
      </c>
      <c r="H17" s="6">
        <v>0</v>
      </c>
      <c r="I17" s="7">
        <v>0</v>
      </c>
      <c r="J17" s="7">
        <v>25</v>
      </c>
      <c r="K17" s="7">
        <v>32</v>
      </c>
      <c r="L17" s="7">
        <v>0</v>
      </c>
      <c r="M17" s="7">
        <v>0</v>
      </c>
      <c r="N17" s="7"/>
      <c r="O17" s="18"/>
      <c r="P17" s="89"/>
      <c r="Q17" s="89"/>
      <c r="R17" s="82"/>
    </row>
    <row r="18" spans="2:18" ht="19.5" thickTop="1" thickBot="1" x14ac:dyDescent="0.3">
      <c r="B18" s="79"/>
      <c r="C18" s="76"/>
      <c r="D18" s="89"/>
      <c r="E18" s="1" t="s">
        <v>3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4"/>
      <c r="O18" s="16"/>
      <c r="P18" s="89"/>
      <c r="Q18" s="89"/>
      <c r="R18" s="82"/>
    </row>
    <row r="19" spans="2:18" ht="19.5" thickTop="1" thickBot="1" x14ac:dyDescent="0.3">
      <c r="B19" s="79"/>
      <c r="C19" s="76"/>
      <c r="D19" s="89"/>
      <c r="E19" s="21" t="s">
        <v>4</v>
      </c>
      <c r="F19" s="22">
        <f>IF(F18&lt;30,F17,F17+F18)</f>
        <v>0</v>
      </c>
      <c r="G19" s="22">
        <f t="shared" ref="G19:M19" si="4">IF(G18&lt;30,G17,G17+G18)</f>
        <v>20</v>
      </c>
      <c r="H19" s="22">
        <f t="shared" si="4"/>
        <v>0</v>
      </c>
      <c r="I19" s="22">
        <f t="shared" si="4"/>
        <v>0</v>
      </c>
      <c r="J19" s="22">
        <f t="shared" si="4"/>
        <v>25</v>
      </c>
      <c r="K19" s="22">
        <f t="shared" si="4"/>
        <v>32</v>
      </c>
      <c r="L19" s="22">
        <f t="shared" si="4"/>
        <v>0</v>
      </c>
      <c r="M19" s="22">
        <f t="shared" si="4"/>
        <v>0</v>
      </c>
      <c r="N19" s="23"/>
      <c r="O19" s="24"/>
      <c r="P19" s="89"/>
      <c r="Q19" s="89"/>
      <c r="R19" s="82"/>
    </row>
    <row r="20" spans="2:18" ht="37.5" thickTop="1" thickBot="1" x14ac:dyDescent="0.3">
      <c r="B20" s="80"/>
      <c r="C20" s="77"/>
      <c r="D20" s="90"/>
      <c r="E20" s="8" t="s">
        <v>6</v>
      </c>
      <c r="F20" s="13">
        <f>SUM(F16*F19)</f>
        <v>0</v>
      </c>
      <c r="G20" s="13">
        <f t="shared" ref="G20:M20" si="5">SUM(G16*G19)</f>
        <v>60</v>
      </c>
      <c r="H20" s="13">
        <f t="shared" si="5"/>
        <v>0</v>
      </c>
      <c r="I20" s="13">
        <f t="shared" si="5"/>
        <v>0</v>
      </c>
      <c r="J20" s="13">
        <f t="shared" si="5"/>
        <v>75</v>
      </c>
      <c r="K20" s="13">
        <f t="shared" si="5"/>
        <v>96</v>
      </c>
      <c r="L20" s="13">
        <f t="shared" si="5"/>
        <v>0</v>
      </c>
      <c r="M20" s="13">
        <f t="shared" si="5"/>
        <v>0</v>
      </c>
      <c r="N20" s="14">
        <f>SUM(F20:M20)</f>
        <v>231</v>
      </c>
      <c r="O20" s="20">
        <f>SUM(N20/N16)</f>
        <v>16.5</v>
      </c>
      <c r="P20" s="90"/>
      <c r="Q20" s="90"/>
      <c r="R20" s="83"/>
    </row>
    <row r="21" spans="2:18" ht="20.25" thickTop="1" thickBot="1" x14ac:dyDescent="0.35">
      <c r="B21" s="91">
        <v>-4</v>
      </c>
      <c r="C21" s="84" t="s">
        <v>69</v>
      </c>
      <c r="D21" s="89" t="s">
        <v>98</v>
      </c>
      <c r="E21" s="10" t="s">
        <v>5</v>
      </c>
      <c r="F21" s="51">
        <f>IF(IF(F24=0,0,3),3,0)</f>
        <v>3</v>
      </c>
      <c r="G21" s="51">
        <f>IF(IF(G24=0,0,3),3,0)</f>
        <v>3</v>
      </c>
      <c r="H21" s="51">
        <f>IF(IF(H24=0,0,2),2,0)</f>
        <v>0</v>
      </c>
      <c r="I21" s="51">
        <f>IF(IF(I24=0,0,2),2,0)</f>
        <v>0</v>
      </c>
      <c r="J21" s="51">
        <f>IF(IF(J24=0,0,3),3,0)</f>
        <v>3</v>
      </c>
      <c r="K21" s="51">
        <f>IF(IF(K24=0,0,3),3,0)</f>
        <v>3</v>
      </c>
      <c r="L21" s="52">
        <f>IF(IF(G24=0,0,3),3,0)</f>
        <v>3</v>
      </c>
      <c r="M21" s="52">
        <f>IF(IF(G24=0,0,2),2,0)</f>
        <v>2</v>
      </c>
      <c r="N21" s="11">
        <f>SUM(F21:M21)</f>
        <v>17</v>
      </c>
      <c r="O21" s="17"/>
      <c r="P21" s="85"/>
      <c r="Q21" s="85"/>
      <c r="R21" s="81"/>
    </row>
    <row r="22" spans="2:18" ht="19.5" thickTop="1" thickBot="1" x14ac:dyDescent="0.3">
      <c r="B22" s="79"/>
      <c r="C22" s="76"/>
      <c r="D22" s="89"/>
      <c r="E22" s="2" t="s">
        <v>97</v>
      </c>
      <c r="F22" s="6">
        <v>26</v>
      </c>
      <c r="G22" s="6">
        <v>30</v>
      </c>
      <c r="H22" s="6">
        <v>0</v>
      </c>
      <c r="I22" s="7">
        <v>0</v>
      </c>
      <c r="J22" s="7">
        <v>19</v>
      </c>
      <c r="K22" s="7">
        <v>38</v>
      </c>
      <c r="L22" s="7">
        <v>0</v>
      </c>
      <c r="M22" s="7">
        <v>19</v>
      </c>
      <c r="N22" s="7"/>
      <c r="O22" s="18"/>
      <c r="P22" s="86"/>
      <c r="Q22" s="86"/>
      <c r="R22" s="82"/>
    </row>
    <row r="23" spans="2:18" ht="19.5" thickTop="1" thickBot="1" x14ac:dyDescent="0.3">
      <c r="B23" s="79"/>
      <c r="C23" s="76"/>
      <c r="D23" s="89"/>
      <c r="E23" s="1" t="s">
        <v>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4"/>
      <c r="O23" s="16"/>
      <c r="P23" s="86"/>
      <c r="Q23" s="86"/>
      <c r="R23" s="82"/>
    </row>
    <row r="24" spans="2:18" ht="19.5" thickTop="1" thickBot="1" x14ac:dyDescent="0.3">
      <c r="B24" s="79"/>
      <c r="C24" s="76"/>
      <c r="D24" s="89"/>
      <c r="E24" s="21" t="s">
        <v>4</v>
      </c>
      <c r="F24" s="22">
        <f t="shared" ref="F24:M24" si="6">IF(F23&lt;30,F22,F22+F23)</f>
        <v>26</v>
      </c>
      <c r="G24" s="22">
        <f t="shared" si="6"/>
        <v>30</v>
      </c>
      <c r="H24" s="22">
        <f t="shared" si="6"/>
        <v>0</v>
      </c>
      <c r="I24" s="22">
        <f t="shared" si="6"/>
        <v>0</v>
      </c>
      <c r="J24" s="22">
        <f t="shared" si="6"/>
        <v>19</v>
      </c>
      <c r="K24" s="22">
        <f t="shared" si="6"/>
        <v>38</v>
      </c>
      <c r="L24" s="22">
        <f t="shared" si="6"/>
        <v>0</v>
      </c>
      <c r="M24" s="22">
        <f t="shared" si="6"/>
        <v>19</v>
      </c>
      <c r="N24" s="23"/>
      <c r="O24" s="24"/>
      <c r="P24" s="86"/>
      <c r="Q24" s="86"/>
      <c r="R24" s="82"/>
    </row>
    <row r="25" spans="2:18" ht="37.5" thickTop="1" thickBot="1" x14ac:dyDescent="0.3">
      <c r="B25" s="80"/>
      <c r="C25" s="77"/>
      <c r="D25" s="90"/>
      <c r="E25" s="8" t="s">
        <v>6</v>
      </c>
      <c r="F25" s="13">
        <f t="shared" ref="F25:M25" si="7">SUM(F21*F24)</f>
        <v>78</v>
      </c>
      <c r="G25" s="13">
        <f t="shared" si="7"/>
        <v>90</v>
      </c>
      <c r="H25" s="13">
        <f t="shared" si="7"/>
        <v>0</v>
      </c>
      <c r="I25" s="13">
        <f t="shared" si="7"/>
        <v>0</v>
      </c>
      <c r="J25" s="13">
        <f t="shared" si="7"/>
        <v>57</v>
      </c>
      <c r="K25" s="13">
        <f t="shared" si="7"/>
        <v>114</v>
      </c>
      <c r="L25" s="13">
        <f t="shared" si="7"/>
        <v>0</v>
      </c>
      <c r="M25" s="13">
        <f t="shared" si="7"/>
        <v>38</v>
      </c>
      <c r="N25" s="14">
        <f>SUM(F25:M25)</f>
        <v>377</v>
      </c>
      <c r="O25" s="20">
        <f>SUM(N25/N21)</f>
        <v>22.176470588235293</v>
      </c>
      <c r="P25" s="87"/>
      <c r="Q25" s="87"/>
      <c r="R25" s="83"/>
    </row>
    <row r="26" spans="2:18" ht="20.25" thickTop="1" thickBot="1" x14ac:dyDescent="0.35">
      <c r="B26" s="78">
        <v>-5</v>
      </c>
      <c r="C26" s="84" t="s">
        <v>72</v>
      </c>
      <c r="D26" s="89" t="s">
        <v>81</v>
      </c>
      <c r="E26" s="10" t="s">
        <v>5</v>
      </c>
      <c r="F26" s="51">
        <f>IF(IF(F29=0,0,3),3,0)</f>
        <v>3</v>
      </c>
      <c r="G26" s="51">
        <f>IF(IF(G29=0,0,3),3,0)</f>
        <v>3</v>
      </c>
      <c r="H26" s="51">
        <f>IF(IF(H29=0,0,2),2,0)</f>
        <v>0</v>
      </c>
      <c r="I26" s="51">
        <f>IF(IF(I29=0,0,2),2,0)</f>
        <v>0</v>
      </c>
      <c r="J26" s="51">
        <f>IF(IF(J29=0,0,3),3,0)</f>
        <v>3</v>
      </c>
      <c r="K26" s="51">
        <f>IF(IF(K29=0,0,3),3,0)</f>
        <v>3</v>
      </c>
      <c r="L26" s="52">
        <f>IF(IF(G29=0,0,3),3,0)</f>
        <v>3</v>
      </c>
      <c r="M26" s="52">
        <f>IF(IF(G29=0,0,2),2,0)</f>
        <v>2</v>
      </c>
      <c r="N26" s="11">
        <f>SUM(F26:M26)</f>
        <v>17</v>
      </c>
      <c r="O26" s="17"/>
      <c r="P26" s="85"/>
      <c r="Q26" s="85"/>
      <c r="R26" s="81"/>
    </row>
    <row r="27" spans="2:18" ht="19.5" thickTop="1" thickBot="1" x14ac:dyDescent="0.3">
      <c r="B27" s="79"/>
      <c r="C27" s="76"/>
      <c r="D27" s="89"/>
      <c r="E27" s="2" t="s">
        <v>97</v>
      </c>
      <c r="F27" s="6">
        <v>26</v>
      </c>
      <c r="G27" s="6">
        <v>25</v>
      </c>
      <c r="H27" s="6">
        <v>0</v>
      </c>
      <c r="I27" s="7">
        <v>0</v>
      </c>
      <c r="J27" s="7">
        <v>26</v>
      </c>
      <c r="K27" s="7">
        <v>37</v>
      </c>
      <c r="L27" s="7">
        <v>0</v>
      </c>
      <c r="M27" s="7">
        <v>21</v>
      </c>
      <c r="N27" s="7"/>
      <c r="O27" s="18"/>
      <c r="P27" s="86"/>
      <c r="Q27" s="86"/>
      <c r="R27" s="82"/>
    </row>
    <row r="28" spans="2:18" ht="19.5" thickTop="1" thickBot="1" x14ac:dyDescent="0.3">
      <c r="B28" s="79"/>
      <c r="C28" s="76"/>
      <c r="D28" s="89"/>
      <c r="E28" s="1" t="s">
        <v>3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4"/>
      <c r="O28" s="16"/>
      <c r="P28" s="86"/>
      <c r="Q28" s="86"/>
      <c r="R28" s="82"/>
    </row>
    <row r="29" spans="2:18" ht="19.5" thickTop="1" thickBot="1" x14ac:dyDescent="0.3">
      <c r="B29" s="79"/>
      <c r="C29" s="76"/>
      <c r="D29" s="89"/>
      <c r="E29" s="21" t="s">
        <v>4</v>
      </c>
      <c r="F29" s="22">
        <f t="shared" ref="F29:M29" si="8">IF(F28&lt;30,F27,F27+F28)</f>
        <v>26</v>
      </c>
      <c r="G29" s="22">
        <f t="shared" si="8"/>
        <v>25</v>
      </c>
      <c r="H29" s="22">
        <f t="shared" si="8"/>
        <v>0</v>
      </c>
      <c r="I29" s="22">
        <f t="shared" si="8"/>
        <v>0</v>
      </c>
      <c r="J29" s="22">
        <f t="shared" si="8"/>
        <v>26</v>
      </c>
      <c r="K29" s="22">
        <f t="shared" si="8"/>
        <v>37</v>
      </c>
      <c r="L29" s="22">
        <f t="shared" si="8"/>
        <v>0</v>
      </c>
      <c r="M29" s="22">
        <f t="shared" si="8"/>
        <v>21</v>
      </c>
      <c r="N29" s="23"/>
      <c r="O29" s="24"/>
      <c r="P29" s="86"/>
      <c r="Q29" s="86"/>
      <c r="R29" s="82"/>
    </row>
    <row r="30" spans="2:18" ht="37.5" thickTop="1" thickBot="1" x14ac:dyDescent="0.3">
      <c r="B30" s="80"/>
      <c r="C30" s="77"/>
      <c r="D30" s="90"/>
      <c r="E30" s="8" t="s">
        <v>6</v>
      </c>
      <c r="F30" s="13">
        <f t="shared" ref="F30:M30" si="9">SUM(F26*F29)</f>
        <v>78</v>
      </c>
      <c r="G30" s="13">
        <f t="shared" si="9"/>
        <v>75</v>
      </c>
      <c r="H30" s="13">
        <f t="shared" si="9"/>
        <v>0</v>
      </c>
      <c r="I30" s="13">
        <f t="shared" si="9"/>
        <v>0</v>
      </c>
      <c r="J30" s="13">
        <f t="shared" si="9"/>
        <v>78</v>
      </c>
      <c r="K30" s="13">
        <f t="shared" si="9"/>
        <v>111</v>
      </c>
      <c r="L30" s="13">
        <f t="shared" si="9"/>
        <v>0</v>
      </c>
      <c r="M30" s="13">
        <f t="shared" si="9"/>
        <v>42</v>
      </c>
      <c r="N30" s="14">
        <f>SUM(F30:M30)</f>
        <v>384</v>
      </c>
      <c r="O30" s="20">
        <f>SUM(N30/N26)</f>
        <v>22.588235294117649</v>
      </c>
      <c r="P30" s="87"/>
      <c r="Q30" s="87"/>
      <c r="R30" s="83"/>
    </row>
    <row r="31" spans="2:18" ht="20.25" thickTop="1" thickBot="1" x14ac:dyDescent="0.35">
      <c r="B31" s="78">
        <v>-6</v>
      </c>
      <c r="C31" s="84" t="s">
        <v>73</v>
      </c>
      <c r="D31" s="89" t="s">
        <v>82</v>
      </c>
      <c r="E31" s="10" t="s">
        <v>5</v>
      </c>
      <c r="F31" s="51">
        <f>IF(IF(F34=0,0,3),3,0)</f>
        <v>3</v>
      </c>
      <c r="G31" s="51">
        <f>IF(IF(G34=0,0,3),3,0)</f>
        <v>3</v>
      </c>
      <c r="H31" s="51">
        <f>IF(IF(H34=0,0,2),2,0)</f>
        <v>0</v>
      </c>
      <c r="I31" s="51">
        <f>IF(IF(I34=0,0,2),2,0)</f>
        <v>0</v>
      </c>
      <c r="J31" s="51">
        <f>IF(IF(J34=0,0,3),3,0)</f>
        <v>3</v>
      </c>
      <c r="K31" s="51">
        <f>IF(IF(K34=0,0,3),3,0)</f>
        <v>3</v>
      </c>
      <c r="L31" s="52">
        <f>IF(IF(G34=0,0,3),3,0)</f>
        <v>3</v>
      </c>
      <c r="M31" s="52">
        <f>IF(IF(G34=0,0,2),2,0)</f>
        <v>2</v>
      </c>
      <c r="N31" s="11">
        <f>SUM(F31:M31)</f>
        <v>17</v>
      </c>
      <c r="O31" s="17"/>
      <c r="P31" s="85"/>
      <c r="Q31" s="85"/>
      <c r="R31" s="81"/>
    </row>
    <row r="32" spans="2:18" ht="19.5" thickTop="1" thickBot="1" x14ac:dyDescent="0.3">
      <c r="B32" s="79"/>
      <c r="C32" s="76"/>
      <c r="D32" s="89"/>
      <c r="E32" s="2" t="s">
        <v>97</v>
      </c>
      <c r="F32" s="6">
        <v>25</v>
      </c>
      <c r="G32" s="6">
        <v>13</v>
      </c>
      <c r="H32" s="6">
        <v>0</v>
      </c>
      <c r="I32" s="7">
        <v>0</v>
      </c>
      <c r="J32" s="7">
        <v>27</v>
      </c>
      <c r="K32" s="7">
        <v>32</v>
      </c>
      <c r="L32" s="7">
        <v>0</v>
      </c>
      <c r="M32" s="7">
        <v>11</v>
      </c>
      <c r="N32" s="7"/>
      <c r="O32" s="18"/>
      <c r="P32" s="86"/>
      <c r="Q32" s="86"/>
      <c r="R32" s="82"/>
    </row>
    <row r="33" spans="2:18" ht="19.5" thickTop="1" thickBot="1" x14ac:dyDescent="0.3">
      <c r="B33" s="79"/>
      <c r="C33" s="76"/>
      <c r="D33" s="89"/>
      <c r="E33" s="1" t="s">
        <v>3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4"/>
      <c r="O33" s="16"/>
      <c r="P33" s="86"/>
      <c r="Q33" s="86"/>
      <c r="R33" s="82"/>
    </row>
    <row r="34" spans="2:18" ht="19.5" thickTop="1" thickBot="1" x14ac:dyDescent="0.3">
      <c r="B34" s="79"/>
      <c r="C34" s="76"/>
      <c r="D34" s="89"/>
      <c r="E34" s="21" t="s">
        <v>4</v>
      </c>
      <c r="F34" s="22">
        <f t="shared" ref="F34:M34" si="10">IF(F33&lt;30,F32,F32+F33)</f>
        <v>25</v>
      </c>
      <c r="G34" s="22">
        <f t="shared" si="10"/>
        <v>13</v>
      </c>
      <c r="H34" s="22">
        <f t="shared" si="10"/>
        <v>0</v>
      </c>
      <c r="I34" s="22">
        <f t="shared" si="10"/>
        <v>0</v>
      </c>
      <c r="J34" s="22">
        <f t="shared" si="10"/>
        <v>27</v>
      </c>
      <c r="K34" s="22">
        <f t="shared" si="10"/>
        <v>32</v>
      </c>
      <c r="L34" s="22">
        <f t="shared" si="10"/>
        <v>0</v>
      </c>
      <c r="M34" s="22">
        <f t="shared" si="10"/>
        <v>11</v>
      </c>
      <c r="N34" s="23"/>
      <c r="O34" s="24"/>
      <c r="P34" s="86"/>
      <c r="Q34" s="86"/>
      <c r="R34" s="82"/>
    </row>
    <row r="35" spans="2:18" ht="37.5" thickTop="1" thickBot="1" x14ac:dyDescent="0.3">
      <c r="B35" s="80"/>
      <c r="C35" s="77"/>
      <c r="D35" s="90"/>
      <c r="E35" s="12" t="s">
        <v>6</v>
      </c>
      <c r="F35" s="13">
        <f t="shared" ref="F35:M35" si="11">SUM(F31*F34)</f>
        <v>75</v>
      </c>
      <c r="G35" s="13">
        <f t="shared" si="11"/>
        <v>39</v>
      </c>
      <c r="H35" s="13">
        <f t="shared" si="11"/>
        <v>0</v>
      </c>
      <c r="I35" s="13">
        <f t="shared" si="11"/>
        <v>0</v>
      </c>
      <c r="J35" s="13">
        <f t="shared" si="11"/>
        <v>81</v>
      </c>
      <c r="K35" s="13">
        <f t="shared" si="11"/>
        <v>96</v>
      </c>
      <c r="L35" s="13">
        <f t="shared" si="11"/>
        <v>0</v>
      </c>
      <c r="M35" s="13">
        <f t="shared" si="11"/>
        <v>22</v>
      </c>
      <c r="N35" s="14">
        <f>SUM(F35:M35)</f>
        <v>313</v>
      </c>
      <c r="O35" s="20">
        <f>SUM(N35/N31)</f>
        <v>18.411764705882351</v>
      </c>
      <c r="P35" s="87"/>
      <c r="Q35" s="87"/>
      <c r="R35" s="83"/>
    </row>
    <row r="36" spans="2:18" ht="20.25" thickTop="1" thickBot="1" x14ac:dyDescent="0.35">
      <c r="B36" s="78">
        <v>-7</v>
      </c>
      <c r="C36" s="75" t="s">
        <v>74</v>
      </c>
      <c r="D36" s="88" t="s">
        <v>83</v>
      </c>
      <c r="E36" s="10" t="s">
        <v>5</v>
      </c>
      <c r="F36" s="51">
        <f>IF(IF(F39=0,0,3),3,0)</f>
        <v>3</v>
      </c>
      <c r="G36" s="51">
        <f>IF(IF(G39=0,0,3),3,0)</f>
        <v>3</v>
      </c>
      <c r="H36" s="51">
        <f>IF(IF(H39=0,0,2),2,0)</f>
        <v>0</v>
      </c>
      <c r="I36" s="51">
        <f>IF(IF(I39=0,0,2),2,0)</f>
        <v>0</v>
      </c>
      <c r="J36" s="51">
        <f>IF(IF(J39=0,0,3),3,0)</f>
        <v>3</v>
      </c>
      <c r="K36" s="51">
        <f>IF(IF(K39=0,0,3),3,0)</f>
        <v>3</v>
      </c>
      <c r="L36" s="52">
        <f>IF(IF(G39=0,0,3),3,0)</f>
        <v>3</v>
      </c>
      <c r="M36" s="52">
        <f>IF(IF(G39=0,0,2),2,0)</f>
        <v>2</v>
      </c>
      <c r="N36" s="11">
        <f>SUM(F36:M36)</f>
        <v>17</v>
      </c>
      <c r="O36" s="17"/>
      <c r="P36" s="85"/>
      <c r="Q36" s="85"/>
      <c r="R36" s="81"/>
    </row>
    <row r="37" spans="2:18" ht="19.5" thickTop="1" thickBot="1" x14ac:dyDescent="0.3">
      <c r="B37" s="79"/>
      <c r="C37" s="76"/>
      <c r="D37" s="89"/>
      <c r="E37" s="2" t="s">
        <v>97</v>
      </c>
      <c r="F37" s="6">
        <v>22</v>
      </c>
      <c r="G37" s="6">
        <v>18</v>
      </c>
      <c r="H37" s="6">
        <v>0</v>
      </c>
      <c r="I37" s="7">
        <v>0</v>
      </c>
      <c r="J37" s="7">
        <v>10</v>
      </c>
      <c r="K37" s="7">
        <v>29</v>
      </c>
      <c r="L37" s="7">
        <v>0</v>
      </c>
      <c r="M37" s="7">
        <v>14</v>
      </c>
      <c r="N37" s="7"/>
      <c r="O37" s="18"/>
      <c r="P37" s="86"/>
      <c r="Q37" s="86"/>
      <c r="R37" s="82"/>
    </row>
    <row r="38" spans="2:18" ht="19.5" thickTop="1" thickBot="1" x14ac:dyDescent="0.3">
      <c r="B38" s="79"/>
      <c r="C38" s="76"/>
      <c r="D38" s="89"/>
      <c r="E38" s="1" t="s">
        <v>3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4"/>
      <c r="O38" s="16"/>
      <c r="P38" s="86"/>
      <c r="Q38" s="86"/>
      <c r="R38" s="82"/>
    </row>
    <row r="39" spans="2:18" ht="19.5" thickTop="1" thickBot="1" x14ac:dyDescent="0.3">
      <c r="B39" s="79"/>
      <c r="C39" s="76"/>
      <c r="D39" s="89"/>
      <c r="E39" s="21" t="s">
        <v>4</v>
      </c>
      <c r="F39" s="22">
        <f t="shared" ref="F39:M39" si="12">IF(F38&lt;30,F37,F37+F38)</f>
        <v>22</v>
      </c>
      <c r="G39" s="22">
        <f t="shared" si="12"/>
        <v>18</v>
      </c>
      <c r="H39" s="22">
        <f t="shared" si="12"/>
        <v>0</v>
      </c>
      <c r="I39" s="22">
        <f t="shared" si="12"/>
        <v>0</v>
      </c>
      <c r="J39" s="22">
        <f t="shared" si="12"/>
        <v>10</v>
      </c>
      <c r="K39" s="22">
        <f t="shared" si="12"/>
        <v>29</v>
      </c>
      <c r="L39" s="22">
        <f t="shared" si="12"/>
        <v>0</v>
      </c>
      <c r="M39" s="22">
        <f t="shared" si="12"/>
        <v>14</v>
      </c>
      <c r="N39" s="23"/>
      <c r="O39" s="24"/>
      <c r="P39" s="86"/>
      <c r="Q39" s="86"/>
      <c r="R39" s="82"/>
    </row>
    <row r="40" spans="2:18" ht="37.5" thickTop="1" thickBot="1" x14ac:dyDescent="0.3">
      <c r="B40" s="80"/>
      <c r="C40" s="77"/>
      <c r="D40" s="90"/>
      <c r="E40" s="59" t="s">
        <v>6</v>
      </c>
      <c r="F40" s="60">
        <f t="shared" ref="F40:M40" si="13">SUM(F36*F39)</f>
        <v>66</v>
      </c>
      <c r="G40" s="60">
        <f t="shared" si="13"/>
        <v>54</v>
      </c>
      <c r="H40" s="60">
        <f t="shared" si="13"/>
        <v>0</v>
      </c>
      <c r="I40" s="60">
        <f t="shared" si="13"/>
        <v>0</v>
      </c>
      <c r="J40" s="60">
        <f t="shared" si="13"/>
        <v>30</v>
      </c>
      <c r="K40" s="60">
        <f t="shared" si="13"/>
        <v>87</v>
      </c>
      <c r="L40" s="60">
        <f t="shared" si="13"/>
        <v>0</v>
      </c>
      <c r="M40" s="60">
        <f t="shared" si="13"/>
        <v>28</v>
      </c>
      <c r="N40" s="61">
        <f>SUM(F40:M40)</f>
        <v>265</v>
      </c>
      <c r="O40" s="60">
        <f>SUM(N40/N36)</f>
        <v>15.588235294117647</v>
      </c>
      <c r="P40" s="87"/>
      <c r="Q40" s="87"/>
      <c r="R40" s="83"/>
    </row>
    <row r="41" spans="2:18" ht="20.25" thickTop="1" thickBot="1" x14ac:dyDescent="0.35">
      <c r="B41" s="78">
        <v>-8</v>
      </c>
      <c r="C41" s="75"/>
      <c r="D41" s="89"/>
      <c r="E41" s="50" t="s">
        <v>5</v>
      </c>
      <c r="F41" s="51">
        <f>IF(IF(F44=0,0,3),3,0)</f>
        <v>0</v>
      </c>
      <c r="G41" s="51">
        <f>IF(IF(G44=0,0,4),4,0)</f>
        <v>0</v>
      </c>
      <c r="H41" s="51">
        <f>IF(IF(H44=0,0,2),2,0)</f>
        <v>0</v>
      </c>
      <c r="I41" s="51">
        <f>IF(IF(I44=0,0,2),2,0)</f>
        <v>0</v>
      </c>
      <c r="J41" s="51">
        <f>IF(IF(J44=0,0,3),3,0)</f>
        <v>0</v>
      </c>
      <c r="K41" s="51">
        <f>IF(IF(K44=0,0,2),2,0)</f>
        <v>0</v>
      </c>
      <c r="L41" s="52">
        <f>IF(IF(G44=0,0,4),4,0)</f>
        <v>0</v>
      </c>
      <c r="M41" s="52">
        <f>IF(IF(G44=0,0,3),3,0)</f>
        <v>0</v>
      </c>
      <c r="N41" s="52">
        <f>SUM(F41:M41)</f>
        <v>0</v>
      </c>
      <c r="O41" s="53"/>
      <c r="P41" s="92"/>
      <c r="Q41" s="92"/>
      <c r="R41" s="81"/>
    </row>
    <row r="42" spans="2:18" ht="19.5" thickTop="1" thickBot="1" x14ac:dyDescent="0.3">
      <c r="B42" s="79"/>
      <c r="C42" s="76"/>
      <c r="D42" s="89"/>
      <c r="E42" s="5" t="s">
        <v>97</v>
      </c>
      <c r="F42" s="6">
        <v>0</v>
      </c>
      <c r="G42" s="6">
        <v>0</v>
      </c>
      <c r="H42" s="6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4"/>
      <c r="O42" s="16"/>
      <c r="P42" s="93"/>
      <c r="Q42" s="93"/>
      <c r="R42" s="82"/>
    </row>
    <row r="43" spans="2:18" ht="19.5" thickTop="1" thickBot="1" x14ac:dyDescent="0.3">
      <c r="B43" s="79"/>
      <c r="C43" s="76"/>
      <c r="D43" s="89"/>
      <c r="E43" s="1" t="s">
        <v>3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4"/>
      <c r="O43" s="16"/>
      <c r="P43" s="93"/>
      <c r="Q43" s="93"/>
      <c r="R43" s="82"/>
    </row>
    <row r="44" spans="2:18" ht="19.5" thickTop="1" thickBot="1" x14ac:dyDescent="0.3">
      <c r="B44" s="79"/>
      <c r="C44" s="76"/>
      <c r="D44" s="89"/>
      <c r="E44" s="21" t="s">
        <v>4</v>
      </c>
      <c r="F44" s="22">
        <f t="shared" ref="F44:M44" si="14">IF(F43&lt;30,F42,F42+F43)</f>
        <v>0</v>
      </c>
      <c r="G44" s="22">
        <f t="shared" si="14"/>
        <v>0</v>
      </c>
      <c r="H44" s="22">
        <f t="shared" si="14"/>
        <v>0</v>
      </c>
      <c r="I44" s="22">
        <f t="shared" si="14"/>
        <v>0</v>
      </c>
      <c r="J44" s="22">
        <f t="shared" si="14"/>
        <v>0</v>
      </c>
      <c r="K44" s="22">
        <f t="shared" si="14"/>
        <v>0</v>
      </c>
      <c r="L44" s="22">
        <f t="shared" si="14"/>
        <v>0</v>
      </c>
      <c r="M44" s="22">
        <f t="shared" si="14"/>
        <v>0</v>
      </c>
      <c r="N44" s="23"/>
      <c r="O44" s="24"/>
      <c r="P44" s="93"/>
      <c r="Q44" s="93"/>
      <c r="R44" s="82"/>
    </row>
    <row r="45" spans="2:18" ht="37.5" thickTop="1" thickBot="1" x14ac:dyDescent="0.3">
      <c r="B45" s="80"/>
      <c r="C45" s="77"/>
      <c r="D45" s="90"/>
      <c r="E45" s="12" t="s">
        <v>6</v>
      </c>
      <c r="F45" s="13">
        <f t="shared" ref="F45:M45" si="15">SUM(F41*F44)</f>
        <v>0</v>
      </c>
      <c r="G45" s="13">
        <f t="shared" si="15"/>
        <v>0</v>
      </c>
      <c r="H45" s="13">
        <f t="shared" si="15"/>
        <v>0</v>
      </c>
      <c r="I45" s="13">
        <f t="shared" si="15"/>
        <v>0</v>
      </c>
      <c r="J45" s="13">
        <f t="shared" si="15"/>
        <v>0</v>
      </c>
      <c r="K45" s="13">
        <f t="shared" si="15"/>
        <v>0</v>
      </c>
      <c r="L45" s="13">
        <f t="shared" si="15"/>
        <v>0</v>
      </c>
      <c r="M45" s="13">
        <f t="shared" si="15"/>
        <v>0</v>
      </c>
      <c r="N45" s="14">
        <f>SUM(F45:M45)</f>
        <v>0</v>
      </c>
      <c r="O45" s="19" t="e">
        <f>SUM(N45/N41)</f>
        <v>#DIV/0!</v>
      </c>
      <c r="P45" s="94"/>
      <c r="Q45" s="94"/>
      <c r="R45" s="83"/>
    </row>
    <row r="46" spans="2:18" ht="20.25" thickTop="1" thickBot="1" x14ac:dyDescent="0.35">
      <c r="B46" s="78">
        <v>-9</v>
      </c>
      <c r="C46" s="75"/>
      <c r="D46" s="89"/>
      <c r="E46" s="15" t="s">
        <v>5</v>
      </c>
      <c r="F46" s="37">
        <f>IF(IF(F49=0,0,3),3,0)</f>
        <v>0</v>
      </c>
      <c r="G46" s="37">
        <f>IF(IF(G49=0,0,4),4,0)</f>
        <v>0</v>
      </c>
      <c r="H46" s="37">
        <f>IF(IF(H49=0,0,2),2,0)</f>
        <v>0</v>
      </c>
      <c r="I46" s="37">
        <f>IF(IF(I49=0,0,2),2,0)</f>
        <v>0</v>
      </c>
      <c r="J46" s="37">
        <f>IF(IF(J49=0,0,3),3,0)</f>
        <v>0</v>
      </c>
      <c r="K46" s="37">
        <f>IF(IF(K49=0,0,2),2,0)</f>
        <v>0</v>
      </c>
      <c r="L46" s="11">
        <f>IF(IF(G49=0,0,4),4,0)</f>
        <v>0</v>
      </c>
      <c r="M46" s="11">
        <f>IF(IF(G49=0,0,3),3,0)</f>
        <v>0</v>
      </c>
      <c r="N46" s="11">
        <f>SUM(F46:M46)</f>
        <v>0</v>
      </c>
      <c r="O46" s="17"/>
      <c r="P46" s="85"/>
      <c r="Q46" s="85"/>
      <c r="R46" s="81"/>
    </row>
    <row r="47" spans="2:18" ht="19.5" thickTop="1" thickBot="1" x14ac:dyDescent="0.3">
      <c r="B47" s="79"/>
      <c r="C47" s="76"/>
      <c r="D47" s="89"/>
      <c r="E47" s="2" t="s">
        <v>97</v>
      </c>
      <c r="F47" s="6">
        <v>0</v>
      </c>
      <c r="G47" s="6">
        <v>0</v>
      </c>
      <c r="H47" s="6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/>
      <c r="O47" s="18"/>
      <c r="P47" s="86"/>
      <c r="Q47" s="86"/>
      <c r="R47" s="82"/>
    </row>
    <row r="48" spans="2:18" ht="19.5" thickTop="1" thickBot="1" x14ac:dyDescent="0.3">
      <c r="B48" s="79"/>
      <c r="C48" s="76"/>
      <c r="D48" s="89"/>
      <c r="E48" s="1" t="s">
        <v>3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4"/>
      <c r="O48" s="16"/>
      <c r="P48" s="86"/>
      <c r="Q48" s="86"/>
      <c r="R48" s="82"/>
    </row>
    <row r="49" spans="2:18" ht="19.5" thickTop="1" thickBot="1" x14ac:dyDescent="0.3">
      <c r="B49" s="79"/>
      <c r="C49" s="76"/>
      <c r="D49" s="89"/>
      <c r="E49" s="21" t="s">
        <v>4</v>
      </c>
      <c r="F49" s="22">
        <f t="shared" ref="F49:M49" si="16">IF(F48&lt;30,F47,F47+F48)</f>
        <v>0</v>
      </c>
      <c r="G49" s="22">
        <f t="shared" si="16"/>
        <v>0</v>
      </c>
      <c r="H49" s="22">
        <f t="shared" si="16"/>
        <v>0</v>
      </c>
      <c r="I49" s="22">
        <f t="shared" si="16"/>
        <v>0</v>
      </c>
      <c r="J49" s="22">
        <f t="shared" si="16"/>
        <v>0</v>
      </c>
      <c r="K49" s="22">
        <f t="shared" si="16"/>
        <v>0</v>
      </c>
      <c r="L49" s="22">
        <f t="shared" si="16"/>
        <v>0</v>
      </c>
      <c r="M49" s="22">
        <f t="shared" si="16"/>
        <v>0</v>
      </c>
      <c r="N49" s="23"/>
      <c r="O49" s="24"/>
      <c r="P49" s="86"/>
      <c r="Q49" s="86"/>
      <c r="R49" s="82"/>
    </row>
    <row r="50" spans="2:18" ht="37.5" thickTop="1" thickBot="1" x14ac:dyDescent="0.3">
      <c r="B50" s="80"/>
      <c r="C50" s="77"/>
      <c r="D50" s="90"/>
      <c r="E50" s="12" t="s">
        <v>6</v>
      </c>
      <c r="F50" s="13">
        <f t="shared" ref="F50:M50" si="17">SUM(F46*F49)</f>
        <v>0</v>
      </c>
      <c r="G50" s="13">
        <f t="shared" si="17"/>
        <v>0</v>
      </c>
      <c r="H50" s="13">
        <f t="shared" si="17"/>
        <v>0</v>
      </c>
      <c r="I50" s="13">
        <f t="shared" si="17"/>
        <v>0</v>
      </c>
      <c r="J50" s="13">
        <f t="shared" si="17"/>
        <v>0</v>
      </c>
      <c r="K50" s="13">
        <f t="shared" si="17"/>
        <v>0</v>
      </c>
      <c r="L50" s="13">
        <f t="shared" si="17"/>
        <v>0</v>
      </c>
      <c r="M50" s="13">
        <f t="shared" si="17"/>
        <v>0</v>
      </c>
      <c r="N50" s="14">
        <f>SUM(F50:M50)</f>
        <v>0</v>
      </c>
      <c r="O50" s="20" t="e">
        <f>SUM(N50/N46)</f>
        <v>#DIV/0!</v>
      </c>
      <c r="P50" s="87"/>
      <c r="Q50" s="87"/>
      <c r="R50" s="83"/>
    </row>
    <row r="51" spans="2:18" ht="20.25" thickTop="1" thickBot="1" x14ac:dyDescent="0.35">
      <c r="B51" s="78">
        <v>-10</v>
      </c>
      <c r="C51" s="75"/>
      <c r="D51" s="89"/>
      <c r="E51" s="15" t="s">
        <v>5</v>
      </c>
      <c r="F51" s="37">
        <f>IF(IF(F54=0,0,3),3,0)</f>
        <v>0</v>
      </c>
      <c r="G51" s="37">
        <f>IF(IF(G54=0,0,4),4,0)</f>
        <v>0</v>
      </c>
      <c r="H51" s="37">
        <f>IF(IF(H54=0,0,2),2,0)</f>
        <v>0</v>
      </c>
      <c r="I51" s="37">
        <f>IF(IF(I54=0,0,2),2,0)</f>
        <v>0</v>
      </c>
      <c r="J51" s="37">
        <f>IF(IF(J54=0,0,3),3,0)</f>
        <v>0</v>
      </c>
      <c r="K51" s="37">
        <f>IF(IF(K54=0,0,2),2,0)</f>
        <v>0</v>
      </c>
      <c r="L51" s="11">
        <f>IF(IF(G54=0,0,4),4,0)</f>
        <v>0</v>
      </c>
      <c r="M51" s="11">
        <f>IF(IF(G54=0,0,3),3,0)</f>
        <v>0</v>
      </c>
      <c r="N51" s="11">
        <f>SUM(F51:M51)</f>
        <v>0</v>
      </c>
      <c r="O51" s="17"/>
      <c r="P51" s="85"/>
      <c r="Q51" s="85"/>
      <c r="R51" s="81"/>
    </row>
    <row r="52" spans="2:18" ht="19.5" thickTop="1" thickBot="1" x14ac:dyDescent="0.3">
      <c r="B52" s="79"/>
      <c r="C52" s="76"/>
      <c r="D52" s="89"/>
      <c r="E52" s="2" t="s">
        <v>97</v>
      </c>
      <c r="F52" s="6">
        <v>0</v>
      </c>
      <c r="G52" s="6">
        <v>0</v>
      </c>
      <c r="H52" s="6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/>
      <c r="O52" s="18"/>
      <c r="P52" s="86"/>
      <c r="Q52" s="86"/>
      <c r="R52" s="82"/>
    </row>
    <row r="53" spans="2:18" ht="19.5" thickTop="1" thickBot="1" x14ac:dyDescent="0.3">
      <c r="B53" s="79"/>
      <c r="C53" s="76"/>
      <c r="D53" s="89"/>
      <c r="E53" s="1" t="s">
        <v>3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4"/>
      <c r="O53" s="16"/>
      <c r="P53" s="86"/>
      <c r="Q53" s="86"/>
      <c r="R53" s="82"/>
    </row>
    <row r="54" spans="2:18" ht="19.5" thickTop="1" thickBot="1" x14ac:dyDescent="0.3">
      <c r="B54" s="79"/>
      <c r="C54" s="76"/>
      <c r="D54" s="89"/>
      <c r="E54" s="21" t="s">
        <v>4</v>
      </c>
      <c r="F54" s="22">
        <f t="shared" ref="F54:M54" si="18">IF(F53&lt;30,F52,F52+F53)</f>
        <v>0</v>
      </c>
      <c r="G54" s="22">
        <f t="shared" si="18"/>
        <v>0</v>
      </c>
      <c r="H54" s="22">
        <f t="shared" si="18"/>
        <v>0</v>
      </c>
      <c r="I54" s="22">
        <f t="shared" si="18"/>
        <v>0</v>
      </c>
      <c r="J54" s="22">
        <f t="shared" si="18"/>
        <v>0</v>
      </c>
      <c r="K54" s="22">
        <f t="shared" si="18"/>
        <v>0</v>
      </c>
      <c r="L54" s="22">
        <f t="shared" si="18"/>
        <v>0</v>
      </c>
      <c r="M54" s="22">
        <f t="shared" si="18"/>
        <v>0</v>
      </c>
      <c r="N54" s="23"/>
      <c r="O54" s="24"/>
      <c r="P54" s="86"/>
      <c r="Q54" s="86"/>
      <c r="R54" s="82"/>
    </row>
    <row r="55" spans="2:18" ht="37.5" thickTop="1" thickBot="1" x14ac:dyDescent="0.3">
      <c r="B55" s="80"/>
      <c r="C55" s="77"/>
      <c r="D55" s="90"/>
      <c r="E55" s="8" t="s">
        <v>6</v>
      </c>
      <c r="F55" s="13">
        <f t="shared" ref="F55:M55" si="19">SUM(F51*F54)</f>
        <v>0</v>
      </c>
      <c r="G55" s="13">
        <f t="shared" si="19"/>
        <v>0</v>
      </c>
      <c r="H55" s="13">
        <f t="shared" si="19"/>
        <v>0</v>
      </c>
      <c r="I55" s="13">
        <f t="shared" si="19"/>
        <v>0</v>
      </c>
      <c r="J55" s="13">
        <f t="shared" si="19"/>
        <v>0</v>
      </c>
      <c r="K55" s="13">
        <f t="shared" si="19"/>
        <v>0</v>
      </c>
      <c r="L55" s="13">
        <f t="shared" si="19"/>
        <v>0</v>
      </c>
      <c r="M55" s="13">
        <f t="shared" si="19"/>
        <v>0</v>
      </c>
      <c r="N55" s="14">
        <f>SUM(F55:M55)</f>
        <v>0</v>
      </c>
      <c r="O55" s="20" t="e">
        <f>SUM(N55/N51)</f>
        <v>#DIV/0!</v>
      </c>
      <c r="P55" s="87"/>
      <c r="Q55" s="87"/>
      <c r="R55" s="83"/>
    </row>
    <row r="56" spans="2:18" ht="20.25" thickTop="1" thickBot="1" x14ac:dyDescent="0.35">
      <c r="B56" s="78">
        <v>-11</v>
      </c>
      <c r="C56" s="75"/>
      <c r="D56" s="89"/>
      <c r="E56" s="10" t="s">
        <v>5</v>
      </c>
      <c r="F56" s="37">
        <f>IF(IF(F59=0,0,3),3,0)</f>
        <v>0</v>
      </c>
      <c r="G56" s="37">
        <f>IF(IF(G59=0,0,4),4,0)</f>
        <v>0</v>
      </c>
      <c r="H56" s="37">
        <f>IF(IF(H59=0,0,2),2,0)</f>
        <v>0</v>
      </c>
      <c r="I56" s="37">
        <f>IF(IF(I59=0,0,2),2,0)</f>
        <v>0</v>
      </c>
      <c r="J56" s="37">
        <f>IF(IF(J59=0,0,3),3,0)</f>
        <v>0</v>
      </c>
      <c r="K56" s="37">
        <f>IF(IF(K59=0,0,2),2,0)</f>
        <v>0</v>
      </c>
      <c r="L56" s="11">
        <f>IF(IF(G59=0,0,4),4,0)</f>
        <v>0</v>
      </c>
      <c r="M56" s="11">
        <f>IF(IF(G59=0,0,3),3,0)</f>
        <v>0</v>
      </c>
      <c r="N56" s="11">
        <f>SUM(F56:M56)</f>
        <v>0</v>
      </c>
      <c r="O56" s="17"/>
      <c r="P56" s="85"/>
      <c r="Q56" s="85"/>
      <c r="R56" s="81"/>
    </row>
    <row r="57" spans="2:18" ht="19.5" thickTop="1" thickBot="1" x14ac:dyDescent="0.3">
      <c r="B57" s="79"/>
      <c r="C57" s="76"/>
      <c r="D57" s="89"/>
      <c r="E57" s="2" t="s">
        <v>97</v>
      </c>
      <c r="F57" s="6">
        <v>0</v>
      </c>
      <c r="G57" s="6">
        <v>0</v>
      </c>
      <c r="H57" s="6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/>
      <c r="O57" s="18"/>
      <c r="P57" s="86"/>
      <c r="Q57" s="86"/>
      <c r="R57" s="82"/>
    </row>
    <row r="58" spans="2:18" ht="19.5" thickTop="1" thickBot="1" x14ac:dyDescent="0.3">
      <c r="B58" s="79"/>
      <c r="C58" s="76"/>
      <c r="D58" s="89"/>
      <c r="E58" s="1" t="s">
        <v>3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4"/>
      <c r="O58" s="16"/>
      <c r="P58" s="86"/>
      <c r="Q58" s="86"/>
      <c r="R58" s="82"/>
    </row>
    <row r="59" spans="2:18" ht="19.5" thickTop="1" thickBot="1" x14ac:dyDescent="0.3">
      <c r="B59" s="79"/>
      <c r="C59" s="76"/>
      <c r="D59" s="89"/>
      <c r="E59" s="21" t="s">
        <v>4</v>
      </c>
      <c r="F59" s="22">
        <f t="shared" ref="F59:M59" si="20">IF(F58&lt;30,F57,F57+F58)</f>
        <v>0</v>
      </c>
      <c r="G59" s="22">
        <f t="shared" si="20"/>
        <v>0</v>
      </c>
      <c r="H59" s="22">
        <f t="shared" si="20"/>
        <v>0</v>
      </c>
      <c r="I59" s="22">
        <f t="shared" si="20"/>
        <v>0</v>
      </c>
      <c r="J59" s="22">
        <f t="shared" si="20"/>
        <v>0</v>
      </c>
      <c r="K59" s="22">
        <f t="shared" si="20"/>
        <v>0</v>
      </c>
      <c r="L59" s="22">
        <f t="shared" si="20"/>
        <v>0</v>
      </c>
      <c r="M59" s="22">
        <f t="shared" si="20"/>
        <v>0</v>
      </c>
      <c r="N59" s="23"/>
      <c r="O59" s="24"/>
      <c r="P59" s="86"/>
      <c r="Q59" s="86"/>
      <c r="R59" s="82"/>
    </row>
    <row r="60" spans="2:18" ht="37.5" thickTop="1" thickBot="1" x14ac:dyDescent="0.3">
      <c r="B60" s="80"/>
      <c r="C60" s="77"/>
      <c r="D60" s="90"/>
      <c r="E60" s="8" t="s">
        <v>6</v>
      </c>
      <c r="F60" s="13">
        <f t="shared" ref="F60:M60" si="21">SUM(F56*F59)</f>
        <v>0</v>
      </c>
      <c r="G60" s="13">
        <f t="shared" si="21"/>
        <v>0</v>
      </c>
      <c r="H60" s="13">
        <f t="shared" si="21"/>
        <v>0</v>
      </c>
      <c r="I60" s="13">
        <f t="shared" si="21"/>
        <v>0</v>
      </c>
      <c r="J60" s="13">
        <f t="shared" si="21"/>
        <v>0</v>
      </c>
      <c r="K60" s="13">
        <f t="shared" si="21"/>
        <v>0</v>
      </c>
      <c r="L60" s="13">
        <f t="shared" si="21"/>
        <v>0</v>
      </c>
      <c r="M60" s="13">
        <f t="shared" si="21"/>
        <v>0</v>
      </c>
      <c r="N60" s="14">
        <f>SUM(F60:M60)</f>
        <v>0</v>
      </c>
      <c r="O60" s="20" t="e">
        <f>SUM(N60/N56)</f>
        <v>#DIV/0!</v>
      </c>
      <c r="P60" s="87"/>
      <c r="Q60" s="87"/>
      <c r="R60" s="83"/>
    </row>
    <row r="61" spans="2:18" ht="20.25" thickTop="1" thickBot="1" x14ac:dyDescent="0.35">
      <c r="B61" s="78">
        <v>-12</v>
      </c>
      <c r="C61" s="75"/>
      <c r="D61" s="88"/>
      <c r="E61" s="10" t="s">
        <v>5</v>
      </c>
      <c r="F61" s="37">
        <f>IF(IF(F64=0,0,3),3,0)</f>
        <v>0</v>
      </c>
      <c r="G61" s="37">
        <f>IF(IF(G64=0,0,4),4,0)</f>
        <v>0</v>
      </c>
      <c r="H61" s="37">
        <f>IF(IF(H64=0,0,2),2,0)</f>
        <v>0</v>
      </c>
      <c r="I61" s="37">
        <f>IF(IF(I64=0,0,2),2,0)</f>
        <v>0</v>
      </c>
      <c r="J61" s="37">
        <f>IF(IF(J64=0,0,3),3,0)</f>
        <v>0</v>
      </c>
      <c r="K61" s="37">
        <f>IF(IF(K64=0,0,2),2,0)</f>
        <v>0</v>
      </c>
      <c r="L61" s="11">
        <f>IF(IF(G64=0,0,4),4,0)</f>
        <v>0</v>
      </c>
      <c r="M61" s="11">
        <f>IF(IF(G64=0,0,3),3,0)</f>
        <v>0</v>
      </c>
      <c r="N61" s="11">
        <f>SUM(F61:M61)</f>
        <v>0</v>
      </c>
      <c r="O61" s="17"/>
      <c r="P61" s="85"/>
      <c r="Q61" s="85"/>
      <c r="R61" s="81"/>
    </row>
    <row r="62" spans="2:18" ht="19.5" thickTop="1" thickBot="1" x14ac:dyDescent="0.3">
      <c r="B62" s="79"/>
      <c r="C62" s="76"/>
      <c r="D62" s="89"/>
      <c r="E62" s="2" t="s">
        <v>97</v>
      </c>
      <c r="F62" s="6">
        <v>0</v>
      </c>
      <c r="G62" s="6">
        <v>0</v>
      </c>
      <c r="H62" s="6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/>
      <c r="O62" s="18"/>
      <c r="P62" s="86"/>
      <c r="Q62" s="86"/>
      <c r="R62" s="82"/>
    </row>
    <row r="63" spans="2:18" ht="19.5" thickTop="1" thickBot="1" x14ac:dyDescent="0.3">
      <c r="B63" s="79"/>
      <c r="C63" s="76"/>
      <c r="D63" s="89"/>
      <c r="E63" s="1" t="s">
        <v>3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4"/>
      <c r="O63" s="16"/>
      <c r="P63" s="86"/>
      <c r="Q63" s="86"/>
      <c r="R63" s="82"/>
    </row>
    <row r="64" spans="2:18" ht="19.5" thickTop="1" thickBot="1" x14ac:dyDescent="0.3">
      <c r="B64" s="79"/>
      <c r="C64" s="76"/>
      <c r="D64" s="89"/>
      <c r="E64" s="21" t="s">
        <v>4</v>
      </c>
      <c r="F64" s="22">
        <f t="shared" ref="F64:M64" si="22">IF(F63&lt;30,F62,F62+F63)</f>
        <v>0</v>
      </c>
      <c r="G64" s="22">
        <f t="shared" si="22"/>
        <v>0</v>
      </c>
      <c r="H64" s="22">
        <f t="shared" si="22"/>
        <v>0</v>
      </c>
      <c r="I64" s="22">
        <f t="shared" si="22"/>
        <v>0</v>
      </c>
      <c r="J64" s="22">
        <f t="shared" si="22"/>
        <v>0</v>
      </c>
      <c r="K64" s="22">
        <f t="shared" si="22"/>
        <v>0</v>
      </c>
      <c r="L64" s="22">
        <f t="shared" si="22"/>
        <v>0</v>
      </c>
      <c r="M64" s="22">
        <f t="shared" si="22"/>
        <v>0</v>
      </c>
      <c r="N64" s="23"/>
      <c r="O64" s="24"/>
      <c r="P64" s="86"/>
      <c r="Q64" s="86"/>
      <c r="R64" s="82"/>
    </row>
    <row r="65" spans="2:18" ht="37.5" thickTop="1" thickBot="1" x14ac:dyDescent="0.3">
      <c r="B65" s="80"/>
      <c r="C65" s="77"/>
      <c r="D65" s="90"/>
      <c r="E65" s="8" t="s">
        <v>6</v>
      </c>
      <c r="F65" s="13">
        <f t="shared" ref="F65:M65" si="23">SUM(F61*F64)</f>
        <v>0</v>
      </c>
      <c r="G65" s="13">
        <f t="shared" si="23"/>
        <v>0</v>
      </c>
      <c r="H65" s="13">
        <f t="shared" si="23"/>
        <v>0</v>
      </c>
      <c r="I65" s="13">
        <f t="shared" si="23"/>
        <v>0</v>
      </c>
      <c r="J65" s="13">
        <f t="shared" si="23"/>
        <v>0</v>
      </c>
      <c r="K65" s="13">
        <f t="shared" si="23"/>
        <v>0</v>
      </c>
      <c r="L65" s="13">
        <f t="shared" si="23"/>
        <v>0</v>
      </c>
      <c r="M65" s="13">
        <f t="shared" si="23"/>
        <v>0</v>
      </c>
      <c r="N65" s="14">
        <f>SUM(F65:M65)</f>
        <v>0</v>
      </c>
      <c r="O65" s="20" t="e">
        <f>SUM(N65/N61)</f>
        <v>#DIV/0!</v>
      </c>
      <c r="P65" s="87"/>
      <c r="Q65" s="87"/>
      <c r="R65" s="83"/>
    </row>
    <row r="66" spans="2:18" ht="20.25" thickTop="1" thickBot="1" x14ac:dyDescent="0.35">
      <c r="B66" s="78">
        <v>-13</v>
      </c>
      <c r="C66" s="75"/>
      <c r="D66" s="88"/>
      <c r="E66" s="10" t="s">
        <v>5</v>
      </c>
      <c r="F66" s="37">
        <f>IF(IF(F69=0,0,3),3,0)</f>
        <v>0</v>
      </c>
      <c r="G66" s="37">
        <f>IF(IF(G69=0,0,4),4,0)</f>
        <v>0</v>
      </c>
      <c r="H66" s="37">
        <f>IF(IF(H69=0,0,2),2,0)</f>
        <v>0</v>
      </c>
      <c r="I66" s="37">
        <f>IF(IF(I69=0,0,2),2,0)</f>
        <v>0</v>
      </c>
      <c r="J66" s="37">
        <f>IF(IF(J69=0,0,3),3,0)</f>
        <v>0</v>
      </c>
      <c r="K66" s="37">
        <f>IF(IF(K69=0,0,2),2,0)</f>
        <v>0</v>
      </c>
      <c r="L66" s="11">
        <f>IF(IF(G69=0,0,4),4,0)</f>
        <v>0</v>
      </c>
      <c r="M66" s="11">
        <f>IF(IF(G69=0,0,3),3,0)</f>
        <v>0</v>
      </c>
      <c r="N66" s="11">
        <f>SUM(F66:M66)</f>
        <v>0</v>
      </c>
      <c r="O66" s="17"/>
      <c r="P66" s="85"/>
      <c r="Q66" s="85"/>
      <c r="R66" s="81"/>
    </row>
    <row r="67" spans="2:18" ht="19.5" thickTop="1" thickBot="1" x14ac:dyDescent="0.3">
      <c r="B67" s="79"/>
      <c r="C67" s="76"/>
      <c r="D67" s="89"/>
      <c r="E67" s="2" t="s">
        <v>97</v>
      </c>
      <c r="F67" s="6">
        <v>0</v>
      </c>
      <c r="G67" s="6">
        <v>0</v>
      </c>
      <c r="H67" s="6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/>
      <c r="O67" s="18"/>
      <c r="P67" s="86"/>
      <c r="Q67" s="86"/>
      <c r="R67" s="82"/>
    </row>
    <row r="68" spans="2:18" ht="19.5" thickTop="1" thickBot="1" x14ac:dyDescent="0.3">
      <c r="B68" s="79"/>
      <c r="C68" s="76"/>
      <c r="D68" s="89"/>
      <c r="E68" s="1" t="s">
        <v>3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4"/>
      <c r="O68" s="16"/>
      <c r="P68" s="86"/>
      <c r="Q68" s="86"/>
      <c r="R68" s="82"/>
    </row>
    <row r="69" spans="2:18" ht="19.5" thickTop="1" thickBot="1" x14ac:dyDescent="0.3">
      <c r="B69" s="79"/>
      <c r="C69" s="76"/>
      <c r="D69" s="89"/>
      <c r="E69" s="21" t="s">
        <v>4</v>
      </c>
      <c r="F69" s="22">
        <f t="shared" ref="F69:M69" si="24">IF(F68&lt;30,F67,F67+F68)</f>
        <v>0</v>
      </c>
      <c r="G69" s="22">
        <f t="shared" si="24"/>
        <v>0</v>
      </c>
      <c r="H69" s="22">
        <f t="shared" si="24"/>
        <v>0</v>
      </c>
      <c r="I69" s="22">
        <f t="shared" si="24"/>
        <v>0</v>
      </c>
      <c r="J69" s="22">
        <f t="shared" si="24"/>
        <v>0</v>
      </c>
      <c r="K69" s="22">
        <f t="shared" si="24"/>
        <v>0</v>
      </c>
      <c r="L69" s="22">
        <f t="shared" si="24"/>
        <v>0</v>
      </c>
      <c r="M69" s="22">
        <f t="shared" si="24"/>
        <v>0</v>
      </c>
      <c r="N69" s="23"/>
      <c r="O69" s="24"/>
      <c r="P69" s="86"/>
      <c r="Q69" s="86"/>
      <c r="R69" s="82"/>
    </row>
    <row r="70" spans="2:18" ht="37.5" thickTop="1" thickBot="1" x14ac:dyDescent="0.3">
      <c r="B70" s="80"/>
      <c r="C70" s="77"/>
      <c r="D70" s="90"/>
      <c r="E70" s="12" t="s">
        <v>6</v>
      </c>
      <c r="F70" s="13">
        <f t="shared" ref="F70:M70" si="25">SUM(F66*F69)</f>
        <v>0</v>
      </c>
      <c r="G70" s="13">
        <f t="shared" si="25"/>
        <v>0</v>
      </c>
      <c r="H70" s="13">
        <f t="shared" si="25"/>
        <v>0</v>
      </c>
      <c r="I70" s="13">
        <f t="shared" si="25"/>
        <v>0</v>
      </c>
      <c r="J70" s="13">
        <f t="shared" si="25"/>
        <v>0</v>
      </c>
      <c r="K70" s="13">
        <f t="shared" si="25"/>
        <v>0</v>
      </c>
      <c r="L70" s="13">
        <f t="shared" si="25"/>
        <v>0</v>
      </c>
      <c r="M70" s="13">
        <f t="shared" si="25"/>
        <v>0</v>
      </c>
      <c r="N70" s="14">
        <f>SUM(F70:M70)</f>
        <v>0</v>
      </c>
      <c r="O70" s="20" t="e">
        <f>SUM(N70/N66)</f>
        <v>#DIV/0!</v>
      </c>
      <c r="P70" s="87"/>
      <c r="Q70" s="87"/>
      <c r="R70" s="83"/>
    </row>
    <row r="71" spans="2:18" ht="20.25" thickTop="1" thickBot="1" x14ac:dyDescent="0.35">
      <c r="B71" s="78">
        <v>-14</v>
      </c>
      <c r="C71" s="75"/>
      <c r="D71" s="88"/>
      <c r="E71" s="10" t="s">
        <v>5</v>
      </c>
      <c r="F71" s="37">
        <f>IF(IF(F74=0,0,3),3,0)</f>
        <v>0</v>
      </c>
      <c r="G71" s="37">
        <f>IF(IF(G74=0,0,4),4,0)</f>
        <v>0</v>
      </c>
      <c r="H71" s="37">
        <f>IF(IF(H74=0,0,2),2,0)</f>
        <v>0</v>
      </c>
      <c r="I71" s="37">
        <f>IF(IF(I74=0,0,2),2,0)</f>
        <v>0</v>
      </c>
      <c r="J71" s="37">
        <f>IF(IF(J74=0,0,3),3,0)</f>
        <v>0</v>
      </c>
      <c r="K71" s="37">
        <f>IF(IF(K74=0,0,2),2,0)</f>
        <v>0</v>
      </c>
      <c r="L71" s="11">
        <f>IF(IF(G74=0,0,4),4,0)</f>
        <v>0</v>
      </c>
      <c r="M71" s="11">
        <f>IF(IF(G74=0,0,3),3,0)</f>
        <v>0</v>
      </c>
      <c r="N71" s="11">
        <f>SUM(F71:M71)</f>
        <v>0</v>
      </c>
      <c r="O71" s="17"/>
      <c r="P71" s="85"/>
      <c r="Q71" s="85"/>
      <c r="R71" s="81"/>
    </row>
    <row r="72" spans="2:18" ht="19.5" thickTop="1" thickBot="1" x14ac:dyDescent="0.3">
      <c r="B72" s="79"/>
      <c r="C72" s="76"/>
      <c r="D72" s="89"/>
      <c r="E72" s="2" t="s">
        <v>97</v>
      </c>
      <c r="F72" s="6">
        <v>0</v>
      </c>
      <c r="G72" s="6">
        <v>0</v>
      </c>
      <c r="H72" s="6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/>
      <c r="O72" s="18"/>
      <c r="P72" s="86"/>
      <c r="Q72" s="86"/>
      <c r="R72" s="82"/>
    </row>
    <row r="73" spans="2:18" ht="19.5" thickTop="1" thickBot="1" x14ac:dyDescent="0.3">
      <c r="B73" s="79"/>
      <c r="C73" s="76"/>
      <c r="D73" s="89"/>
      <c r="E73" s="1" t="s">
        <v>3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4"/>
      <c r="O73" s="16"/>
      <c r="P73" s="86"/>
      <c r="Q73" s="86"/>
      <c r="R73" s="82"/>
    </row>
    <row r="74" spans="2:18" ht="19.5" thickTop="1" thickBot="1" x14ac:dyDescent="0.3">
      <c r="B74" s="79"/>
      <c r="C74" s="76"/>
      <c r="D74" s="89"/>
      <c r="E74" s="21" t="s">
        <v>4</v>
      </c>
      <c r="F74" s="22">
        <f t="shared" ref="F74:M74" si="26">IF(F73&lt;30,F72,F72+F73)</f>
        <v>0</v>
      </c>
      <c r="G74" s="22">
        <f t="shared" si="26"/>
        <v>0</v>
      </c>
      <c r="H74" s="22">
        <f t="shared" si="26"/>
        <v>0</v>
      </c>
      <c r="I74" s="22">
        <f t="shared" si="26"/>
        <v>0</v>
      </c>
      <c r="J74" s="22">
        <f t="shared" si="26"/>
        <v>0</v>
      </c>
      <c r="K74" s="22">
        <f t="shared" si="26"/>
        <v>0</v>
      </c>
      <c r="L74" s="22">
        <f t="shared" si="26"/>
        <v>0</v>
      </c>
      <c r="M74" s="22">
        <f t="shared" si="26"/>
        <v>0</v>
      </c>
      <c r="N74" s="23"/>
      <c r="O74" s="24"/>
      <c r="P74" s="86"/>
      <c r="Q74" s="86"/>
      <c r="R74" s="82"/>
    </row>
    <row r="75" spans="2:18" ht="37.5" thickTop="1" thickBot="1" x14ac:dyDescent="0.3">
      <c r="B75" s="80"/>
      <c r="C75" s="77"/>
      <c r="D75" s="90"/>
      <c r="E75" s="59" t="s">
        <v>6</v>
      </c>
      <c r="F75" s="60">
        <f t="shared" ref="F75:M75" si="27">SUM(F71*F74)</f>
        <v>0</v>
      </c>
      <c r="G75" s="60">
        <f t="shared" si="27"/>
        <v>0</v>
      </c>
      <c r="H75" s="60">
        <f t="shared" si="27"/>
        <v>0</v>
      </c>
      <c r="I75" s="60">
        <f t="shared" si="27"/>
        <v>0</v>
      </c>
      <c r="J75" s="60">
        <f t="shared" si="27"/>
        <v>0</v>
      </c>
      <c r="K75" s="60">
        <f t="shared" si="27"/>
        <v>0</v>
      </c>
      <c r="L75" s="60">
        <f t="shared" si="27"/>
        <v>0</v>
      </c>
      <c r="M75" s="60">
        <f t="shared" si="27"/>
        <v>0</v>
      </c>
      <c r="N75" s="61">
        <f>SUM(F75:M75)</f>
        <v>0</v>
      </c>
      <c r="O75" s="60" t="e">
        <f>SUM(N75/N71)</f>
        <v>#DIV/0!</v>
      </c>
      <c r="P75" s="87"/>
      <c r="Q75" s="87"/>
      <c r="R75" s="83"/>
    </row>
    <row r="76" spans="2:18" ht="13.5" thickTop="1" x14ac:dyDescent="0.2"/>
  </sheetData>
  <mergeCells count="84">
    <mergeCell ref="B71:B75"/>
    <mergeCell ref="C71:C75"/>
    <mergeCell ref="D71:D75"/>
    <mergeCell ref="P71:P75"/>
    <mergeCell ref="Q71:Q75"/>
    <mergeCell ref="R71:R75"/>
    <mergeCell ref="B66:B70"/>
    <mergeCell ref="C66:C70"/>
    <mergeCell ref="D66:D70"/>
    <mergeCell ref="P66:P70"/>
    <mergeCell ref="Q66:Q70"/>
    <mergeCell ref="R66:R70"/>
    <mergeCell ref="B61:B65"/>
    <mergeCell ref="C61:C65"/>
    <mergeCell ref="D61:D65"/>
    <mergeCell ref="P61:P65"/>
    <mergeCell ref="Q61:Q65"/>
    <mergeCell ref="R61:R65"/>
    <mergeCell ref="B56:B60"/>
    <mergeCell ref="C56:C60"/>
    <mergeCell ref="D56:D60"/>
    <mergeCell ref="P56:P60"/>
    <mergeCell ref="Q56:Q60"/>
    <mergeCell ref="R56:R60"/>
    <mergeCell ref="B51:B55"/>
    <mergeCell ref="C51:C55"/>
    <mergeCell ref="D51:D55"/>
    <mergeCell ref="P51:P55"/>
    <mergeCell ref="Q51:Q55"/>
    <mergeCell ref="R51:R55"/>
    <mergeCell ref="B46:B50"/>
    <mergeCell ref="C46:C50"/>
    <mergeCell ref="D46:D50"/>
    <mergeCell ref="P46:P50"/>
    <mergeCell ref="Q46:Q50"/>
    <mergeCell ref="R46:R50"/>
    <mergeCell ref="B41:B45"/>
    <mergeCell ref="C41:C45"/>
    <mergeCell ref="D41:D45"/>
    <mergeCell ref="P41:P45"/>
    <mergeCell ref="Q41:Q45"/>
    <mergeCell ref="R41:R45"/>
    <mergeCell ref="B36:B40"/>
    <mergeCell ref="C36:C40"/>
    <mergeCell ref="D36:D40"/>
    <mergeCell ref="P36:P40"/>
    <mergeCell ref="Q36:Q40"/>
    <mergeCell ref="R36:R40"/>
    <mergeCell ref="B31:B35"/>
    <mergeCell ref="C31:C35"/>
    <mergeCell ref="D31:D35"/>
    <mergeCell ref="P31:P35"/>
    <mergeCell ref="Q31:Q35"/>
    <mergeCell ref="R31:R35"/>
    <mergeCell ref="B26:B30"/>
    <mergeCell ref="C26:C30"/>
    <mergeCell ref="D26:D30"/>
    <mergeCell ref="P26:P30"/>
    <mergeCell ref="Q26:Q30"/>
    <mergeCell ref="R26:R30"/>
    <mergeCell ref="B21:B25"/>
    <mergeCell ref="C21:C25"/>
    <mergeCell ref="D21:D25"/>
    <mergeCell ref="P21:P25"/>
    <mergeCell ref="Q21:Q25"/>
    <mergeCell ref="R21:R25"/>
    <mergeCell ref="B16:B20"/>
    <mergeCell ref="C16:C20"/>
    <mergeCell ref="D16:D20"/>
    <mergeCell ref="P16:P20"/>
    <mergeCell ref="Q16:Q20"/>
    <mergeCell ref="R16:R20"/>
    <mergeCell ref="B11:B15"/>
    <mergeCell ref="C11:C15"/>
    <mergeCell ref="D11:D15"/>
    <mergeCell ref="P11:P15"/>
    <mergeCell ref="Q11:Q15"/>
    <mergeCell ref="R11:R15"/>
    <mergeCell ref="B6:B10"/>
    <mergeCell ref="C6:C10"/>
    <mergeCell ref="D6:D10"/>
    <mergeCell ref="P6:P10"/>
    <mergeCell ref="Q6:Q10"/>
    <mergeCell ref="R6:R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0DC6F-7AF5-425D-B820-DD602E2411EA}">
  <dimension ref="B4:Y42"/>
  <sheetViews>
    <sheetView rightToLeft="1" topLeftCell="B1" workbookViewId="0">
      <selection activeCell="H3" sqref="H3"/>
    </sheetView>
  </sheetViews>
  <sheetFormatPr defaultRowHeight="12.75" x14ac:dyDescent="0.2"/>
  <cols>
    <col min="3" max="3" width="22.42578125" customWidth="1"/>
    <col min="5" max="5" width="22.5703125" customWidth="1"/>
    <col min="25" max="25" width="22.85546875" customWidth="1"/>
  </cols>
  <sheetData>
    <row r="4" spans="2:25" ht="13.5" thickBot="1" x14ac:dyDescent="0.25"/>
    <row r="5" spans="2:25" ht="16.5" thickTop="1" thickBot="1" x14ac:dyDescent="0.25">
      <c r="B5" s="107" t="s">
        <v>0</v>
      </c>
      <c r="C5" s="101" t="s">
        <v>7</v>
      </c>
      <c r="D5" s="103" t="s">
        <v>1</v>
      </c>
      <c r="E5" s="101" t="s">
        <v>2</v>
      </c>
      <c r="F5" s="112" t="s">
        <v>16</v>
      </c>
      <c r="G5" s="113"/>
      <c r="H5" s="113"/>
      <c r="I5" s="113"/>
      <c r="J5" s="113"/>
      <c r="K5" s="113"/>
      <c r="L5" s="114"/>
      <c r="M5" s="109" t="s">
        <v>10</v>
      </c>
      <c r="N5" s="110"/>
      <c r="O5" s="110"/>
      <c r="P5" s="110"/>
      <c r="Q5" s="110"/>
      <c r="R5" s="110"/>
      <c r="S5" s="110"/>
      <c r="T5" s="111"/>
      <c r="U5" s="103" t="s">
        <v>4</v>
      </c>
      <c r="V5" s="103" t="s">
        <v>8</v>
      </c>
      <c r="W5" s="27"/>
      <c r="X5" s="103" t="s">
        <v>18</v>
      </c>
      <c r="Y5" s="28"/>
    </row>
    <row r="6" spans="2:25" ht="111" thickTop="1" thickBot="1" x14ac:dyDescent="0.25">
      <c r="B6" s="108"/>
      <c r="C6" s="106"/>
      <c r="D6" s="104"/>
      <c r="E6" s="102"/>
      <c r="F6" s="25" t="s">
        <v>14</v>
      </c>
      <c r="G6" s="25" t="s">
        <v>30</v>
      </c>
      <c r="H6" s="25" t="s">
        <v>31</v>
      </c>
      <c r="I6" s="25" t="s">
        <v>32</v>
      </c>
      <c r="J6" s="25" t="s">
        <v>33</v>
      </c>
      <c r="K6" s="25" t="s">
        <v>34</v>
      </c>
      <c r="L6" s="25" t="s">
        <v>35</v>
      </c>
      <c r="M6" s="55" t="s">
        <v>11</v>
      </c>
      <c r="N6" s="55" t="s">
        <v>12</v>
      </c>
      <c r="O6" s="55" t="s">
        <v>26</v>
      </c>
      <c r="P6" s="55" t="s">
        <v>27</v>
      </c>
      <c r="Q6" s="55" t="s">
        <v>13</v>
      </c>
      <c r="R6" s="55" t="s">
        <v>28</v>
      </c>
      <c r="S6" s="55" t="s">
        <v>29</v>
      </c>
      <c r="T6" s="55" t="s">
        <v>9</v>
      </c>
      <c r="U6" s="105"/>
      <c r="V6" s="105"/>
      <c r="W6" s="25" t="s">
        <v>17</v>
      </c>
      <c r="X6" s="105"/>
      <c r="Y6" s="26" t="s">
        <v>19</v>
      </c>
    </row>
    <row r="7" spans="2:25" ht="20.25" thickTop="1" thickBot="1" x14ac:dyDescent="0.35">
      <c r="B7" s="98">
        <v>-1</v>
      </c>
      <c r="C7" s="96" t="s">
        <v>75</v>
      </c>
      <c r="D7" s="89" t="s">
        <v>85</v>
      </c>
      <c r="E7" s="9" t="s">
        <v>5</v>
      </c>
      <c r="F7" s="37">
        <f>IF(IF(F10=0,0,3),3,0)</f>
        <v>3</v>
      </c>
      <c r="G7" s="37">
        <f>IF(IF(G10=0,0,2),2,0)</f>
        <v>2</v>
      </c>
      <c r="H7" s="37">
        <f>IF(IF(H10=0,0,3),3,0)</f>
        <v>3</v>
      </c>
      <c r="I7" s="37">
        <f>IF(IF(I10=0,0,2),2,0)</f>
        <v>2</v>
      </c>
      <c r="J7" s="37">
        <f>IF(IF(J10=0,0,3),3,0)</f>
        <v>3</v>
      </c>
      <c r="K7" s="37">
        <f>IF(IF(K10=0,0,4),4,0)</f>
        <v>4</v>
      </c>
      <c r="L7" s="37">
        <f>IF(IF(L10=0,0,3),3,0)</f>
        <v>3</v>
      </c>
      <c r="M7" s="51">
        <f>IF(IF(M10=0,0,3),3,0)</f>
        <v>0</v>
      </c>
      <c r="N7" s="51">
        <f>IF(IF(N10=0,0,3),3,0)</f>
        <v>0</v>
      </c>
      <c r="O7" s="51">
        <f>IF(IF(O10=0,0,2),2,0)</f>
        <v>0</v>
      </c>
      <c r="P7" s="51">
        <f>IF(IF(P10=0,0,2),2,0)</f>
        <v>0</v>
      </c>
      <c r="Q7" s="51">
        <f>IF(IF(Q10=0,0,3),3,0)</f>
        <v>0</v>
      </c>
      <c r="R7" s="51">
        <f>IF(IF(R10=0,0,3),3,0)</f>
        <v>0</v>
      </c>
      <c r="S7" s="52">
        <f>IF(IF(N10=0,0,3),3,0)</f>
        <v>0</v>
      </c>
      <c r="T7" s="52">
        <f>IF(IF(N10=0,0,2),2,0)</f>
        <v>0</v>
      </c>
      <c r="U7" s="37">
        <f>SUM(F7:T7)</f>
        <v>20</v>
      </c>
      <c r="V7" s="38"/>
      <c r="W7" s="95"/>
      <c r="X7" s="95"/>
      <c r="Y7" s="81"/>
    </row>
    <row r="8" spans="2:25" ht="19.5" thickTop="1" thickBot="1" x14ac:dyDescent="0.3">
      <c r="B8" s="99"/>
      <c r="C8" s="76"/>
      <c r="D8" s="89"/>
      <c r="E8" s="29" t="s">
        <v>97</v>
      </c>
      <c r="F8" s="39">
        <v>28</v>
      </c>
      <c r="G8" s="39">
        <v>26</v>
      </c>
      <c r="H8" s="39">
        <v>0</v>
      </c>
      <c r="I8" s="40">
        <v>0</v>
      </c>
      <c r="J8" s="40">
        <v>0</v>
      </c>
      <c r="K8" s="40">
        <v>0</v>
      </c>
      <c r="L8" s="40">
        <v>31</v>
      </c>
      <c r="M8" s="6">
        <v>0</v>
      </c>
      <c r="N8" s="6">
        <v>0</v>
      </c>
      <c r="O8" s="6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40"/>
      <c r="V8" s="41"/>
      <c r="W8" s="89"/>
      <c r="X8" s="89"/>
      <c r="Y8" s="82"/>
    </row>
    <row r="9" spans="2:25" ht="19.5" thickTop="1" thickBot="1" x14ac:dyDescent="0.3">
      <c r="B9" s="99"/>
      <c r="C9" s="76"/>
      <c r="D9" s="89"/>
      <c r="E9" s="30" t="s">
        <v>3</v>
      </c>
      <c r="F9" s="42"/>
      <c r="G9" s="42"/>
      <c r="H9" s="42">
        <v>50</v>
      </c>
      <c r="I9" s="42">
        <v>69</v>
      </c>
      <c r="J9" s="42">
        <v>81</v>
      </c>
      <c r="K9" s="42">
        <v>88</v>
      </c>
      <c r="L9" s="42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43"/>
      <c r="V9" s="44"/>
      <c r="W9" s="89"/>
      <c r="X9" s="89"/>
      <c r="Y9" s="82"/>
    </row>
    <row r="10" spans="2:25" ht="19.5" thickTop="1" thickBot="1" x14ac:dyDescent="0.3">
      <c r="B10" s="99"/>
      <c r="C10" s="76"/>
      <c r="D10" s="89"/>
      <c r="E10" s="31" t="s">
        <v>4</v>
      </c>
      <c r="F10" s="42">
        <f t="shared" ref="F10:T10" si="0">IF(F9&lt;30,F8,F8+F9)</f>
        <v>28</v>
      </c>
      <c r="G10" s="42">
        <f t="shared" si="0"/>
        <v>26</v>
      </c>
      <c r="H10" s="42">
        <f t="shared" si="0"/>
        <v>50</v>
      </c>
      <c r="I10" s="42">
        <f t="shared" si="0"/>
        <v>69</v>
      </c>
      <c r="J10" s="42">
        <f t="shared" si="0"/>
        <v>81</v>
      </c>
      <c r="K10" s="42">
        <f t="shared" si="0"/>
        <v>88</v>
      </c>
      <c r="L10" s="42">
        <f t="shared" si="0"/>
        <v>31</v>
      </c>
      <c r="M10" s="22">
        <f t="shared" si="0"/>
        <v>0</v>
      </c>
      <c r="N10" s="22">
        <f t="shared" si="0"/>
        <v>0</v>
      </c>
      <c r="O10" s="22">
        <f t="shared" si="0"/>
        <v>0</v>
      </c>
      <c r="P10" s="22">
        <f t="shared" si="0"/>
        <v>0</v>
      </c>
      <c r="Q10" s="22">
        <f t="shared" si="0"/>
        <v>0</v>
      </c>
      <c r="R10" s="22">
        <f t="shared" si="0"/>
        <v>0</v>
      </c>
      <c r="S10" s="22">
        <f t="shared" si="0"/>
        <v>0</v>
      </c>
      <c r="T10" s="22">
        <f t="shared" si="0"/>
        <v>0</v>
      </c>
      <c r="U10" s="43"/>
      <c r="V10" s="44"/>
      <c r="W10" s="89"/>
      <c r="X10" s="89"/>
      <c r="Y10" s="82"/>
    </row>
    <row r="11" spans="2:25" ht="37.5" thickTop="1" thickBot="1" x14ac:dyDescent="0.3">
      <c r="B11" s="100"/>
      <c r="C11" s="97"/>
      <c r="D11" s="90"/>
      <c r="E11" s="32" t="s">
        <v>6</v>
      </c>
      <c r="F11" s="36">
        <f t="shared" ref="F11:L11" si="1">SUM(F7*F10)</f>
        <v>84</v>
      </c>
      <c r="G11" s="36">
        <f t="shared" si="1"/>
        <v>52</v>
      </c>
      <c r="H11" s="36">
        <f t="shared" si="1"/>
        <v>150</v>
      </c>
      <c r="I11" s="36">
        <f t="shared" si="1"/>
        <v>138</v>
      </c>
      <c r="J11" s="36">
        <f t="shared" si="1"/>
        <v>243</v>
      </c>
      <c r="K11" s="36">
        <f t="shared" si="1"/>
        <v>352</v>
      </c>
      <c r="L11" s="36">
        <f t="shared" si="1"/>
        <v>93</v>
      </c>
      <c r="M11" s="13">
        <f t="shared" ref="M11:T11" si="2">SUM(M7*M10)</f>
        <v>0</v>
      </c>
      <c r="N11" s="13">
        <f t="shared" si="2"/>
        <v>0</v>
      </c>
      <c r="O11" s="13">
        <f t="shared" si="2"/>
        <v>0</v>
      </c>
      <c r="P11" s="13">
        <f t="shared" si="2"/>
        <v>0</v>
      </c>
      <c r="Q11" s="13">
        <f t="shared" si="2"/>
        <v>0</v>
      </c>
      <c r="R11" s="13">
        <f t="shared" si="2"/>
        <v>0</v>
      </c>
      <c r="S11" s="13">
        <f t="shared" si="2"/>
        <v>0</v>
      </c>
      <c r="T11" s="13">
        <f t="shared" si="2"/>
        <v>0</v>
      </c>
      <c r="U11" s="45">
        <f>SUM(F11:T11)</f>
        <v>1112</v>
      </c>
      <c r="V11" s="46">
        <f>SUM(U11/U7)</f>
        <v>55.6</v>
      </c>
      <c r="W11" s="90"/>
      <c r="X11" s="90"/>
      <c r="Y11" s="83"/>
    </row>
    <row r="12" spans="2:25" ht="20.25" thickTop="1" thickBot="1" x14ac:dyDescent="0.35">
      <c r="B12" s="98">
        <v>-2</v>
      </c>
      <c r="C12" s="96" t="s">
        <v>54</v>
      </c>
      <c r="D12" s="88" t="s">
        <v>86</v>
      </c>
      <c r="E12" s="10" t="s">
        <v>5</v>
      </c>
      <c r="F12" s="37">
        <f>IF(IF(F15=0,0,3),3,0)</f>
        <v>0</v>
      </c>
      <c r="G12" s="37">
        <f>IF(IF(G15=0,0,2),2,0)</f>
        <v>0</v>
      </c>
      <c r="H12" s="37">
        <f>IF(IF(H15=0,0,3),3,0)</f>
        <v>0</v>
      </c>
      <c r="I12" s="37">
        <f>IF(IF(I15=0,0,2),2,0)</f>
        <v>0</v>
      </c>
      <c r="J12" s="37">
        <f>IF(IF(J15=0,0,3),3,0)</f>
        <v>0</v>
      </c>
      <c r="K12" s="37">
        <f>IF(IF(K15=0,0,4),4,0)</f>
        <v>0</v>
      </c>
      <c r="L12" s="37">
        <f>IF(IF(L15=0,0,3),3,0)</f>
        <v>0</v>
      </c>
      <c r="M12" s="51">
        <f>IF(IF(M15=0,0,3),3,0)</f>
        <v>0</v>
      </c>
      <c r="N12" s="51">
        <f>IF(IF(N15=0,0,3),3,0)</f>
        <v>0</v>
      </c>
      <c r="O12" s="51">
        <f>IF(IF(O15=0,0,2),2,0)</f>
        <v>0</v>
      </c>
      <c r="P12" s="51">
        <f>IF(IF(P15=0,0,2),2,0)</f>
        <v>0</v>
      </c>
      <c r="Q12" s="51">
        <f>IF(IF(Q15=0,0,3),3,0)</f>
        <v>0</v>
      </c>
      <c r="R12" s="51">
        <f>IF(IF(R15=0,0,3),3,0)</f>
        <v>0</v>
      </c>
      <c r="S12" s="52">
        <f>IF(IF(N15=0,0,3),3,0)</f>
        <v>0</v>
      </c>
      <c r="T12" s="52">
        <f>IF(IF(N15=0,0,2),2,0)</f>
        <v>0</v>
      </c>
      <c r="U12" s="37">
        <f>SUM(F12:T12)</f>
        <v>0</v>
      </c>
      <c r="V12" s="38"/>
      <c r="W12" s="95"/>
      <c r="X12" s="95"/>
      <c r="Y12" s="81"/>
    </row>
    <row r="13" spans="2:25" ht="19.5" thickTop="1" thickBot="1" x14ac:dyDescent="0.3">
      <c r="B13" s="99"/>
      <c r="C13" s="76"/>
      <c r="D13" s="89"/>
      <c r="E13" s="33" t="s">
        <v>97</v>
      </c>
      <c r="F13" s="39"/>
      <c r="G13" s="39"/>
      <c r="H13" s="39"/>
      <c r="I13" s="40"/>
      <c r="J13" s="40"/>
      <c r="K13" s="40"/>
      <c r="L13" s="40">
        <v>0</v>
      </c>
      <c r="M13" s="6">
        <v>0</v>
      </c>
      <c r="N13" s="6">
        <v>0</v>
      </c>
      <c r="O13" s="6">
        <v>0</v>
      </c>
      <c r="P13" s="7">
        <v>0</v>
      </c>
      <c r="Q13" s="7">
        <v>0</v>
      </c>
      <c r="R13" s="7">
        <v>0</v>
      </c>
      <c r="S13" s="63">
        <v>0</v>
      </c>
      <c r="T13" s="7">
        <v>0</v>
      </c>
      <c r="U13" s="40"/>
      <c r="V13" s="41"/>
      <c r="W13" s="89"/>
      <c r="X13" s="89"/>
      <c r="Y13" s="82"/>
    </row>
    <row r="14" spans="2:25" ht="19.5" thickTop="1" thickBot="1" x14ac:dyDescent="0.3">
      <c r="B14" s="99"/>
      <c r="C14" s="76"/>
      <c r="D14" s="89"/>
      <c r="E14" s="30" t="s">
        <v>3</v>
      </c>
      <c r="F14" s="42"/>
      <c r="G14" s="42"/>
      <c r="H14" s="42"/>
      <c r="I14" s="42"/>
      <c r="J14" s="42"/>
      <c r="K14" s="42"/>
      <c r="L14" s="42"/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64">
        <v>0</v>
      </c>
      <c r="T14" s="3">
        <v>0</v>
      </c>
      <c r="U14" s="43"/>
      <c r="V14" s="44"/>
      <c r="W14" s="89"/>
      <c r="X14" s="89"/>
      <c r="Y14" s="82"/>
    </row>
    <row r="15" spans="2:25" ht="19.5" thickTop="1" thickBot="1" x14ac:dyDescent="0.3">
      <c r="B15" s="99"/>
      <c r="C15" s="76"/>
      <c r="D15" s="89"/>
      <c r="E15" s="31" t="s">
        <v>4</v>
      </c>
      <c r="F15" s="42">
        <f t="shared" ref="F15:T15" si="3">IF(F14&lt;30,F13,F13+F14)</f>
        <v>0</v>
      </c>
      <c r="G15" s="42">
        <f t="shared" si="3"/>
        <v>0</v>
      </c>
      <c r="H15" s="42">
        <f t="shared" si="3"/>
        <v>0</v>
      </c>
      <c r="I15" s="42">
        <f t="shared" si="3"/>
        <v>0</v>
      </c>
      <c r="J15" s="42">
        <f t="shared" si="3"/>
        <v>0</v>
      </c>
      <c r="K15" s="42">
        <f t="shared" si="3"/>
        <v>0</v>
      </c>
      <c r="L15" s="42">
        <f t="shared" si="3"/>
        <v>0</v>
      </c>
      <c r="M15" s="22">
        <f t="shared" si="3"/>
        <v>0</v>
      </c>
      <c r="N15" s="22">
        <f t="shared" si="3"/>
        <v>0</v>
      </c>
      <c r="O15" s="22">
        <f t="shared" si="3"/>
        <v>0</v>
      </c>
      <c r="P15" s="22">
        <f t="shared" si="3"/>
        <v>0</v>
      </c>
      <c r="Q15" s="22">
        <f t="shared" si="3"/>
        <v>0</v>
      </c>
      <c r="R15" s="22">
        <f t="shared" si="3"/>
        <v>0</v>
      </c>
      <c r="S15" s="64">
        <f t="shared" si="3"/>
        <v>0</v>
      </c>
      <c r="T15" s="22">
        <f t="shared" si="3"/>
        <v>0</v>
      </c>
      <c r="U15" s="43"/>
      <c r="V15" s="44"/>
      <c r="W15" s="89"/>
      <c r="X15" s="89"/>
      <c r="Y15" s="82"/>
    </row>
    <row r="16" spans="2:25" ht="37.5" thickTop="1" thickBot="1" x14ac:dyDescent="0.3">
      <c r="B16" s="100"/>
      <c r="C16" s="97"/>
      <c r="D16" s="90"/>
      <c r="E16" s="34" t="s">
        <v>6</v>
      </c>
      <c r="F16" s="36">
        <f t="shared" ref="F16:L16" si="4">SUM(F12*F15)</f>
        <v>0</v>
      </c>
      <c r="G16" s="36">
        <f t="shared" si="4"/>
        <v>0</v>
      </c>
      <c r="H16" s="36">
        <f t="shared" si="4"/>
        <v>0</v>
      </c>
      <c r="I16" s="36">
        <f t="shared" si="4"/>
        <v>0</v>
      </c>
      <c r="J16" s="36">
        <f t="shared" si="4"/>
        <v>0</v>
      </c>
      <c r="K16" s="36">
        <f t="shared" si="4"/>
        <v>0</v>
      </c>
      <c r="L16" s="36">
        <f t="shared" si="4"/>
        <v>0</v>
      </c>
      <c r="M16" s="13">
        <f t="shared" ref="M16:T16" si="5">SUM(M12*M15)</f>
        <v>0</v>
      </c>
      <c r="N16" s="13">
        <f t="shared" si="5"/>
        <v>0</v>
      </c>
      <c r="O16" s="13">
        <f t="shared" si="5"/>
        <v>0</v>
      </c>
      <c r="P16" s="13">
        <f t="shared" si="5"/>
        <v>0</v>
      </c>
      <c r="Q16" s="13">
        <f t="shared" si="5"/>
        <v>0</v>
      </c>
      <c r="R16" s="13">
        <f t="shared" si="5"/>
        <v>0</v>
      </c>
      <c r="S16" s="65">
        <f t="shared" si="5"/>
        <v>0</v>
      </c>
      <c r="T16" s="13">
        <f t="shared" si="5"/>
        <v>0</v>
      </c>
      <c r="U16" s="45">
        <f>SUM(F16:T16)</f>
        <v>0</v>
      </c>
      <c r="V16" s="46" t="e">
        <f>SUM(U16/U12)</f>
        <v>#DIV/0!</v>
      </c>
      <c r="W16" s="90"/>
      <c r="X16" s="90"/>
      <c r="Y16" s="83"/>
    </row>
    <row r="17" spans="2:25" ht="20.25" thickTop="1" thickBot="1" x14ac:dyDescent="0.35">
      <c r="B17" s="98">
        <v>-3</v>
      </c>
      <c r="C17" s="96" t="s">
        <v>57</v>
      </c>
      <c r="D17" s="89" t="s">
        <v>87</v>
      </c>
      <c r="E17" s="10" t="s">
        <v>5</v>
      </c>
      <c r="F17" s="37">
        <f>IF(IF(F20=0,0,3),3,0)</f>
        <v>3</v>
      </c>
      <c r="G17" s="37">
        <f>IF(IF(G20=0,0,2),2,0)</f>
        <v>2</v>
      </c>
      <c r="H17" s="37">
        <f>IF(IF(H20=0,0,3),3,0)</f>
        <v>0</v>
      </c>
      <c r="I17" s="37">
        <f>IF(IF(I20=0,0,2),2,0)</f>
        <v>2</v>
      </c>
      <c r="J17" s="37">
        <f>IF(IF(J20=0,0,3),3,0)</f>
        <v>3</v>
      </c>
      <c r="K17" s="37">
        <f>IF(IF(K20=0,0,4),4,0)</f>
        <v>4</v>
      </c>
      <c r="L17" s="37">
        <f>IF(IF(L20=0,0,3),3,0)</f>
        <v>3</v>
      </c>
      <c r="M17" s="51">
        <f>IF(IF(M20=0,0,3),3,0)</f>
        <v>0</v>
      </c>
      <c r="N17" s="51">
        <f>IF(IF(N20=0,0,3),3,0)</f>
        <v>0</v>
      </c>
      <c r="O17" s="51">
        <f>IF(IF(O20=0,0,2),2,0)</f>
        <v>0</v>
      </c>
      <c r="P17" s="51">
        <f>IF(IF(P20=0,0,2),2,0)</f>
        <v>0</v>
      </c>
      <c r="Q17" s="51">
        <f>IF(IF(Q20=0,0,3),3,0)</f>
        <v>0</v>
      </c>
      <c r="R17" s="51">
        <f>IF(IF(R20=0,0,3),3,0)</f>
        <v>0</v>
      </c>
      <c r="S17" s="52">
        <f>IF(IF(N20=0,0,3),3,0)</f>
        <v>0</v>
      </c>
      <c r="T17" s="52">
        <f>IF(IF(N20=0,0,2),2,0)</f>
        <v>0</v>
      </c>
      <c r="U17" s="37">
        <f>SUM(F17:T17)</f>
        <v>17</v>
      </c>
      <c r="V17" s="38"/>
      <c r="W17" s="95"/>
      <c r="X17" s="95"/>
      <c r="Y17" s="81"/>
    </row>
    <row r="18" spans="2:25" ht="19.5" thickTop="1" thickBot="1" x14ac:dyDescent="0.3">
      <c r="B18" s="99"/>
      <c r="C18" s="76"/>
      <c r="D18" s="89"/>
      <c r="E18" s="33" t="s">
        <v>97</v>
      </c>
      <c r="F18" s="39">
        <v>27</v>
      </c>
      <c r="G18" s="39">
        <v>0</v>
      </c>
      <c r="H18" s="39"/>
      <c r="I18" s="40">
        <v>0</v>
      </c>
      <c r="J18" s="40">
        <v>0</v>
      </c>
      <c r="K18" s="40">
        <v>26</v>
      </c>
      <c r="L18" s="40">
        <v>0</v>
      </c>
      <c r="M18" s="6">
        <v>0</v>
      </c>
      <c r="N18" s="6">
        <v>0</v>
      </c>
      <c r="O18" s="6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40"/>
      <c r="V18" s="41"/>
      <c r="W18" s="89"/>
      <c r="X18" s="89"/>
      <c r="Y18" s="82"/>
    </row>
    <row r="19" spans="2:25" ht="19.5" thickTop="1" thickBot="1" x14ac:dyDescent="0.3">
      <c r="B19" s="99"/>
      <c r="C19" s="76"/>
      <c r="D19" s="89"/>
      <c r="E19" s="30" t="s">
        <v>3</v>
      </c>
      <c r="F19" s="42"/>
      <c r="G19" s="42">
        <v>66</v>
      </c>
      <c r="H19" s="42"/>
      <c r="I19" s="42">
        <v>73</v>
      </c>
      <c r="J19" s="42">
        <v>77</v>
      </c>
      <c r="K19" s="42">
        <v>0</v>
      </c>
      <c r="L19" s="42">
        <v>52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43"/>
      <c r="V19" s="44"/>
      <c r="W19" s="89"/>
      <c r="X19" s="89"/>
      <c r="Y19" s="82"/>
    </row>
    <row r="20" spans="2:25" ht="19.5" thickTop="1" thickBot="1" x14ac:dyDescent="0.3">
      <c r="B20" s="99"/>
      <c r="C20" s="76"/>
      <c r="D20" s="89"/>
      <c r="E20" s="31" t="s">
        <v>4</v>
      </c>
      <c r="F20" s="42">
        <f t="shared" ref="F20:T20" si="6">IF(F19&lt;30,F18,F18+F19)</f>
        <v>27</v>
      </c>
      <c r="G20" s="42">
        <f t="shared" si="6"/>
        <v>66</v>
      </c>
      <c r="H20" s="42">
        <f t="shared" si="6"/>
        <v>0</v>
      </c>
      <c r="I20" s="42">
        <f t="shared" si="6"/>
        <v>73</v>
      </c>
      <c r="J20" s="42">
        <f t="shared" si="6"/>
        <v>77</v>
      </c>
      <c r="K20" s="42">
        <f t="shared" si="6"/>
        <v>26</v>
      </c>
      <c r="L20" s="42">
        <f t="shared" si="6"/>
        <v>52</v>
      </c>
      <c r="M20" s="22">
        <f t="shared" si="6"/>
        <v>0</v>
      </c>
      <c r="N20" s="22">
        <f t="shared" si="6"/>
        <v>0</v>
      </c>
      <c r="O20" s="22">
        <f t="shared" si="6"/>
        <v>0</v>
      </c>
      <c r="P20" s="22">
        <f t="shared" si="6"/>
        <v>0</v>
      </c>
      <c r="Q20" s="22">
        <f t="shared" si="6"/>
        <v>0</v>
      </c>
      <c r="R20" s="22">
        <f t="shared" si="6"/>
        <v>0</v>
      </c>
      <c r="S20" s="22">
        <f t="shared" si="6"/>
        <v>0</v>
      </c>
      <c r="T20" s="22">
        <f t="shared" si="6"/>
        <v>0</v>
      </c>
      <c r="U20" s="43"/>
      <c r="V20" s="44"/>
      <c r="W20" s="89"/>
      <c r="X20" s="89"/>
      <c r="Y20" s="82"/>
    </row>
    <row r="21" spans="2:25" ht="37.5" thickTop="1" thickBot="1" x14ac:dyDescent="0.3">
      <c r="B21" s="100"/>
      <c r="C21" s="97"/>
      <c r="D21" s="90"/>
      <c r="E21" s="35" t="s">
        <v>6</v>
      </c>
      <c r="F21" s="36">
        <f t="shared" ref="F21:L21" si="7">SUM(F17*F20)</f>
        <v>81</v>
      </c>
      <c r="G21" s="36">
        <f t="shared" si="7"/>
        <v>132</v>
      </c>
      <c r="H21" s="36">
        <f t="shared" si="7"/>
        <v>0</v>
      </c>
      <c r="I21" s="36">
        <f t="shared" si="7"/>
        <v>146</v>
      </c>
      <c r="J21" s="36">
        <f t="shared" si="7"/>
        <v>231</v>
      </c>
      <c r="K21" s="36">
        <f t="shared" si="7"/>
        <v>104</v>
      </c>
      <c r="L21" s="36">
        <f t="shared" si="7"/>
        <v>156</v>
      </c>
      <c r="M21" s="13">
        <f t="shared" ref="M21:T21" si="8">SUM(M17*M20)</f>
        <v>0</v>
      </c>
      <c r="N21" s="13">
        <f t="shared" si="8"/>
        <v>0</v>
      </c>
      <c r="O21" s="13">
        <f t="shared" si="8"/>
        <v>0</v>
      </c>
      <c r="P21" s="13">
        <f t="shared" si="8"/>
        <v>0</v>
      </c>
      <c r="Q21" s="13">
        <f t="shared" si="8"/>
        <v>0</v>
      </c>
      <c r="R21" s="13">
        <f t="shared" si="8"/>
        <v>0</v>
      </c>
      <c r="S21" s="13">
        <f t="shared" si="8"/>
        <v>0</v>
      </c>
      <c r="T21" s="13">
        <f t="shared" si="8"/>
        <v>0</v>
      </c>
      <c r="U21" s="45">
        <f>SUM(F21:T21)</f>
        <v>850</v>
      </c>
      <c r="V21" s="46">
        <f>SUM(U21/U17)</f>
        <v>50</v>
      </c>
      <c r="W21" s="90"/>
      <c r="X21" s="90"/>
      <c r="Y21" s="83"/>
    </row>
    <row r="22" spans="2:25" ht="20.25" thickTop="1" thickBot="1" x14ac:dyDescent="0.35">
      <c r="B22" s="98">
        <v>-4</v>
      </c>
      <c r="C22" s="96" t="s">
        <v>61</v>
      </c>
      <c r="D22" s="88" t="s">
        <v>88</v>
      </c>
      <c r="E22" s="10" t="s">
        <v>5</v>
      </c>
      <c r="F22" s="37">
        <f>IF(IF(F25=0,0,3),3,0)</f>
        <v>0</v>
      </c>
      <c r="G22" s="37">
        <f>IF(IF(G25=0,0,2),2,0)</f>
        <v>0</v>
      </c>
      <c r="H22" s="37">
        <f>IF(IF(H25=0,0,3),3,0)</f>
        <v>0</v>
      </c>
      <c r="I22" s="37">
        <f>IF(IF(I25=0,0,2),2,0)</f>
        <v>0</v>
      </c>
      <c r="J22" s="37">
        <f>IF(IF(J25=0,0,3),3,0)</f>
        <v>0</v>
      </c>
      <c r="K22" s="37">
        <f>IF(IF(K25=0,0,4),4,0)</f>
        <v>0</v>
      </c>
      <c r="L22" s="37">
        <f>IF(IF(L25=0,0,3),3,0)</f>
        <v>0</v>
      </c>
      <c r="M22" s="51">
        <f>IF(IF(M25=0,0,3),3,0)</f>
        <v>0</v>
      </c>
      <c r="N22" s="51">
        <f>IF(IF(N25=0,0,3),3,0)</f>
        <v>0</v>
      </c>
      <c r="O22" s="51">
        <f>IF(IF(O25=0,0,2),2,0)</f>
        <v>0</v>
      </c>
      <c r="P22" s="51">
        <f>IF(IF(P25=0,0,2),2,0)</f>
        <v>0</v>
      </c>
      <c r="Q22" s="51">
        <f>IF(IF(Q25=0,0,3),3,0)</f>
        <v>0</v>
      </c>
      <c r="R22" s="51">
        <f>IF(IF(R25=0,0,3),3,0)</f>
        <v>0</v>
      </c>
      <c r="S22" s="52">
        <f>IF(IF(N25=0,0,3),3,0)</f>
        <v>0</v>
      </c>
      <c r="T22" s="52">
        <f>IF(IF(N25=0,0,2),2,0)</f>
        <v>0</v>
      </c>
      <c r="U22" s="37">
        <f>SUM(F22:T22)</f>
        <v>0</v>
      </c>
      <c r="V22" s="38"/>
      <c r="W22" s="95"/>
      <c r="X22" s="95"/>
      <c r="Y22" s="81"/>
    </row>
    <row r="23" spans="2:25" ht="19.5" thickTop="1" thickBot="1" x14ac:dyDescent="0.3">
      <c r="B23" s="99"/>
      <c r="C23" s="76"/>
      <c r="D23" s="89"/>
      <c r="E23" s="33" t="s">
        <v>97</v>
      </c>
      <c r="F23" s="39"/>
      <c r="G23" s="39"/>
      <c r="H23" s="39"/>
      <c r="I23" s="40"/>
      <c r="J23" s="40"/>
      <c r="K23" s="40">
        <v>0</v>
      </c>
      <c r="L23" s="40"/>
      <c r="M23" s="6">
        <v>0</v>
      </c>
      <c r="N23" s="6">
        <v>0</v>
      </c>
      <c r="O23" s="6">
        <v>0</v>
      </c>
      <c r="P23" s="7">
        <v>0</v>
      </c>
      <c r="Q23" s="7">
        <v>0</v>
      </c>
      <c r="R23" s="7">
        <v>0</v>
      </c>
      <c r="S23" s="7">
        <v>0</v>
      </c>
      <c r="T23" s="63">
        <v>0</v>
      </c>
      <c r="U23" s="40"/>
      <c r="V23" s="41"/>
      <c r="W23" s="89"/>
      <c r="X23" s="89"/>
      <c r="Y23" s="82"/>
    </row>
    <row r="24" spans="2:25" ht="19.5" thickTop="1" thickBot="1" x14ac:dyDescent="0.3">
      <c r="B24" s="99"/>
      <c r="C24" s="76"/>
      <c r="D24" s="89"/>
      <c r="E24" s="30" t="s">
        <v>3</v>
      </c>
      <c r="F24" s="42"/>
      <c r="G24" s="42"/>
      <c r="H24" s="42"/>
      <c r="I24" s="42"/>
      <c r="J24" s="42"/>
      <c r="K24" s="42">
        <v>0</v>
      </c>
      <c r="L24" s="42"/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64">
        <v>0</v>
      </c>
      <c r="U24" s="43"/>
      <c r="V24" s="44"/>
      <c r="W24" s="89"/>
      <c r="X24" s="89"/>
      <c r="Y24" s="82"/>
    </row>
    <row r="25" spans="2:25" ht="19.5" thickTop="1" thickBot="1" x14ac:dyDescent="0.3">
      <c r="B25" s="99"/>
      <c r="C25" s="76"/>
      <c r="D25" s="89"/>
      <c r="E25" s="31" t="s">
        <v>4</v>
      </c>
      <c r="F25" s="42">
        <f t="shared" ref="F25:T25" si="9">IF(F24&lt;30,F23,F23+F24)</f>
        <v>0</v>
      </c>
      <c r="G25" s="42">
        <f t="shared" si="9"/>
        <v>0</v>
      </c>
      <c r="H25" s="42">
        <f t="shared" si="9"/>
        <v>0</v>
      </c>
      <c r="I25" s="42">
        <f t="shared" si="9"/>
        <v>0</v>
      </c>
      <c r="J25" s="42">
        <f t="shared" si="9"/>
        <v>0</v>
      </c>
      <c r="K25" s="42">
        <f t="shared" si="9"/>
        <v>0</v>
      </c>
      <c r="L25" s="42">
        <f t="shared" si="9"/>
        <v>0</v>
      </c>
      <c r="M25" s="22">
        <f t="shared" si="9"/>
        <v>0</v>
      </c>
      <c r="N25" s="22">
        <f t="shared" si="9"/>
        <v>0</v>
      </c>
      <c r="O25" s="22">
        <f t="shared" si="9"/>
        <v>0</v>
      </c>
      <c r="P25" s="22">
        <f t="shared" si="9"/>
        <v>0</v>
      </c>
      <c r="Q25" s="22">
        <f t="shared" si="9"/>
        <v>0</v>
      </c>
      <c r="R25" s="22">
        <f t="shared" si="9"/>
        <v>0</v>
      </c>
      <c r="S25" s="22">
        <f t="shared" si="9"/>
        <v>0</v>
      </c>
      <c r="T25" s="64">
        <f t="shared" si="9"/>
        <v>0</v>
      </c>
      <c r="U25" s="43"/>
      <c r="V25" s="44"/>
      <c r="W25" s="89"/>
      <c r="X25" s="89"/>
      <c r="Y25" s="82"/>
    </row>
    <row r="26" spans="2:25" ht="37.5" thickTop="1" thickBot="1" x14ac:dyDescent="0.3">
      <c r="B26" s="100"/>
      <c r="C26" s="97"/>
      <c r="D26" s="90"/>
      <c r="E26" s="35" t="s">
        <v>6</v>
      </c>
      <c r="F26" s="36">
        <f t="shared" ref="F26:L26" si="10">SUM(F22*F25)</f>
        <v>0</v>
      </c>
      <c r="G26" s="36">
        <f t="shared" si="10"/>
        <v>0</v>
      </c>
      <c r="H26" s="36">
        <f t="shared" si="10"/>
        <v>0</v>
      </c>
      <c r="I26" s="36">
        <f t="shared" si="10"/>
        <v>0</v>
      </c>
      <c r="J26" s="36">
        <f t="shared" si="10"/>
        <v>0</v>
      </c>
      <c r="K26" s="36">
        <f t="shared" si="10"/>
        <v>0</v>
      </c>
      <c r="L26" s="36">
        <f t="shared" si="10"/>
        <v>0</v>
      </c>
      <c r="M26" s="13">
        <f t="shared" ref="M26:T26" si="11">SUM(M22*M25)</f>
        <v>0</v>
      </c>
      <c r="N26" s="13">
        <f t="shared" si="11"/>
        <v>0</v>
      </c>
      <c r="O26" s="13">
        <f t="shared" si="11"/>
        <v>0</v>
      </c>
      <c r="P26" s="13">
        <f t="shared" si="11"/>
        <v>0</v>
      </c>
      <c r="Q26" s="13">
        <f t="shared" si="11"/>
        <v>0</v>
      </c>
      <c r="R26" s="13">
        <f t="shared" si="11"/>
        <v>0</v>
      </c>
      <c r="S26" s="13">
        <f t="shared" si="11"/>
        <v>0</v>
      </c>
      <c r="T26" s="65">
        <f t="shared" si="11"/>
        <v>0</v>
      </c>
      <c r="U26" s="45">
        <f>SUM(F26:T26)</f>
        <v>0</v>
      </c>
      <c r="V26" s="46" t="e">
        <f>SUM(U26/U22)</f>
        <v>#DIV/0!</v>
      </c>
      <c r="W26" s="90"/>
      <c r="X26" s="90"/>
      <c r="Y26" s="83"/>
    </row>
    <row r="27" spans="2:25" ht="20.25" thickTop="1" thickBot="1" x14ac:dyDescent="0.35">
      <c r="B27" s="98">
        <v>-5</v>
      </c>
      <c r="C27" s="96" t="s">
        <v>76</v>
      </c>
      <c r="D27" s="89" t="s">
        <v>89</v>
      </c>
      <c r="E27" s="10" t="s">
        <v>5</v>
      </c>
      <c r="F27" s="37">
        <f>IF(IF(F30=0,0,3),3,0)</f>
        <v>0</v>
      </c>
      <c r="G27" s="37">
        <f>IF(IF(G30=0,0,2),2,0)</f>
        <v>0</v>
      </c>
      <c r="H27" s="37">
        <f>IF(IF(H30=0,0,3),3,0)</f>
        <v>0</v>
      </c>
      <c r="I27" s="37">
        <f>IF(IF(I30=0,0,2),2,0)</f>
        <v>2</v>
      </c>
      <c r="J27" s="37">
        <f>IF(IF(J30=0,0,3),3,0)</f>
        <v>0</v>
      </c>
      <c r="K27" s="37">
        <f>IF(IF(K30=0,0,4),4,0)</f>
        <v>0</v>
      </c>
      <c r="L27" s="37">
        <f>IF(IF(L30=0,0,3),3,0)</f>
        <v>3</v>
      </c>
      <c r="M27" s="51">
        <f>IF(IF(M30=0,0,3),3,0)</f>
        <v>0</v>
      </c>
      <c r="N27" s="51">
        <f>IF(IF(N30=0,0,3),3,0)</f>
        <v>0</v>
      </c>
      <c r="O27" s="51">
        <f>IF(IF(O30=0,0,2),2,0)</f>
        <v>0</v>
      </c>
      <c r="P27" s="51">
        <f>IF(IF(P30=0,0,2),2,0)</f>
        <v>0</v>
      </c>
      <c r="Q27" s="51">
        <f>IF(IF(Q30=0,0,3),3,0)</f>
        <v>0</v>
      </c>
      <c r="R27" s="51">
        <f>IF(IF(R30=0,0,3),3,0)</f>
        <v>0</v>
      </c>
      <c r="S27" s="52">
        <f>IF(IF(N30=0,0,3),3,0)</f>
        <v>0</v>
      </c>
      <c r="T27" s="52">
        <f>IF(IF(N30=0,0,2),2,0)</f>
        <v>0</v>
      </c>
      <c r="U27" s="37">
        <f>SUM(F27:T27)</f>
        <v>5</v>
      </c>
      <c r="V27" s="38"/>
      <c r="W27" s="95"/>
      <c r="X27" s="95"/>
      <c r="Y27" s="81"/>
    </row>
    <row r="28" spans="2:25" ht="19.5" thickTop="1" thickBot="1" x14ac:dyDescent="0.3">
      <c r="B28" s="99"/>
      <c r="C28" s="76"/>
      <c r="D28" s="89"/>
      <c r="E28" s="33" t="s">
        <v>97</v>
      </c>
      <c r="F28" s="39"/>
      <c r="G28" s="39"/>
      <c r="H28" s="39"/>
      <c r="I28" s="40">
        <v>27</v>
      </c>
      <c r="J28" s="40"/>
      <c r="K28" s="40"/>
      <c r="L28" s="40">
        <v>19</v>
      </c>
      <c r="M28" s="6">
        <v>0</v>
      </c>
      <c r="N28" s="6">
        <v>0</v>
      </c>
      <c r="O28" s="6">
        <v>0</v>
      </c>
      <c r="P28" s="7">
        <v>0</v>
      </c>
      <c r="Q28" s="7">
        <v>0</v>
      </c>
      <c r="R28" s="7">
        <v>0</v>
      </c>
      <c r="S28" s="7">
        <v>0</v>
      </c>
      <c r="T28" s="63">
        <v>18</v>
      </c>
      <c r="U28" s="40"/>
      <c r="V28" s="41"/>
      <c r="W28" s="89"/>
      <c r="X28" s="89"/>
      <c r="Y28" s="82"/>
    </row>
    <row r="29" spans="2:25" ht="19.5" thickTop="1" thickBot="1" x14ac:dyDescent="0.3">
      <c r="B29" s="99"/>
      <c r="C29" s="76"/>
      <c r="D29" s="89"/>
      <c r="E29" s="30" t="s">
        <v>3</v>
      </c>
      <c r="F29" s="42"/>
      <c r="G29" s="42"/>
      <c r="H29" s="42"/>
      <c r="I29" s="42">
        <v>33</v>
      </c>
      <c r="J29" s="42"/>
      <c r="K29" s="42"/>
      <c r="L29" s="42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64">
        <v>0</v>
      </c>
      <c r="U29" s="43"/>
      <c r="V29" s="44"/>
      <c r="W29" s="89"/>
      <c r="X29" s="89"/>
      <c r="Y29" s="82"/>
    </row>
    <row r="30" spans="2:25" ht="19.5" thickTop="1" thickBot="1" x14ac:dyDescent="0.3">
      <c r="B30" s="99"/>
      <c r="C30" s="76"/>
      <c r="D30" s="89"/>
      <c r="E30" s="31" t="s">
        <v>4</v>
      </c>
      <c r="F30" s="42">
        <f t="shared" ref="F30:T30" si="12">IF(F29&lt;30,F28,F28+F29)</f>
        <v>0</v>
      </c>
      <c r="G30" s="42">
        <f t="shared" si="12"/>
        <v>0</v>
      </c>
      <c r="H30" s="42">
        <f t="shared" si="12"/>
        <v>0</v>
      </c>
      <c r="I30" s="42">
        <f t="shared" si="12"/>
        <v>60</v>
      </c>
      <c r="J30" s="42">
        <f t="shared" si="12"/>
        <v>0</v>
      </c>
      <c r="K30" s="42">
        <f t="shared" si="12"/>
        <v>0</v>
      </c>
      <c r="L30" s="42">
        <f t="shared" si="12"/>
        <v>19</v>
      </c>
      <c r="M30" s="22">
        <f t="shared" si="12"/>
        <v>0</v>
      </c>
      <c r="N30" s="22">
        <f t="shared" si="12"/>
        <v>0</v>
      </c>
      <c r="O30" s="22">
        <f t="shared" si="12"/>
        <v>0</v>
      </c>
      <c r="P30" s="22">
        <f t="shared" si="12"/>
        <v>0</v>
      </c>
      <c r="Q30" s="22">
        <f t="shared" si="12"/>
        <v>0</v>
      </c>
      <c r="R30" s="22">
        <f t="shared" si="12"/>
        <v>0</v>
      </c>
      <c r="S30" s="22">
        <f t="shared" si="12"/>
        <v>0</v>
      </c>
      <c r="T30" s="64">
        <f t="shared" si="12"/>
        <v>18</v>
      </c>
      <c r="U30" s="43"/>
      <c r="V30" s="44"/>
      <c r="W30" s="89"/>
      <c r="X30" s="89"/>
      <c r="Y30" s="82"/>
    </row>
    <row r="31" spans="2:25" ht="37.5" thickTop="1" thickBot="1" x14ac:dyDescent="0.3">
      <c r="B31" s="100"/>
      <c r="C31" s="97"/>
      <c r="D31" s="90"/>
      <c r="E31" s="32" t="s">
        <v>6</v>
      </c>
      <c r="F31" s="36">
        <f t="shared" ref="F31:L31" si="13">SUM(F27*F30)</f>
        <v>0</v>
      </c>
      <c r="G31" s="36">
        <f t="shared" si="13"/>
        <v>0</v>
      </c>
      <c r="H31" s="36">
        <f t="shared" si="13"/>
        <v>0</v>
      </c>
      <c r="I31" s="36">
        <f t="shared" si="13"/>
        <v>120</v>
      </c>
      <c r="J31" s="36">
        <f t="shared" si="13"/>
        <v>0</v>
      </c>
      <c r="K31" s="36">
        <f t="shared" si="13"/>
        <v>0</v>
      </c>
      <c r="L31" s="36">
        <f t="shared" si="13"/>
        <v>57</v>
      </c>
      <c r="M31" s="13">
        <f t="shared" ref="M31:T31" si="14">SUM(M27*M30)</f>
        <v>0</v>
      </c>
      <c r="N31" s="13">
        <f t="shared" si="14"/>
        <v>0</v>
      </c>
      <c r="O31" s="13">
        <f t="shared" si="14"/>
        <v>0</v>
      </c>
      <c r="P31" s="13">
        <f t="shared" si="14"/>
        <v>0</v>
      </c>
      <c r="Q31" s="13">
        <f t="shared" si="14"/>
        <v>0</v>
      </c>
      <c r="R31" s="13">
        <f t="shared" si="14"/>
        <v>0</v>
      </c>
      <c r="S31" s="13">
        <f t="shared" si="14"/>
        <v>0</v>
      </c>
      <c r="T31" s="65">
        <f t="shared" si="14"/>
        <v>0</v>
      </c>
      <c r="U31" s="45">
        <f>SUM(F31:T31)</f>
        <v>177</v>
      </c>
      <c r="V31" s="46">
        <f>SUM(U31/U27)</f>
        <v>35.4</v>
      </c>
      <c r="W31" s="90"/>
      <c r="X31" s="90"/>
      <c r="Y31" s="83"/>
    </row>
    <row r="32" spans="2:25" ht="20.25" thickTop="1" thickBot="1" x14ac:dyDescent="0.35">
      <c r="B32" s="98">
        <v>-6</v>
      </c>
      <c r="C32" s="96" t="s">
        <v>77</v>
      </c>
      <c r="D32" s="88" t="s">
        <v>90</v>
      </c>
      <c r="E32" s="10" t="s">
        <v>5</v>
      </c>
      <c r="F32" s="37">
        <f>IF(IF(F35=0,0,3),3,0)</f>
        <v>0</v>
      </c>
      <c r="G32" s="37">
        <f>IF(IF(G35=0,0,2),2,0)</f>
        <v>2</v>
      </c>
      <c r="H32" s="37">
        <f>IF(IF(H35=0,0,3),3,0)</f>
        <v>0</v>
      </c>
      <c r="I32" s="37">
        <f>IF(IF(I35=0,0,2),2,0)</f>
        <v>2</v>
      </c>
      <c r="J32" s="37">
        <f>IF(IF(J35=0,0,3),3,0)</f>
        <v>0</v>
      </c>
      <c r="K32" s="37">
        <f>IF(IF(K35=0,0,4),4,0)</f>
        <v>4</v>
      </c>
      <c r="L32" s="37">
        <f>IF(IF(L35=0,0,3),3,0)</f>
        <v>3</v>
      </c>
      <c r="M32" s="51">
        <f>IF(IF(M35=0,0,3),3,0)</f>
        <v>0</v>
      </c>
      <c r="N32" s="51">
        <f>IF(IF(N35=0,0,3),3,0)</f>
        <v>0</v>
      </c>
      <c r="O32" s="51">
        <f>IF(IF(O35=0,0,2),2,0)</f>
        <v>0</v>
      </c>
      <c r="P32" s="51">
        <f>IF(IF(P35=0,0,2),2,0)</f>
        <v>0</v>
      </c>
      <c r="Q32" s="51">
        <f>IF(IF(Q35=0,0,3),3,0)</f>
        <v>0</v>
      </c>
      <c r="R32" s="51">
        <f>IF(IF(R35=0,0,3),3,0)</f>
        <v>0</v>
      </c>
      <c r="S32" s="52">
        <f>IF(IF(N35=0,0,3),3,0)</f>
        <v>0</v>
      </c>
      <c r="T32" s="52">
        <f>IF(IF(N35=0,0,2),2,0)</f>
        <v>0</v>
      </c>
      <c r="U32" s="37">
        <f>SUM(F32:T32)</f>
        <v>11</v>
      </c>
      <c r="V32" s="38"/>
      <c r="W32" s="95"/>
      <c r="X32" s="95"/>
      <c r="Y32" s="81"/>
    </row>
    <row r="33" spans="2:25" ht="19.5" thickTop="1" thickBot="1" x14ac:dyDescent="0.3">
      <c r="B33" s="99"/>
      <c r="C33" s="76"/>
      <c r="D33" s="89"/>
      <c r="E33" s="33" t="s">
        <v>97</v>
      </c>
      <c r="F33" s="39"/>
      <c r="G33" s="39">
        <v>39</v>
      </c>
      <c r="H33" s="39"/>
      <c r="I33" s="40">
        <v>37</v>
      </c>
      <c r="J33" s="40"/>
      <c r="K33" s="40">
        <v>33</v>
      </c>
      <c r="L33" s="40">
        <v>32</v>
      </c>
      <c r="M33" s="6">
        <v>0</v>
      </c>
      <c r="N33" s="6">
        <v>0</v>
      </c>
      <c r="O33" s="6">
        <v>0</v>
      </c>
      <c r="P33" s="7">
        <v>0</v>
      </c>
      <c r="Q33" s="7">
        <v>0</v>
      </c>
      <c r="R33" s="7">
        <v>0</v>
      </c>
      <c r="S33" s="7">
        <v>0</v>
      </c>
      <c r="T33" s="63">
        <v>36</v>
      </c>
      <c r="U33" s="40"/>
      <c r="V33" s="41"/>
      <c r="W33" s="89"/>
      <c r="X33" s="89"/>
      <c r="Y33" s="82"/>
    </row>
    <row r="34" spans="2:25" ht="19.5" thickTop="1" thickBot="1" x14ac:dyDescent="0.3">
      <c r="B34" s="99"/>
      <c r="C34" s="76"/>
      <c r="D34" s="89"/>
      <c r="E34" s="30" t="s">
        <v>3</v>
      </c>
      <c r="F34" s="42"/>
      <c r="G34" s="42"/>
      <c r="H34" s="42"/>
      <c r="I34" s="42">
        <v>54</v>
      </c>
      <c r="J34" s="42"/>
      <c r="K34" s="42"/>
      <c r="L34" s="42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64">
        <v>0</v>
      </c>
      <c r="U34" s="43"/>
      <c r="V34" s="44"/>
      <c r="W34" s="89"/>
      <c r="X34" s="89"/>
      <c r="Y34" s="82"/>
    </row>
    <row r="35" spans="2:25" ht="19.5" thickTop="1" thickBot="1" x14ac:dyDescent="0.3">
      <c r="B35" s="99"/>
      <c r="C35" s="76"/>
      <c r="D35" s="89"/>
      <c r="E35" s="31" t="s">
        <v>4</v>
      </c>
      <c r="F35" s="42">
        <f t="shared" ref="F35:T35" si="15">IF(F34&lt;30,F33,F33+F34)</f>
        <v>0</v>
      </c>
      <c r="G35" s="42">
        <f t="shared" si="15"/>
        <v>39</v>
      </c>
      <c r="H35" s="42">
        <f t="shared" si="15"/>
        <v>0</v>
      </c>
      <c r="I35" s="42">
        <f t="shared" si="15"/>
        <v>91</v>
      </c>
      <c r="J35" s="42">
        <f t="shared" si="15"/>
        <v>0</v>
      </c>
      <c r="K35" s="42">
        <f t="shared" si="15"/>
        <v>33</v>
      </c>
      <c r="L35" s="42">
        <f t="shared" si="15"/>
        <v>32</v>
      </c>
      <c r="M35" s="22">
        <f t="shared" si="15"/>
        <v>0</v>
      </c>
      <c r="N35" s="22">
        <f t="shared" si="15"/>
        <v>0</v>
      </c>
      <c r="O35" s="22">
        <f t="shared" si="15"/>
        <v>0</v>
      </c>
      <c r="P35" s="22">
        <f t="shared" si="15"/>
        <v>0</v>
      </c>
      <c r="Q35" s="22">
        <f t="shared" si="15"/>
        <v>0</v>
      </c>
      <c r="R35" s="22">
        <f t="shared" si="15"/>
        <v>0</v>
      </c>
      <c r="S35" s="22">
        <f t="shared" si="15"/>
        <v>0</v>
      </c>
      <c r="T35" s="64">
        <f t="shared" si="15"/>
        <v>36</v>
      </c>
      <c r="U35" s="43"/>
      <c r="V35" s="44"/>
      <c r="W35" s="89"/>
      <c r="X35" s="89"/>
      <c r="Y35" s="82"/>
    </row>
    <row r="36" spans="2:25" ht="37.5" thickTop="1" thickBot="1" x14ac:dyDescent="0.3">
      <c r="B36" s="100"/>
      <c r="C36" s="97"/>
      <c r="D36" s="90"/>
      <c r="E36" s="32" t="s">
        <v>6</v>
      </c>
      <c r="F36" s="36">
        <f t="shared" ref="F36:L36" si="16">SUM(F32*F35)</f>
        <v>0</v>
      </c>
      <c r="G36" s="36">
        <f t="shared" si="16"/>
        <v>78</v>
      </c>
      <c r="H36" s="36">
        <f t="shared" si="16"/>
        <v>0</v>
      </c>
      <c r="I36" s="36">
        <f t="shared" si="16"/>
        <v>182</v>
      </c>
      <c r="J36" s="36">
        <f t="shared" si="16"/>
        <v>0</v>
      </c>
      <c r="K36" s="36">
        <f t="shared" si="16"/>
        <v>132</v>
      </c>
      <c r="L36" s="36">
        <f t="shared" si="16"/>
        <v>96</v>
      </c>
      <c r="M36" s="13">
        <f t="shared" ref="M36:T36" si="17">SUM(M32*M35)</f>
        <v>0</v>
      </c>
      <c r="N36" s="13">
        <f t="shared" si="17"/>
        <v>0</v>
      </c>
      <c r="O36" s="13">
        <f t="shared" si="17"/>
        <v>0</v>
      </c>
      <c r="P36" s="13">
        <f t="shared" si="17"/>
        <v>0</v>
      </c>
      <c r="Q36" s="13">
        <f t="shared" si="17"/>
        <v>0</v>
      </c>
      <c r="R36" s="13">
        <f t="shared" si="17"/>
        <v>0</v>
      </c>
      <c r="S36" s="13">
        <f t="shared" si="17"/>
        <v>0</v>
      </c>
      <c r="T36" s="13">
        <f t="shared" si="17"/>
        <v>0</v>
      </c>
      <c r="U36" s="45">
        <f>SUM(F36:T36)</f>
        <v>488</v>
      </c>
      <c r="V36" s="46">
        <f>SUM(U36/U32)</f>
        <v>44.363636363636367</v>
      </c>
      <c r="W36" s="90"/>
      <c r="X36" s="90"/>
      <c r="Y36" s="83"/>
    </row>
    <row r="37" spans="2:25" ht="20.25" thickTop="1" thickBot="1" x14ac:dyDescent="0.35">
      <c r="B37" s="98">
        <v>-7</v>
      </c>
      <c r="C37" s="96"/>
      <c r="D37" s="89"/>
      <c r="E37" s="10" t="s">
        <v>5</v>
      </c>
      <c r="F37" s="37">
        <f>IF(IF(F40=0,0,3),3,0)</f>
        <v>0</v>
      </c>
      <c r="G37" s="37">
        <f>IF(IF(G40=0,0,2),2,0)</f>
        <v>0</v>
      </c>
      <c r="H37" s="37">
        <f>IF(IF(H40=0,0,3),3,0)</f>
        <v>0</v>
      </c>
      <c r="I37" s="37">
        <f>IF(IF(I40=0,0,2),2,0)</f>
        <v>0</v>
      </c>
      <c r="J37" s="37">
        <f>IF(IF(J40=0,0,3),3,0)</f>
        <v>0</v>
      </c>
      <c r="K37" s="37">
        <f>IF(IF(K40=0,0,4),4,0)</f>
        <v>0</v>
      </c>
      <c r="L37" s="37">
        <f>IF(IF(L40=0,0,3),3,0)</f>
        <v>0</v>
      </c>
      <c r="M37" s="51">
        <f>IF(IF(M40=0,0,3),3,0)</f>
        <v>0</v>
      </c>
      <c r="N37" s="51">
        <f>IF(IF(N40=0,0,3),3,0)</f>
        <v>0</v>
      </c>
      <c r="O37" s="51">
        <f>IF(IF(O40=0,0,2),2,0)</f>
        <v>0</v>
      </c>
      <c r="P37" s="51">
        <f>IF(IF(P40=0,0,2),2,0)</f>
        <v>0</v>
      </c>
      <c r="Q37" s="51">
        <f>IF(IF(Q40=0,0,3),3,0)</f>
        <v>0</v>
      </c>
      <c r="R37" s="51">
        <f>IF(IF(R40=0,0,3),3,0)</f>
        <v>0</v>
      </c>
      <c r="S37" s="52">
        <f>IF(IF(N40=0,0,3),3,0)</f>
        <v>0</v>
      </c>
      <c r="T37" s="52">
        <f>IF(IF(N40=0,0,2),2,0)</f>
        <v>0</v>
      </c>
      <c r="U37" s="37">
        <f>SUM(F37:T37)</f>
        <v>0</v>
      </c>
      <c r="V37" s="38"/>
      <c r="W37" s="95"/>
      <c r="X37" s="95"/>
      <c r="Y37" s="81"/>
    </row>
    <row r="38" spans="2:25" ht="19.5" thickTop="1" thickBot="1" x14ac:dyDescent="0.3">
      <c r="B38" s="99"/>
      <c r="C38" s="76"/>
      <c r="D38" s="89"/>
      <c r="E38" s="33" t="s">
        <v>97</v>
      </c>
      <c r="F38" s="39"/>
      <c r="G38" s="39"/>
      <c r="H38" s="39"/>
      <c r="I38" s="40"/>
      <c r="J38" s="40"/>
      <c r="K38" s="40"/>
      <c r="L38" s="40"/>
      <c r="M38" s="6">
        <v>0</v>
      </c>
      <c r="N38" s="6">
        <v>0</v>
      </c>
      <c r="O38" s="6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40"/>
      <c r="V38" s="41"/>
      <c r="W38" s="89"/>
      <c r="X38" s="89"/>
      <c r="Y38" s="82"/>
    </row>
    <row r="39" spans="2:25" ht="19.5" thickTop="1" thickBot="1" x14ac:dyDescent="0.3">
      <c r="B39" s="99"/>
      <c r="C39" s="76"/>
      <c r="D39" s="89"/>
      <c r="E39" s="30" t="s">
        <v>3</v>
      </c>
      <c r="F39" s="42"/>
      <c r="G39" s="42"/>
      <c r="H39" s="42"/>
      <c r="I39" s="42"/>
      <c r="J39" s="42"/>
      <c r="K39" s="42"/>
      <c r="L39" s="42"/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43"/>
      <c r="V39" s="44"/>
      <c r="W39" s="89"/>
      <c r="X39" s="89"/>
      <c r="Y39" s="82"/>
    </row>
    <row r="40" spans="2:25" ht="19.5" thickTop="1" thickBot="1" x14ac:dyDescent="0.3">
      <c r="B40" s="99"/>
      <c r="C40" s="76"/>
      <c r="D40" s="89"/>
      <c r="E40" s="31" t="s">
        <v>4</v>
      </c>
      <c r="F40" s="42">
        <f t="shared" ref="F40:T40" si="18">IF(F39&lt;30,F38,F38+F39)</f>
        <v>0</v>
      </c>
      <c r="G40" s="42">
        <f t="shared" si="18"/>
        <v>0</v>
      </c>
      <c r="H40" s="42">
        <f t="shared" si="18"/>
        <v>0</v>
      </c>
      <c r="I40" s="42">
        <f t="shared" si="18"/>
        <v>0</v>
      </c>
      <c r="J40" s="42">
        <f t="shared" si="18"/>
        <v>0</v>
      </c>
      <c r="K40" s="42">
        <f t="shared" si="18"/>
        <v>0</v>
      </c>
      <c r="L40" s="42">
        <f t="shared" si="18"/>
        <v>0</v>
      </c>
      <c r="M40" s="22">
        <f t="shared" si="18"/>
        <v>0</v>
      </c>
      <c r="N40" s="22">
        <f t="shared" si="18"/>
        <v>0</v>
      </c>
      <c r="O40" s="22">
        <f t="shared" si="18"/>
        <v>0</v>
      </c>
      <c r="P40" s="22">
        <f t="shared" si="18"/>
        <v>0</v>
      </c>
      <c r="Q40" s="22">
        <f t="shared" si="18"/>
        <v>0</v>
      </c>
      <c r="R40" s="22">
        <f t="shared" si="18"/>
        <v>0</v>
      </c>
      <c r="S40" s="22">
        <f t="shared" si="18"/>
        <v>0</v>
      </c>
      <c r="T40" s="22">
        <f t="shared" si="18"/>
        <v>0</v>
      </c>
      <c r="U40" s="43"/>
      <c r="V40" s="44"/>
      <c r="W40" s="89"/>
      <c r="X40" s="89"/>
      <c r="Y40" s="82"/>
    </row>
    <row r="41" spans="2:25" ht="37.5" thickTop="1" thickBot="1" x14ac:dyDescent="0.3">
      <c r="B41" s="100"/>
      <c r="C41" s="97"/>
      <c r="D41" s="90"/>
      <c r="E41" s="32" t="s">
        <v>6</v>
      </c>
      <c r="F41" s="47">
        <f t="shared" ref="F41:L41" si="19">SUM(F37*F40)</f>
        <v>0</v>
      </c>
      <c r="G41" s="47">
        <f t="shared" si="19"/>
        <v>0</v>
      </c>
      <c r="H41" s="47">
        <f t="shared" si="19"/>
        <v>0</v>
      </c>
      <c r="I41" s="47">
        <f t="shared" si="19"/>
        <v>0</v>
      </c>
      <c r="J41" s="47">
        <f t="shared" si="19"/>
        <v>0</v>
      </c>
      <c r="K41" s="47">
        <f t="shared" si="19"/>
        <v>0</v>
      </c>
      <c r="L41" s="47">
        <f t="shared" si="19"/>
        <v>0</v>
      </c>
      <c r="M41" s="60">
        <f t="shared" ref="M41:T41" si="20">SUM(M37*M40)</f>
        <v>0</v>
      </c>
      <c r="N41" s="60">
        <f t="shared" si="20"/>
        <v>0</v>
      </c>
      <c r="O41" s="60">
        <f t="shared" si="20"/>
        <v>0</v>
      </c>
      <c r="P41" s="60">
        <f t="shared" si="20"/>
        <v>0</v>
      </c>
      <c r="Q41" s="60">
        <f t="shared" si="20"/>
        <v>0</v>
      </c>
      <c r="R41" s="60">
        <f t="shared" si="20"/>
        <v>0</v>
      </c>
      <c r="S41" s="60">
        <f t="shared" si="20"/>
        <v>0</v>
      </c>
      <c r="T41" s="60">
        <f t="shared" si="20"/>
        <v>0</v>
      </c>
      <c r="U41" s="48">
        <f>SUM(F41:T41)</f>
        <v>0</v>
      </c>
      <c r="V41" s="47" t="e">
        <f>SUM(U41/U37)</f>
        <v>#DIV/0!</v>
      </c>
      <c r="W41" s="90"/>
      <c r="X41" s="90"/>
      <c r="Y41" s="83"/>
    </row>
    <row r="42" spans="2:25" ht="13.5" thickTop="1" x14ac:dyDescent="0.2"/>
  </sheetData>
  <mergeCells count="51">
    <mergeCell ref="B37:B41"/>
    <mergeCell ref="C37:C41"/>
    <mergeCell ref="D37:D41"/>
    <mergeCell ref="W37:W41"/>
    <mergeCell ref="X37:X41"/>
    <mergeCell ref="Y37:Y41"/>
    <mergeCell ref="B32:B36"/>
    <mergeCell ref="C32:C36"/>
    <mergeCell ref="D32:D36"/>
    <mergeCell ref="W32:W36"/>
    <mergeCell ref="X32:X36"/>
    <mergeCell ref="Y32:Y36"/>
    <mergeCell ref="B27:B31"/>
    <mergeCell ref="C27:C31"/>
    <mergeCell ref="D27:D31"/>
    <mergeCell ref="W27:W31"/>
    <mergeCell ref="X27:X31"/>
    <mergeCell ref="Y27:Y31"/>
    <mergeCell ref="B22:B26"/>
    <mergeCell ref="C22:C26"/>
    <mergeCell ref="D22:D26"/>
    <mergeCell ref="W22:W26"/>
    <mergeCell ref="X22:X26"/>
    <mergeCell ref="Y22:Y26"/>
    <mergeCell ref="B17:B21"/>
    <mergeCell ref="C17:C21"/>
    <mergeCell ref="D17:D21"/>
    <mergeCell ref="W17:W21"/>
    <mergeCell ref="X17:X21"/>
    <mergeCell ref="Y17:Y21"/>
    <mergeCell ref="Y7:Y11"/>
    <mergeCell ref="B12:B16"/>
    <mergeCell ref="C12:C16"/>
    <mergeCell ref="D12:D16"/>
    <mergeCell ref="W12:W16"/>
    <mergeCell ref="X12:X16"/>
    <mergeCell ref="Y12:Y16"/>
    <mergeCell ref="U5:U6"/>
    <mergeCell ref="V5:V6"/>
    <mergeCell ref="X5:X6"/>
    <mergeCell ref="B7:B11"/>
    <mergeCell ref="C7:C11"/>
    <mergeCell ref="D7:D11"/>
    <mergeCell ref="W7:W11"/>
    <mergeCell ref="X7:X11"/>
    <mergeCell ref="B5:B6"/>
    <mergeCell ref="C5:C6"/>
    <mergeCell ref="D5:D6"/>
    <mergeCell ref="E5:E6"/>
    <mergeCell ref="F5:L5"/>
    <mergeCell ref="M5:T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10BC-F871-454A-9C88-D24140917C49}">
  <dimension ref="B4:W42"/>
  <sheetViews>
    <sheetView rightToLeft="1" workbookViewId="0">
      <selection activeCell="C17" sqref="C17:C21"/>
    </sheetView>
  </sheetViews>
  <sheetFormatPr defaultRowHeight="12.75" x14ac:dyDescent="0.2"/>
  <cols>
    <col min="3" max="3" width="25.85546875" customWidth="1"/>
    <col min="5" max="5" width="23.7109375" customWidth="1"/>
    <col min="6" max="6" width="8.5703125" customWidth="1"/>
    <col min="23" max="23" width="25" customWidth="1"/>
  </cols>
  <sheetData>
    <row r="4" spans="2:23" ht="13.5" thickBot="1" x14ac:dyDescent="0.25"/>
    <row r="5" spans="2:23" ht="16.5" thickTop="1" thickBot="1" x14ac:dyDescent="0.25">
      <c r="B5" s="107" t="s">
        <v>0</v>
      </c>
      <c r="C5" s="101" t="s">
        <v>7</v>
      </c>
      <c r="D5" s="103" t="s">
        <v>1</v>
      </c>
      <c r="E5" s="101" t="s">
        <v>2</v>
      </c>
      <c r="F5" s="112" t="s">
        <v>20</v>
      </c>
      <c r="G5" s="113"/>
      <c r="H5" s="113"/>
      <c r="I5" s="113"/>
      <c r="J5" s="113"/>
      <c r="K5" s="114"/>
      <c r="L5" s="109" t="s">
        <v>21</v>
      </c>
      <c r="M5" s="110"/>
      <c r="N5" s="110"/>
      <c r="O5" s="110"/>
      <c r="P5" s="110"/>
      <c r="Q5" s="110"/>
      <c r="R5" s="110"/>
      <c r="S5" s="103" t="s">
        <v>4</v>
      </c>
      <c r="T5" s="103" t="s">
        <v>8</v>
      </c>
      <c r="U5" s="27"/>
      <c r="V5" s="103" t="s">
        <v>18</v>
      </c>
      <c r="W5" s="28"/>
    </row>
    <row r="6" spans="2:23" ht="111" thickTop="1" thickBot="1" x14ac:dyDescent="0.25">
      <c r="B6" s="108"/>
      <c r="C6" s="106"/>
      <c r="D6" s="104"/>
      <c r="E6" s="102"/>
      <c r="F6" s="25" t="s">
        <v>36</v>
      </c>
      <c r="G6" s="25" t="s">
        <v>37</v>
      </c>
      <c r="H6" s="25" t="s">
        <v>38</v>
      </c>
      <c r="I6" s="25" t="s">
        <v>39</v>
      </c>
      <c r="J6" s="25" t="s">
        <v>22</v>
      </c>
      <c r="K6" s="25" t="s">
        <v>40</v>
      </c>
      <c r="L6" s="25" t="s">
        <v>14</v>
      </c>
      <c r="M6" s="25" t="s">
        <v>30</v>
      </c>
      <c r="N6" s="25" t="s">
        <v>31</v>
      </c>
      <c r="O6" s="25" t="s">
        <v>32</v>
      </c>
      <c r="P6" s="25" t="s">
        <v>33</v>
      </c>
      <c r="Q6" s="25" t="s">
        <v>34</v>
      </c>
      <c r="R6" s="25" t="s">
        <v>35</v>
      </c>
      <c r="S6" s="105"/>
      <c r="T6" s="105"/>
      <c r="U6" s="25" t="s">
        <v>17</v>
      </c>
      <c r="V6" s="105"/>
      <c r="W6" s="26" t="s">
        <v>19</v>
      </c>
    </row>
    <row r="7" spans="2:23" ht="20.25" thickTop="1" thickBot="1" x14ac:dyDescent="0.35">
      <c r="B7" s="98">
        <v>-1</v>
      </c>
      <c r="C7" s="96" t="s">
        <v>60</v>
      </c>
      <c r="D7" s="95"/>
      <c r="E7" s="9" t="s">
        <v>5</v>
      </c>
      <c r="F7" s="37">
        <f>IF(IF(F10=0,0,3),3,0)</f>
        <v>3</v>
      </c>
      <c r="G7" s="37">
        <f>IF(IF(G10=0,0,3),3,0)</f>
        <v>3</v>
      </c>
      <c r="H7" s="37">
        <f>IF(IF(H10=0,0,3),3,0)</f>
        <v>3</v>
      </c>
      <c r="I7" s="37">
        <f>IF(IF(I10=0,0,4),4,0)</f>
        <v>4</v>
      </c>
      <c r="J7" s="37">
        <f>IF(IF(J10=0,0,2),2,0)</f>
        <v>0</v>
      </c>
      <c r="K7" s="37">
        <f>IF(IF(K10=0,0,4),4,0)</f>
        <v>0</v>
      </c>
      <c r="L7" s="37">
        <f>IF(IF(L10=0,0,3),3,0)</f>
        <v>0</v>
      </c>
      <c r="M7" s="37">
        <f>IF(IF(M10=0,0,2),2,0)</f>
        <v>0</v>
      </c>
      <c r="N7" s="37">
        <f>IF(IF(N10=0,0,3),3,0)</f>
        <v>0</v>
      </c>
      <c r="O7" s="37">
        <f>IF(IF(O10=0,0,2),2,0)</f>
        <v>0</v>
      </c>
      <c r="P7" s="37">
        <f>IF(IF(P10=0,0,3),3,0)</f>
        <v>0</v>
      </c>
      <c r="Q7" s="37">
        <f>IF(IF(Q10=0,0,4),4,0)</f>
        <v>0</v>
      </c>
      <c r="R7" s="37">
        <f>IF(IF(R10=0,0,3),3,0)</f>
        <v>0</v>
      </c>
      <c r="S7" s="37">
        <f>SUM(F7:R7)</f>
        <v>13</v>
      </c>
      <c r="T7" s="38"/>
      <c r="U7" s="95"/>
      <c r="V7" s="95"/>
      <c r="W7" s="81"/>
    </row>
    <row r="8" spans="2:23" ht="19.5" thickTop="1" thickBot="1" x14ac:dyDescent="0.3">
      <c r="B8" s="99"/>
      <c r="C8" s="76"/>
      <c r="D8" s="89"/>
      <c r="E8" s="29" t="s">
        <v>97</v>
      </c>
      <c r="F8" s="39">
        <v>29</v>
      </c>
      <c r="G8" s="39">
        <v>30</v>
      </c>
      <c r="H8" s="39">
        <v>36</v>
      </c>
      <c r="I8" s="40">
        <v>31</v>
      </c>
      <c r="J8" s="40"/>
      <c r="K8" s="40"/>
      <c r="L8" s="39">
        <v>0</v>
      </c>
      <c r="M8" s="39">
        <v>0</v>
      </c>
      <c r="N8" s="39">
        <v>0</v>
      </c>
      <c r="O8" s="40">
        <v>0</v>
      </c>
      <c r="P8" s="40">
        <v>0</v>
      </c>
      <c r="Q8" s="40">
        <v>0</v>
      </c>
      <c r="R8" s="40">
        <v>0</v>
      </c>
      <c r="S8" s="40"/>
      <c r="T8" s="41"/>
      <c r="U8" s="89"/>
      <c r="V8" s="89"/>
      <c r="W8" s="82"/>
    </row>
    <row r="9" spans="2:23" ht="19.5" thickTop="1" thickBot="1" x14ac:dyDescent="0.3">
      <c r="B9" s="99"/>
      <c r="C9" s="76"/>
      <c r="D9" s="89"/>
      <c r="E9" s="30" t="s">
        <v>3</v>
      </c>
      <c r="F9" s="42">
        <v>36</v>
      </c>
      <c r="G9" s="42"/>
      <c r="H9" s="42"/>
      <c r="I9" s="42"/>
      <c r="J9" s="42"/>
      <c r="K9" s="42"/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  <c r="S9" s="43"/>
      <c r="T9" s="44"/>
      <c r="U9" s="89"/>
      <c r="V9" s="89"/>
      <c r="W9" s="82"/>
    </row>
    <row r="10" spans="2:23" ht="19.5" thickTop="1" thickBot="1" x14ac:dyDescent="0.3">
      <c r="B10" s="99"/>
      <c r="C10" s="76"/>
      <c r="D10" s="89"/>
      <c r="E10" s="31" t="s">
        <v>4</v>
      </c>
      <c r="F10" s="42">
        <f t="shared" ref="F10:R10" si="0">IF(F9&lt;30,F8,F8+F9)</f>
        <v>65</v>
      </c>
      <c r="G10" s="42">
        <f t="shared" si="0"/>
        <v>30</v>
      </c>
      <c r="H10" s="42">
        <f t="shared" si="0"/>
        <v>36</v>
      </c>
      <c r="I10" s="42">
        <f t="shared" si="0"/>
        <v>31</v>
      </c>
      <c r="J10" s="42">
        <f t="shared" si="0"/>
        <v>0</v>
      </c>
      <c r="K10" s="42">
        <f t="shared" si="0"/>
        <v>0</v>
      </c>
      <c r="L10" s="42">
        <f t="shared" si="0"/>
        <v>0</v>
      </c>
      <c r="M10" s="42">
        <f t="shared" si="0"/>
        <v>0</v>
      </c>
      <c r="N10" s="42">
        <f t="shared" si="0"/>
        <v>0</v>
      </c>
      <c r="O10" s="42">
        <f t="shared" si="0"/>
        <v>0</v>
      </c>
      <c r="P10" s="42">
        <f t="shared" si="0"/>
        <v>0</v>
      </c>
      <c r="Q10" s="42">
        <f t="shared" si="0"/>
        <v>0</v>
      </c>
      <c r="R10" s="42">
        <f t="shared" si="0"/>
        <v>0</v>
      </c>
      <c r="S10" s="43"/>
      <c r="T10" s="44"/>
      <c r="U10" s="89"/>
      <c r="V10" s="89"/>
      <c r="W10" s="82"/>
    </row>
    <row r="11" spans="2:23" ht="37.5" thickTop="1" thickBot="1" x14ac:dyDescent="0.3">
      <c r="B11" s="100"/>
      <c r="C11" s="77"/>
      <c r="D11" s="90"/>
      <c r="E11" s="32" t="s">
        <v>6</v>
      </c>
      <c r="F11" s="36">
        <f t="shared" ref="F11:K11" si="1">SUM(F7*F10)</f>
        <v>195</v>
      </c>
      <c r="G11" s="36">
        <f t="shared" si="1"/>
        <v>90</v>
      </c>
      <c r="H11" s="36">
        <f t="shared" si="1"/>
        <v>108</v>
      </c>
      <c r="I11" s="36">
        <f t="shared" si="1"/>
        <v>124</v>
      </c>
      <c r="J11" s="36">
        <f t="shared" si="1"/>
        <v>0</v>
      </c>
      <c r="K11" s="36">
        <f t="shared" si="1"/>
        <v>0</v>
      </c>
      <c r="L11" s="36">
        <f t="shared" ref="L11:R11" si="2">SUM(L7*L10)</f>
        <v>0</v>
      </c>
      <c r="M11" s="36">
        <f t="shared" si="2"/>
        <v>0</v>
      </c>
      <c r="N11" s="36">
        <f t="shared" si="2"/>
        <v>0</v>
      </c>
      <c r="O11" s="36">
        <f t="shared" si="2"/>
        <v>0</v>
      </c>
      <c r="P11" s="36">
        <f t="shared" si="2"/>
        <v>0</v>
      </c>
      <c r="Q11" s="36">
        <f t="shared" si="2"/>
        <v>0</v>
      </c>
      <c r="R11" s="36">
        <f t="shared" si="2"/>
        <v>0</v>
      </c>
      <c r="S11" s="45">
        <f>SUM(F11:R11)</f>
        <v>517</v>
      </c>
      <c r="T11" s="46">
        <f>SUM(S11/S7)</f>
        <v>39.769230769230766</v>
      </c>
      <c r="U11" s="90"/>
      <c r="V11" s="90"/>
      <c r="W11" s="83"/>
    </row>
    <row r="12" spans="2:23" ht="20.25" thickTop="1" thickBot="1" x14ac:dyDescent="0.35">
      <c r="B12" s="98">
        <v>-2</v>
      </c>
      <c r="C12" s="96" t="s">
        <v>55</v>
      </c>
      <c r="D12" s="89" t="s">
        <v>78</v>
      </c>
      <c r="E12" s="9" t="s">
        <v>5</v>
      </c>
      <c r="F12" s="37">
        <f>IF(IF(F15=0,0,3),3,0)</f>
        <v>3</v>
      </c>
      <c r="G12" s="37">
        <f>IF(IF(G15=0,0,3),3,0)</f>
        <v>3</v>
      </c>
      <c r="H12" s="37">
        <f>IF(IF(H15=0,0,3),3,0)</f>
        <v>3</v>
      </c>
      <c r="I12" s="37">
        <f>IF(IF(I15=0,0,4),4,0)</f>
        <v>4</v>
      </c>
      <c r="J12" s="37">
        <f>IF(IF(J15=0,0,2),2,0)</f>
        <v>0</v>
      </c>
      <c r="K12" s="37">
        <f>IF(IF(K15=0,0,4),4,0)</f>
        <v>0</v>
      </c>
      <c r="L12" s="37">
        <f>IF(IF(L15=0,0,3),3,0)</f>
        <v>3</v>
      </c>
      <c r="M12" s="37">
        <f>IF(IF(M15=0,0,2),2,0)</f>
        <v>0</v>
      </c>
      <c r="N12" s="37">
        <f>IF(IF(N15=0,0,3),3,0)</f>
        <v>0</v>
      </c>
      <c r="O12" s="37">
        <f>IF(IF(O15=0,0,2),2,0)</f>
        <v>0</v>
      </c>
      <c r="P12" s="37">
        <f>IF(IF(P15=0,0,3),3,0)</f>
        <v>0</v>
      </c>
      <c r="Q12" s="37">
        <f>IF(IF(Q15=0,0,4),4,0)</f>
        <v>0</v>
      </c>
      <c r="R12" s="37">
        <f>IF(IF(R15=0,0,3),3,0)</f>
        <v>0</v>
      </c>
      <c r="S12" s="37">
        <f>SUM(F12:R12)</f>
        <v>16</v>
      </c>
      <c r="T12" s="38"/>
      <c r="U12" s="95"/>
      <c r="V12" s="95"/>
      <c r="W12" s="81"/>
    </row>
    <row r="13" spans="2:23" ht="19.5" thickTop="1" thickBot="1" x14ac:dyDescent="0.3">
      <c r="B13" s="99"/>
      <c r="C13" s="76"/>
      <c r="D13" s="89"/>
      <c r="E13" s="29" t="s">
        <v>97</v>
      </c>
      <c r="F13" s="39">
        <v>30</v>
      </c>
      <c r="G13" s="39">
        <v>32</v>
      </c>
      <c r="H13" s="39">
        <v>25</v>
      </c>
      <c r="I13" s="40">
        <v>33</v>
      </c>
      <c r="J13" s="40"/>
      <c r="K13" s="40"/>
      <c r="L13" s="71">
        <v>28</v>
      </c>
      <c r="M13" s="39">
        <v>0</v>
      </c>
      <c r="N13" s="39">
        <v>0</v>
      </c>
      <c r="O13" s="40">
        <v>0</v>
      </c>
      <c r="P13" s="40">
        <v>0</v>
      </c>
      <c r="Q13" s="40">
        <v>0</v>
      </c>
      <c r="R13" s="74">
        <v>0</v>
      </c>
      <c r="S13" s="40"/>
      <c r="T13" s="41"/>
      <c r="U13" s="89"/>
      <c r="V13" s="89"/>
      <c r="W13" s="82"/>
    </row>
    <row r="14" spans="2:23" ht="19.5" thickTop="1" thickBot="1" x14ac:dyDescent="0.3">
      <c r="B14" s="99"/>
      <c r="C14" s="76"/>
      <c r="D14" s="89"/>
      <c r="E14" s="30" t="s">
        <v>3</v>
      </c>
      <c r="F14" s="42">
        <v>30</v>
      </c>
      <c r="G14" s="42"/>
      <c r="H14" s="42"/>
      <c r="I14" s="42"/>
      <c r="J14" s="42"/>
      <c r="K14" s="42"/>
      <c r="L14" s="7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72">
        <v>0</v>
      </c>
      <c r="S14" s="43"/>
      <c r="T14" s="44"/>
      <c r="U14" s="89"/>
      <c r="V14" s="89"/>
      <c r="W14" s="82"/>
    </row>
    <row r="15" spans="2:23" ht="19.5" thickTop="1" thickBot="1" x14ac:dyDescent="0.3">
      <c r="B15" s="99"/>
      <c r="C15" s="76"/>
      <c r="D15" s="89"/>
      <c r="E15" s="31" t="s">
        <v>4</v>
      </c>
      <c r="F15" s="42">
        <f t="shared" ref="F15:R15" si="3">IF(F14&lt;30,F13,F13+F14)</f>
        <v>60</v>
      </c>
      <c r="G15" s="42">
        <f t="shared" si="3"/>
        <v>32</v>
      </c>
      <c r="H15" s="42">
        <f t="shared" si="3"/>
        <v>25</v>
      </c>
      <c r="I15" s="42">
        <f t="shared" si="3"/>
        <v>33</v>
      </c>
      <c r="J15" s="42">
        <f t="shared" si="3"/>
        <v>0</v>
      </c>
      <c r="K15" s="42">
        <f t="shared" si="3"/>
        <v>0</v>
      </c>
      <c r="L15" s="72">
        <f t="shared" si="3"/>
        <v>28</v>
      </c>
      <c r="M15" s="42">
        <f t="shared" si="3"/>
        <v>0</v>
      </c>
      <c r="N15" s="42">
        <f t="shared" si="3"/>
        <v>0</v>
      </c>
      <c r="O15" s="42">
        <f t="shared" si="3"/>
        <v>0</v>
      </c>
      <c r="P15" s="42">
        <f t="shared" si="3"/>
        <v>0</v>
      </c>
      <c r="Q15" s="42">
        <f t="shared" si="3"/>
        <v>0</v>
      </c>
      <c r="R15" s="72">
        <f t="shared" si="3"/>
        <v>0</v>
      </c>
      <c r="S15" s="43"/>
      <c r="T15" s="44"/>
      <c r="U15" s="89"/>
      <c r="V15" s="89"/>
      <c r="W15" s="82"/>
    </row>
    <row r="16" spans="2:23" ht="37.5" thickTop="1" thickBot="1" x14ac:dyDescent="0.3">
      <c r="B16" s="100"/>
      <c r="C16" s="77"/>
      <c r="D16" s="90"/>
      <c r="E16" s="32" t="s">
        <v>6</v>
      </c>
      <c r="F16" s="36">
        <f t="shared" ref="F16:K16" si="4">SUM(F12*F15)</f>
        <v>180</v>
      </c>
      <c r="G16" s="36">
        <f t="shared" si="4"/>
        <v>96</v>
      </c>
      <c r="H16" s="36">
        <f t="shared" si="4"/>
        <v>75</v>
      </c>
      <c r="I16" s="36">
        <f t="shared" si="4"/>
        <v>132</v>
      </c>
      <c r="J16" s="36">
        <f t="shared" si="4"/>
        <v>0</v>
      </c>
      <c r="K16" s="36">
        <f t="shared" si="4"/>
        <v>0</v>
      </c>
      <c r="L16" s="73">
        <f t="shared" ref="L16:R16" si="5">SUM(L12*L15)</f>
        <v>84</v>
      </c>
      <c r="M16" s="36">
        <f t="shared" si="5"/>
        <v>0</v>
      </c>
      <c r="N16" s="36">
        <f t="shared" si="5"/>
        <v>0</v>
      </c>
      <c r="O16" s="36">
        <f t="shared" si="5"/>
        <v>0</v>
      </c>
      <c r="P16" s="36">
        <f t="shared" si="5"/>
        <v>0</v>
      </c>
      <c r="Q16" s="36">
        <f t="shared" si="5"/>
        <v>0</v>
      </c>
      <c r="R16" s="73">
        <f t="shared" si="5"/>
        <v>0</v>
      </c>
      <c r="S16" s="45">
        <f>SUM(F16:R16)</f>
        <v>567</v>
      </c>
      <c r="T16" s="46">
        <f>SUM(S16/S12)</f>
        <v>35.4375</v>
      </c>
      <c r="U16" s="90"/>
      <c r="V16" s="90"/>
      <c r="W16" s="83"/>
    </row>
    <row r="17" spans="2:23" ht="20.25" thickTop="1" thickBot="1" x14ac:dyDescent="0.35">
      <c r="B17" s="98">
        <v>-3</v>
      </c>
      <c r="C17" s="96" t="s">
        <v>56</v>
      </c>
      <c r="D17" s="89" t="s">
        <v>79</v>
      </c>
      <c r="E17" s="10" t="s">
        <v>5</v>
      </c>
      <c r="F17" s="37">
        <f>IF(IF(F20=0,0,3),3,0)</f>
        <v>3</v>
      </c>
      <c r="G17" s="37">
        <f>IF(IF(G20=0,0,3),3,0)</f>
        <v>3</v>
      </c>
      <c r="H17" s="37">
        <f>IF(IF(H20=0,0,3),3,0)</f>
        <v>3</v>
      </c>
      <c r="I17" s="37">
        <f>IF(IF(I20=0,0,4),4,0)</f>
        <v>4</v>
      </c>
      <c r="J17" s="37">
        <f>IF(IF(J20=0,0,2),2,0)</f>
        <v>0</v>
      </c>
      <c r="K17" s="37">
        <f>IF(IF(K20=0,0,4),4,0)</f>
        <v>0</v>
      </c>
      <c r="L17" s="37">
        <f>IF(IF(L20=0,0,3),3,0)</f>
        <v>0</v>
      </c>
      <c r="M17" s="37">
        <f>IF(IF(M20=0,0,2),2,0)</f>
        <v>0</v>
      </c>
      <c r="N17" s="37">
        <f>IF(IF(N20=0,0,3),3,0)</f>
        <v>0</v>
      </c>
      <c r="O17" s="37">
        <f>IF(IF(O20=0,0,2),2,0)</f>
        <v>0</v>
      </c>
      <c r="P17" s="37">
        <f>IF(IF(P20=0,0,3),3,0)</f>
        <v>0</v>
      </c>
      <c r="Q17" s="37">
        <f>IF(IF(Q20=0,0,4),4,0)</f>
        <v>0</v>
      </c>
      <c r="R17" s="37">
        <f>IF(IF(R20=0,0,3),3,0)</f>
        <v>0</v>
      </c>
      <c r="S17" s="37">
        <f>SUM(F17:R17)</f>
        <v>13</v>
      </c>
      <c r="T17" s="38"/>
      <c r="U17" s="95"/>
      <c r="V17" s="95"/>
      <c r="W17" s="81"/>
    </row>
    <row r="18" spans="2:23" ht="19.5" thickTop="1" thickBot="1" x14ac:dyDescent="0.3">
      <c r="B18" s="99"/>
      <c r="C18" s="76"/>
      <c r="D18" s="89"/>
      <c r="E18" s="33" t="s">
        <v>97</v>
      </c>
      <c r="F18" s="39">
        <v>29</v>
      </c>
      <c r="G18" s="39">
        <v>29</v>
      </c>
      <c r="H18" s="39">
        <v>31</v>
      </c>
      <c r="I18" s="40">
        <v>30</v>
      </c>
      <c r="J18" s="40"/>
      <c r="K18" s="40"/>
      <c r="L18" s="39">
        <v>0</v>
      </c>
      <c r="M18" s="39">
        <v>0</v>
      </c>
      <c r="N18" s="39">
        <v>0</v>
      </c>
      <c r="O18" s="40">
        <v>0</v>
      </c>
      <c r="P18" s="40">
        <v>0</v>
      </c>
      <c r="Q18" s="40">
        <v>0</v>
      </c>
      <c r="R18" s="40">
        <v>0</v>
      </c>
      <c r="S18" s="40"/>
      <c r="T18" s="41"/>
      <c r="U18" s="89"/>
      <c r="V18" s="89"/>
      <c r="W18" s="82"/>
    </row>
    <row r="19" spans="2:23" ht="19.5" thickTop="1" thickBot="1" x14ac:dyDescent="0.3">
      <c r="B19" s="99"/>
      <c r="C19" s="76"/>
      <c r="D19" s="89"/>
      <c r="E19" s="30" t="s">
        <v>3</v>
      </c>
      <c r="F19" s="42">
        <v>36</v>
      </c>
      <c r="G19" s="42"/>
      <c r="H19" s="42"/>
      <c r="I19" s="42"/>
      <c r="J19" s="42"/>
      <c r="K19" s="42"/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3"/>
      <c r="T19" s="44"/>
      <c r="U19" s="89"/>
      <c r="V19" s="89"/>
      <c r="W19" s="82"/>
    </row>
    <row r="20" spans="2:23" ht="19.5" thickTop="1" thickBot="1" x14ac:dyDescent="0.3">
      <c r="B20" s="99"/>
      <c r="C20" s="76"/>
      <c r="D20" s="89"/>
      <c r="E20" s="31" t="s">
        <v>4</v>
      </c>
      <c r="F20" s="42">
        <f t="shared" ref="F20:R20" si="6">IF(F19&lt;30,F18,F18+F19)</f>
        <v>65</v>
      </c>
      <c r="G20" s="42">
        <f t="shared" si="6"/>
        <v>29</v>
      </c>
      <c r="H20" s="42">
        <f t="shared" si="6"/>
        <v>31</v>
      </c>
      <c r="I20" s="42">
        <f t="shared" si="6"/>
        <v>30</v>
      </c>
      <c r="J20" s="42">
        <f t="shared" si="6"/>
        <v>0</v>
      </c>
      <c r="K20" s="42">
        <f t="shared" si="6"/>
        <v>0</v>
      </c>
      <c r="L20" s="42">
        <f t="shared" si="6"/>
        <v>0</v>
      </c>
      <c r="M20" s="42">
        <f t="shared" si="6"/>
        <v>0</v>
      </c>
      <c r="N20" s="42">
        <f t="shared" si="6"/>
        <v>0</v>
      </c>
      <c r="O20" s="42">
        <f t="shared" si="6"/>
        <v>0</v>
      </c>
      <c r="P20" s="42">
        <f t="shared" si="6"/>
        <v>0</v>
      </c>
      <c r="Q20" s="42">
        <f t="shared" si="6"/>
        <v>0</v>
      </c>
      <c r="R20" s="42">
        <f t="shared" si="6"/>
        <v>0</v>
      </c>
      <c r="S20" s="43"/>
      <c r="T20" s="44"/>
      <c r="U20" s="89"/>
      <c r="V20" s="89"/>
      <c r="W20" s="82"/>
    </row>
    <row r="21" spans="2:23" ht="37.5" thickTop="1" thickBot="1" x14ac:dyDescent="0.3">
      <c r="B21" s="100"/>
      <c r="C21" s="77"/>
      <c r="D21" s="90"/>
      <c r="E21" s="35" t="s">
        <v>6</v>
      </c>
      <c r="F21" s="36">
        <f t="shared" ref="F21:K21" si="7">SUM(F17*F20)</f>
        <v>195</v>
      </c>
      <c r="G21" s="36">
        <f t="shared" si="7"/>
        <v>87</v>
      </c>
      <c r="H21" s="36">
        <f t="shared" si="7"/>
        <v>93</v>
      </c>
      <c r="I21" s="36">
        <f t="shared" si="7"/>
        <v>120</v>
      </c>
      <c r="J21" s="36">
        <f t="shared" si="7"/>
        <v>0</v>
      </c>
      <c r="K21" s="36">
        <f t="shared" si="7"/>
        <v>0</v>
      </c>
      <c r="L21" s="36">
        <f t="shared" ref="L21:R21" si="8">SUM(L17*L20)</f>
        <v>0</v>
      </c>
      <c r="M21" s="36">
        <f t="shared" si="8"/>
        <v>0</v>
      </c>
      <c r="N21" s="36">
        <f t="shared" si="8"/>
        <v>0</v>
      </c>
      <c r="O21" s="36">
        <f t="shared" si="8"/>
        <v>0</v>
      </c>
      <c r="P21" s="36">
        <f t="shared" si="8"/>
        <v>0</v>
      </c>
      <c r="Q21" s="36">
        <f t="shared" si="8"/>
        <v>0</v>
      </c>
      <c r="R21" s="36">
        <f t="shared" si="8"/>
        <v>0</v>
      </c>
      <c r="S21" s="45">
        <f>SUM(F21:R21)</f>
        <v>495</v>
      </c>
      <c r="T21" s="46">
        <f>SUM(S21/S17)</f>
        <v>38.07692307692308</v>
      </c>
      <c r="U21" s="90"/>
      <c r="V21" s="90"/>
      <c r="W21" s="83"/>
    </row>
    <row r="22" spans="2:23" ht="20.25" thickTop="1" thickBot="1" x14ac:dyDescent="0.35">
      <c r="B22" s="98">
        <v>-4</v>
      </c>
      <c r="C22" s="96"/>
      <c r="D22" s="89"/>
      <c r="E22" s="10" t="s">
        <v>5</v>
      </c>
      <c r="F22" s="37">
        <f>IF(IF(F25=0,0,3),3,0)</f>
        <v>0</v>
      </c>
      <c r="G22" s="37">
        <f>IF(IF(G25=0,0,3),3,0)</f>
        <v>0</v>
      </c>
      <c r="H22" s="37">
        <f>IF(IF(H25=0,0,3),3,0)</f>
        <v>0</v>
      </c>
      <c r="I22" s="37">
        <f>IF(IF(I25=0,0,4),4,0)</f>
        <v>0</v>
      </c>
      <c r="J22" s="37">
        <f>IF(IF(J25=0,0,2),2,0)</f>
        <v>0</v>
      </c>
      <c r="K22" s="37">
        <f>IF(IF(K25=0,0,4),4,0)</f>
        <v>0</v>
      </c>
      <c r="L22" s="37">
        <f>IF(IF(L25=0,0,3),3,0)</f>
        <v>0</v>
      </c>
      <c r="M22" s="37">
        <f>IF(IF(M25=0,0,2),2,0)</f>
        <v>0</v>
      </c>
      <c r="N22" s="37">
        <f>IF(IF(N25=0,0,3),3,0)</f>
        <v>0</v>
      </c>
      <c r="O22" s="37">
        <f>IF(IF(O25=0,0,2),2,0)</f>
        <v>0</v>
      </c>
      <c r="P22" s="37">
        <f>IF(IF(P25=0,0,3),3,0)</f>
        <v>0</v>
      </c>
      <c r="Q22" s="37">
        <f>IF(IF(Q25=0,0,4),4,0)</f>
        <v>0</v>
      </c>
      <c r="R22" s="37">
        <f>IF(IF(R25=0,0,3),3,0)</f>
        <v>0</v>
      </c>
      <c r="S22" s="37">
        <f>SUM(F22:R22)</f>
        <v>0</v>
      </c>
      <c r="T22" s="38"/>
      <c r="U22" s="95"/>
      <c r="V22" s="95"/>
      <c r="W22" s="81"/>
    </row>
    <row r="23" spans="2:23" ht="19.5" thickTop="1" thickBot="1" x14ac:dyDescent="0.3">
      <c r="B23" s="99"/>
      <c r="C23" s="76"/>
      <c r="D23" s="89"/>
      <c r="E23" s="33" t="s">
        <v>97</v>
      </c>
      <c r="F23" s="39"/>
      <c r="G23" s="39"/>
      <c r="H23" s="39"/>
      <c r="I23" s="40"/>
      <c r="J23" s="40"/>
      <c r="K23" s="40"/>
      <c r="L23" s="39">
        <v>0</v>
      </c>
      <c r="M23" s="39">
        <v>0</v>
      </c>
      <c r="N23" s="39">
        <v>0</v>
      </c>
      <c r="O23" s="40">
        <v>0</v>
      </c>
      <c r="P23" s="40">
        <v>0</v>
      </c>
      <c r="Q23" s="40">
        <v>0</v>
      </c>
      <c r="R23" s="40">
        <v>0</v>
      </c>
      <c r="S23" s="40"/>
      <c r="T23" s="41"/>
      <c r="U23" s="89"/>
      <c r="V23" s="89"/>
      <c r="W23" s="82"/>
    </row>
    <row r="24" spans="2:23" ht="19.5" thickTop="1" thickBot="1" x14ac:dyDescent="0.3">
      <c r="B24" s="99"/>
      <c r="C24" s="76"/>
      <c r="D24" s="89"/>
      <c r="E24" s="30" t="s">
        <v>3</v>
      </c>
      <c r="F24" s="42"/>
      <c r="G24" s="42"/>
      <c r="H24" s="42"/>
      <c r="I24" s="42"/>
      <c r="J24" s="42"/>
      <c r="K24" s="42"/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3"/>
      <c r="T24" s="44"/>
      <c r="U24" s="89"/>
      <c r="V24" s="89"/>
      <c r="W24" s="82"/>
    </row>
    <row r="25" spans="2:23" ht="19.5" thickTop="1" thickBot="1" x14ac:dyDescent="0.3">
      <c r="B25" s="99"/>
      <c r="C25" s="76"/>
      <c r="D25" s="89"/>
      <c r="E25" s="31" t="s">
        <v>4</v>
      </c>
      <c r="F25" s="42">
        <f t="shared" ref="F25:R25" si="9">IF(F24&lt;30,F23,F23+F24)</f>
        <v>0</v>
      </c>
      <c r="G25" s="42">
        <f t="shared" si="9"/>
        <v>0</v>
      </c>
      <c r="H25" s="42">
        <f t="shared" si="9"/>
        <v>0</v>
      </c>
      <c r="I25" s="42">
        <f t="shared" si="9"/>
        <v>0</v>
      </c>
      <c r="J25" s="42">
        <f t="shared" si="9"/>
        <v>0</v>
      </c>
      <c r="K25" s="42">
        <f t="shared" si="9"/>
        <v>0</v>
      </c>
      <c r="L25" s="42">
        <f t="shared" si="9"/>
        <v>0</v>
      </c>
      <c r="M25" s="42">
        <f t="shared" si="9"/>
        <v>0</v>
      </c>
      <c r="N25" s="42">
        <f t="shared" si="9"/>
        <v>0</v>
      </c>
      <c r="O25" s="42">
        <f t="shared" si="9"/>
        <v>0</v>
      </c>
      <c r="P25" s="42">
        <f t="shared" si="9"/>
        <v>0</v>
      </c>
      <c r="Q25" s="42">
        <f t="shared" si="9"/>
        <v>0</v>
      </c>
      <c r="R25" s="42">
        <f t="shared" si="9"/>
        <v>0</v>
      </c>
      <c r="S25" s="43"/>
      <c r="T25" s="44"/>
      <c r="U25" s="89"/>
      <c r="V25" s="89"/>
      <c r="W25" s="82"/>
    </row>
    <row r="26" spans="2:23" ht="37.5" thickTop="1" thickBot="1" x14ac:dyDescent="0.3">
      <c r="B26" s="100"/>
      <c r="C26" s="77"/>
      <c r="D26" s="90"/>
      <c r="E26" s="35" t="s">
        <v>6</v>
      </c>
      <c r="F26" s="36">
        <f t="shared" ref="F26:K26" si="10">SUM(F22*F25)</f>
        <v>0</v>
      </c>
      <c r="G26" s="36">
        <f t="shared" si="10"/>
        <v>0</v>
      </c>
      <c r="H26" s="36">
        <f t="shared" si="10"/>
        <v>0</v>
      </c>
      <c r="I26" s="36">
        <f t="shared" si="10"/>
        <v>0</v>
      </c>
      <c r="J26" s="36">
        <f t="shared" si="10"/>
        <v>0</v>
      </c>
      <c r="K26" s="36">
        <f t="shared" si="10"/>
        <v>0</v>
      </c>
      <c r="L26" s="36">
        <f t="shared" ref="L26:R26" si="11">SUM(L22*L25)</f>
        <v>0</v>
      </c>
      <c r="M26" s="36">
        <f t="shared" si="11"/>
        <v>0</v>
      </c>
      <c r="N26" s="36">
        <f t="shared" si="11"/>
        <v>0</v>
      </c>
      <c r="O26" s="36">
        <f t="shared" si="11"/>
        <v>0</v>
      </c>
      <c r="P26" s="36">
        <f t="shared" si="11"/>
        <v>0</v>
      </c>
      <c r="Q26" s="36">
        <f t="shared" si="11"/>
        <v>0</v>
      </c>
      <c r="R26" s="36">
        <f t="shared" si="11"/>
        <v>0</v>
      </c>
      <c r="S26" s="45">
        <f>SUM(F26:R26)</f>
        <v>0</v>
      </c>
      <c r="T26" s="46" t="e">
        <f>SUM(S26/S22)</f>
        <v>#DIV/0!</v>
      </c>
      <c r="U26" s="90"/>
      <c r="V26" s="90"/>
      <c r="W26" s="83"/>
    </row>
    <row r="27" spans="2:23" ht="20.25" thickTop="1" thickBot="1" x14ac:dyDescent="0.35">
      <c r="B27" s="98">
        <v>-5</v>
      </c>
      <c r="C27" s="96"/>
      <c r="D27" s="89"/>
      <c r="E27" s="10" t="s">
        <v>5</v>
      </c>
      <c r="F27" s="37">
        <f>IF(IF(F30=0,0,3),3,0)</f>
        <v>0</v>
      </c>
      <c r="G27" s="37">
        <f>IF(IF(G30=0,0,3),3,0)</f>
        <v>0</v>
      </c>
      <c r="H27" s="37">
        <f>IF(IF(H30=0,0,3),3,0)</f>
        <v>0</v>
      </c>
      <c r="I27" s="37">
        <f>IF(IF(I30=0,0,4),4,0)</f>
        <v>0</v>
      </c>
      <c r="J27" s="37">
        <f>IF(IF(J30=0,0,2),2,0)</f>
        <v>0</v>
      </c>
      <c r="K27" s="37">
        <f>IF(IF(K30=0,0,4),4,0)</f>
        <v>0</v>
      </c>
      <c r="L27" s="37">
        <f>IF(IF(L30=0,0,3),3,0)</f>
        <v>0</v>
      </c>
      <c r="M27" s="37">
        <f>IF(IF(M30=0,0,2),2,0)</f>
        <v>0</v>
      </c>
      <c r="N27" s="37">
        <f>IF(IF(N30=0,0,3),3,0)</f>
        <v>0</v>
      </c>
      <c r="O27" s="37">
        <f>IF(IF(O30=0,0,2),2,0)</f>
        <v>0</v>
      </c>
      <c r="P27" s="37">
        <f>IF(IF(P30=0,0,3),3,0)</f>
        <v>0</v>
      </c>
      <c r="Q27" s="37">
        <f>IF(IF(Q30=0,0,4),4,0)</f>
        <v>0</v>
      </c>
      <c r="R27" s="37">
        <f>IF(IF(R30=0,0,3),3,0)</f>
        <v>0</v>
      </c>
      <c r="S27" s="37">
        <f>SUM(F27:R27)</f>
        <v>0</v>
      </c>
      <c r="T27" s="38"/>
      <c r="U27" s="95"/>
      <c r="V27" s="95"/>
      <c r="W27" s="81"/>
    </row>
    <row r="28" spans="2:23" ht="19.5" thickTop="1" thickBot="1" x14ac:dyDescent="0.3">
      <c r="B28" s="99"/>
      <c r="C28" s="76"/>
      <c r="D28" s="89"/>
      <c r="E28" s="33" t="s">
        <v>97</v>
      </c>
      <c r="F28" s="39"/>
      <c r="G28" s="39"/>
      <c r="H28" s="39"/>
      <c r="I28" s="40"/>
      <c r="J28" s="40"/>
      <c r="K28" s="40"/>
      <c r="L28" s="39">
        <v>0</v>
      </c>
      <c r="M28" s="39">
        <v>0</v>
      </c>
      <c r="N28" s="39">
        <v>0</v>
      </c>
      <c r="O28" s="40">
        <v>0</v>
      </c>
      <c r="P28" s="40">
        <v>0</v>
      </c>
      <c r="Q28" s="40">
        <v>0</v>
      </c>
      <c r="R28" s="40">
        <v>0</v>
      </c>
      <c r="S28" s="40"/>
      <c r="T28" s="41"/>
      <c r="U28" s="89"/>
      <c r="V28" s="89"/>
      <c r="W28" s="82"/>
    </row>
    <row r="29" spans="2:23" ht="19.5" thickTop="1" thickBot="1" x14ac:dyDescent="0.3">
      <c r="B29" s="99"/>
      <c r="C29" s="76"/>
      <c r="D29" s="89"/>
      <c r="E29" s="30" t="s">
        <v>3</v>
      </c>
      <c r="F29" s="42"/>
      <c r="G29" s="42"/>
      <c r="H29" s="42"/>
      <c r="I29" s="42"/>
      <c r="J29" s="42"/>
      <c r="K29" s="42"/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3"/>
      <c r="T29" s="44"/>
      <c r="U29" s="89"/>
      <c r="V29" s="89"/>
      <c r="W29" s="82"/>
    </row>
    <row r="30" spans="2:23" ht="19.5" thickTop="1" thickBot="1" x14ac:dyDescent="0.3">
      <c r="B30" s="99"/>
      <c r="C30" s="76"/>
      <c r="D30" s="89"/>
      <c r="E30" s="31" t="s">
        <v>4</v>
      </c>
      <c r="F30" s="42">
        <f t="shared" ref="F30:R30" si="12">IF(F29&lt;30,F28,F28+F29)</f>
        <v>0</v>
      </c>
      <c r="G30" s="42">
        <f t="shared" si="12"/>
        <v>0</v>
      </c>
      <c r="H30" s="42">
        <f t="shared" si="12"/>
        <v>0</v>
      </c>
      <c r="I30" s="42">
        <f t="shared" si="12"/>
        <v>0</v>
      </c>
      <c r="J30" s="42">
        <f t="shared" si="12"/>
        <v>0</v>
      </c>
      <c r="K30" s="42">
        <f t="shared" si="12"/>
        <v>0</v>
      </c>
      <c r="L30" s="42">
        <f t="shared" si="12"/>
        <v>0</v>
      </c>
      <c r="M30" s="42">
        <f t="shared" si="12"/>
        <v>0</v>
      </c>
      <c r="N30" s="42">
        <f t="shared" si="12"/>
        <v>0</v>
      </c>
      <c r="O30" s="42">
        <f t="shared" si="12"/>
        <v>0</v>
      </c>
      <c r="P30" s="42">
        <f t="shared" si="12"/>
        <v>0</v>
      </c>
      <c r="Q30" s="42">
        <f t="shared" si="12"/>
        <v>0</v>
      </c>
      <c r="R30" s="42">
        <f t="shared" si="12"/>
        <v>0</v>
      </c>
      <c r="S30" s="43"/>
      <c r="T30" s="44"/>
      <c r="U30" s="89"/>
      <c r="V30" s="89"/>
      <c r="W30" s="82"/>
    </row>
    <row r="31" spans="2:23" ht="37.5" thickTop="1" thickBot="1" x14ac:dyDescent="0.3">
      <c r="B31" s="100"/>
      <c r="C31" s="77"/>
      <c r="D31" s="90"/>
      <c r="E31" s="32" t="s">
        <v>6</v>
      </c>
      <c r="F31" s="36">
        <f t="shared" ref="F31:K31" si="13">SUM(F27*F30)</f>
        <v>0</v>
      </c>
      <c r="G31" s="36">
        <f t="shared" si="13"/>
        <v>0</v>
      </c>
      <c r="H31" s="36">
        <f t="shared" si="13"/>
        <v>0</v>
      </c>
      <c r="I31" s="36">
        <f t="shared" si="13"/>
        <v>0</v>
      </c>
      <c r="J31" s="36">
        <f t="shared" si="13"/>
        <v>0</v>
      </c>
      <c r="K31" s="36">
        <f t="shared" si="13"/>
        <v>0</v>
      </c>
      <c r="L31" s="36">
        <f t="shared" ref="L31:R31" si="14">SUM(L27*L30)</f>
        <v>0</v>
      </c>
      <c r="M31" s="36">
        <f t="shared" si="14"/>
        <v>0</v>
      </c>
      <c r="N31" s="36">
        <f t="shared" si="14"/>
        <v>0</v>
      </c>
      <c r="O31" s="36">
        <f t="shared" si="14"/>
        <v>0</v>
      </c>
      <c r="P31" s="36">
        <f t="shared" si="14"/>
        <v>0</v>
      </c>
      <c r="Q31" s="36">
        <f t="shared" si="14"/>
        <v>0</v>
      </c>
      <c r="R31" s="36">
        <f t="shared" si="14"/>
        <v>0</v>
      </c>
      <c r="S31" s="45">
        <f>SUM(F31:R31)</f>
        <v>0</v>
      </c>
      <c r="T31" s="46" t="e">
        <f>SUM(S31/S27)</f>
        <v>#DIV/0!</v>
      </c>
      <c r="U31" s="90"/>
      <c r="V31" s="90"/>
      <c r="W31" s="83"/>
    </row>
    <row r="32" spans="2:23" ht="20.25" thickTop="1" thickBot="1" x14ac:dyDescent="0.35">
      <c r="B32" s="98">
        <v>-6</v>
      </c>
      <c r="C32" s="96"/>
      <c r="D32" s="89"/>
      <c r="E32" s="10" t="s">
        <v>5</v>
      </c>
      <c r="F32" s="37">
        <f>IF(IF(F35=0,0,3),3,0)</f>
        <v>0</v>
      </c>
      <c r="G32" s="37">
        <f>IF(IF(G35=0,0,3),3,0)</f>
        <v>0</v>
      </c>
      <c r="H32" s="37">
        <f>IF(IF(H35=0,0,3),3,0)</f>
        <v>0</v>
      </c>
      <c r="I32" s="37">
        <f>IF(IF(I35=0,0,4),4,0)</f>
        <v>0</v>
      </c>
      <c r="J32" s="37">
        <f>IF(IF(J35=0,0,2),2,0)</f>
        <v>0</v>
      </c>
      <c r="K32" s="37">
        <f>IF(IF(K35=0,0,4),4,0)</f>
        <v>0</v>
      </c>
      <c r="L32" s="37">
        <f>IF(IF(L35=0,0,3),3,0)</f>
        <v>0</v>
      </c>
      <c r="M32" s="37">
        <f>IF(IF(M35=0,0,2),2,0)</f>
        <v>0</v>
      </c>
      <c r="N32" s="37">
        <f>IF(IF(N35=0,0,3),3,0)</f>
        <v>0</v>
      </c>
      <c r="O32" s="37">
        <f>IF(IF(O35=0,0,2),2,0)</f>
        <v>0</v>
      </c>
      <c r="P32" s="37">
        <f>IF(IF(P35=0,0,3),3,0)</f>
        <v>0</v>
      </c>
      <c r="Q32" s="37">
        <f>IF(IF(Q35=0,0,4),4,0)</f>
        <v>0</v>
      </c>
      <c r="R32" s="37">
        <f>IF(IF(R35=0,0,3),3,0)</f>
        <v>0</v>
      </c>
      <c r="S32" s="37">
        <f>SUM(F32:R32)</f>
        <v>0</v>
      </c>
      <c r="T32" s="38"/>
      <c r="U32" s="95"/>
      <c r="V32" s="95"/>
      <c r="W32" s="81"/>
    </row>
    <row r="33" spans="2:23" ht="19.5" thickTop="1" thickBot="1" x14ac:dyDescent="0.3">
      <c r="B33" s="99"/>
      <c r="C33" s="76"/>
      <c r="D33" s="89"/>
      <c r="E33" s="33" t="s">
        <v>97</v>
      </c>
      <c r="F33" s="39"/>
      <c r="G33" s="39"/>
      <c r="H33" s="39"/>
      <c r="I33" s="40"/>
      <c r="J33" s="40"/>
      <c r="K33" s="40"/>
      <c r="L33" s="39">
        <v>0</v>
      </c>
      <c r="M33" s="39">
        <v>0</v>
      </c>
      <c r="N33" s="39">
        <v>0</v>
      </c>
      <c r="O33" s="40">
        <v>0</v>
      </c>
      <c r="P33" s="40">
        <v>0</v>
      </c>
      <c r="Q33" s="40">
        <v>0</v>
      </c>
      <c r="R33" s="40">
        <v>0</v>
      </c>
      <c r="S33" s="40"/>
      <c r="T33" s="41"/>
      <c r="U33" s="89"/>
      <c r="V33" s="89"/>
      <c r="W33" s="82"/>
    </row>
    <row r="34" spans="2:23" ht="19.5" thickTop="1" thickBot="1" x14ac:dyDescent="0.3">
      <c r="B34" s="99"/>
      <c r="C34" s="76"/>
      <c r="D34" s="89"/>
      <c r="E34" s="30" t="s">
        <v>3</v>
      </c>
      <c r="F34" s="42"/>
      <c r="G34" s="42"/>
      <c r="H34" s="42"/>
      <c r="I34" s="42"/>
      <c r="J34" s="42"/>
      <c r="K34" s="42"/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3"/>
      <c r="T34" s="44"/>
      <c r="U34" s="89"/>
      <c r="V34" s="89"/>
      <c r="W34" s="82"/>
    </row>
    <row r="35" spans="2:23" ht="19.5" thickTop="1" thickBot="1" x14ac:dyDescent="0.3">
      <c r="B35" s="99"/>
      <c r="C35" s="76"/>
      <c r="D35" s="89"/>
      <c r="E35" s="31" t="s">
        <v>4</v>
      </c>
      <c r="F35" s="42">
        <f t="shared" ref="F35:R35" si="15">IF(F34&lt;30,F33,F33+F34)</f>
        <v>0</v>
      </c>
      <c r="G35" s="42">
        <f t="shared" si="15"/>
        <v>0</v>
      </c>
      <c r="H35" s="42">
        <f t="shared" si="15"/>
        <v>0</v>
      </c>
      <c r="I35" s="42">
        <f t="shared" si="15"/>
        <v>0</v>
      </c>
      <c r="J35" s="42">
        <f t="shared" si="15"/>
        <v>0</v>
      </c>
      <c r="K35" s="42">
        <f t="shared" si="15"/>
        <v>0</v>
      </c>
      <c r="L35" s="42">
        <f t="shared" si="15"/>
        <v>0</v>
      </c>
      <c r="M35" s="42">
        <f t="shared" si="15"/>
        <v>0</v>
      </c>
      <c r="N35" s="42">
        <f t="shared" si="15"/>
        <v>0</v>
      </c>
      <c r="O35" s="42">
        <f t="shared" si="15"/>
        <v>0</v>
      </c>
      <c r="P35" s="42">
        <f t="shared" si="15"/>
        <v>0</v>
      </c>
      <c r="Q35" s="42">
        <f t="shared" si="15"/>
        <v>0</v>
      </c>
      <c r="R35" s="42">
        <f t="shared" si="15"/>
        <v>0</v>
      </c>
      <c r="S35" s="43"/>
      <c r="T35" s="44"/>
      <c r="U35" s="89"/>
      <c r="V35" s="89"/>
      <c r="W35" s="82"/>
    </row>
    <row r="36" spans="2:23" ht="37.5" thickTop="1" thickBot="1" x14ac:dyDescent="0.3">
      <c r="B36" s="100"/>
      <c r="C36" s="77"/>
      <c r="D36" s="90"/>
      <c r="E36" s="32" t="s">
        <v>6</v>
      </c>
      <c r="F36" s="36">
        <f t="shared" ref="F36:K36" si="16">SUM(F32*F35)</f>
        <v>0</v>
      </c>
      <c r="G36" s="36">
        <f t="shared" si="16"/>
        <v>0</v>
      </c>
      <c r="H36" s="36">
        <f t="shared" si="16"/>
        <v>0</v>
      </c>
      <c r="I36" s="36">
        <f t="shared" si="16"/>
        <v>0</v>
      </c>
      <c r="J36" s="36">
        <f t="shared" si="16"/>
        <v>0</v>
      </c>
      <c r="K36" s="36">
        <f t="shared" si="16"/>
        <v>0</v>
      </c>
      <c r="L36" s="36">
        <f t="shared" ref="L36:R36" si="17">SUM(L32*L35)</f>
        <v>0</v>
      </c>
      <c r="M36" s="36">
        <f t="shared" si="17"/>
        <v>0</v>
      </c>
      <c r="N36" s="36">
        <f t="shared" si="17"/>
        <v>0</v>
      </c>
      <c r="O36" s="36">
        <f t="shared" si="17"/>
        <v>0</v>
      </c>
      <c r="P36" s="36">
        <f t="shared" si="17"/>
        <v>0</v>
      </c>
      <c r="Q36" s="36">
        <f t="shared" si="17"/>
        <v>0</v>
      </c>
      <c r="R36" s="36">
        <f t="shared" si="17"/>
        <v>0</v>
      </c>
      <c r="S36" s="45">
        <f>SUM(F36:R36)</f>
        <v>0</v>
      </c>
      <c r="T36" s="46" t="e">
        <f>SUM(S36/S32)</f>
        <v>#DIV/0!</v>
      </c>
      <c r="U36" s="90"/>
      <c r="V36" s="90"/>
      <c r="W36" s="83"/>
    </row>
    <row r="37" spans="2:23" ht="20.25" thickTop="1" thickBot="1" x14ac:dyDescent="0.35">
      <c r="B37" s="98">
        <v>-7</v>
      </c>
      <c r="C37" s="96"/>
      <c r="D37" s="89"/>
      <c r="E37" s="10" t="s">
        <v>5</v>
      </c>
      <c r="F37" s="37">
        <f>IF(IF(F40=0,0,3),3,0)</f>
        <v>0</v>
      </c>
      <c r="G37" s="37">
        <f>IF(IF(G40=0,0,3),3,0)</f>
        <v>0</v>
      </c>
      <c r="H37" s="37">
        <f>IF(IF(H40=0,0,3),3,0)</f>
        <v>0</v>
      </c>
      <c r="I37" s="37">
        <f>IF(IF(I40=0,0,4),4,0)</f>
        <v>0</v>
      </c>
      <c r="J37" s="37">
        <f>IF(IF(J40=0,0,2),2,0)</f>
        <v>0</v>
      </c>
      <c r="K37" s="37">
        <f>IF(IF(K40=0,0,4),4,0)</f>
        <v>0</v>
      </c>
      <c r="L37" s="37">
        <f>IF(IF(L40=0,0,3),3,0)</f>
        <v>0</v>
      </c>
      <c r="M37" s="37">
        <f>IF(IF(M40=0,0,2),2,0)</f>
        <v>0</v>
      </c>
      <c r="N37" s="37">
        <f>IF(IF(N40=0,0,3),3,0)</f>
        <v>0</v>
      </c>
      <c r="O37" s="37">
        <f>IF(IF(O40=0,0,2),2,0)</f>
        <v>0</v>
      </c>
      <c r="P37" s="37">
        <f>IF(IF(P40=0,0,3),3,0)</f>
        <v>0</v>
      </c>
      <c r="Q37" s="37">
        <f>IF(IF(Q40=0,0,4),4,0)</f>
        <v>0</v>
      </c>
      <c r="R37" s="37">
        <f>IF(IF(R40=0,0,3),3,0)</f>
        <v>0</v>
      </c>
      <c r="S37" s="37">
        <f>SUM(F37:R37)</f>
        <v>0</v>
      </c>
      <c r="T37" s="38"/>
      <c r="U37" s="95"/>
      <c r="V37" s="95"/>
      <c r="W37" s="81"/>
    </row>
    <row r="38" spans="2:23" ht="19.5" thickTop="1" thickBot="1" x14ac:dyDescent="0.3">
      <c r="B38" s="99"/>
      <c r="C38" s="76"/>
      <c r="D38" s="89"/>
      <c r="E38" s="33" t="s">
        <v>97</v>
      </c>
      <c r="F38" s="39"/>
      <c r="G38" s="39"/>
      <c r="H38" s="39"/>
      <c r="I38" s="40"/>
      <c r="J38" s="40"/>
      <c r="K38" s="40"/>
      <c r="L38" s="39">
        <v>0</v>
      </c>
      <c r="M38" s="39">
        <v>0</v>
      </c>
      <c r="N38" s="39">
        <v>0</v>
      </c>
      <c r="O38" s="40">
        <v>0</v>
      </c>
      <c r="P38" s="40">
        <v>0</v>
      </c>
      <c r="Q38" s="40">
        <v>0</v>
      </c>
      <c r="R38" s="40">
        <v>0</v>
      </c>
      <c r="S38" s="40"/>
      <c r="T38" s="41"/>
      <c r="U38" s="89"/>
      <c r="V38" s="89"/>
      <c r="W38" s="82"/>
    </row>
    <row r="39" spans="2:23" ht="19.5" thickTop="1" thickBot="1" x14ac:dyDescent="0.3">
      <c r="B39" s="99"/>
      <c r="C39" s="76"/>
      <c r="D39" s="89"/>
      <c r="E39" s="30" t="s">
        <v>3</v>
      </c>
      <c r="F39" s="42"/>
      <c r="G39" s="42"/>
      <c r="H39" s="42"/>
      <c r="I39" s="42"/>
      <c r="J39" s="42"/>
      <c r="K39" s="42"/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3"/>
      <c r="T39" s="44"/>
      <c r="U39" s="89"/>
      <c r="V39" s="89"/>
      <c r="W39" s="82"/>
    </row>
    <row r="40" spans="2:23" ht="19.5" thickTop="1" thickBot="1" x14ac:dyDescent="0.3">
      <c r="B40" s="99"/>
      <c r="C40" s="76"/>
      <c r="D40" s="89"/>
      <c r="E40" s="31" t="s">
        <v>4</v>
      </c>
      <c r="F40" s="42">
        <f t="shared" ref="F40:R40" si="18">IF(F39&lt;30,F38,F38+F39)</f>
        <v>0</v>
      </c>
      <c r="G40" s="42">
        <f t="shared" si="18"/>
        <v>0</v>
      </c>
      <c r="H40" s="42">
        <f t="shared" si="18"/>
        <v>0</v>
      </c>
      <c r="I40" s="42">
        <f t="shared" si="18"/>
        <v>0</v>
      </c>
      <c r="J40" s="42">
        <f t="shared" si="18"/>
        <v>0</v>
      </c>
      <c r="K40" s="42">
        <f t="shared" si="18"/>
        <v>0</v>
      </c>
      <c r="L40" s="42">
        <f t="shared" si="18"/>
        <v>0</v>
      </c>
      <c r="M40" s="42">
        <f t="shared" si="18"/>
        <v>0</v>
      </c>
      <c r="N40" s="42">
        <f t="shared" si="18"/>
        <v>0</v>
      </c>
      <c r="O40" s="42">
        <f t="shared" si="18"/>
        <v>0</v>
      </c>
      <c r="P40" s="42">
        <f t="shared" si="18"/>
        <v>0</v>
      </c>
      <c r="Q40" s="42">
        <f t="shared" si="18"/>
        <v>0</v>
      </c>
      <c r="R40" s="42">
        <f t="shared" si="18"/>
        <v>0</v>
      </c>
      <c r="S40" s="43"/>
      <c r="T40" s="44"/>
      <c r="U40" s="89"/>
      <c r="V40" s="89"/>
      <c r="W40" s="82"/>
    </row>
    <row r="41" spans="2:23" ht="37.5" thickTop="1" thickBot="1" x14ac:dyDescent="0.3">
      <c r="B41" s="100"/>
      <c r="C41" s="77"/>
      <c r="D41" s="90"/>
      <c r="E41" s="32" t="s">
        <v>6</v>
      </c>
      <c r="F41" s="47">
        <f t="shared" ref="F41:K41" si="19">SUM(F37*F40)</f>
        <v>0</v>
      </c>
      <c r="G41" s="47">
        <f t="shared" si="19"/>
        <v>0</v>
      </c>
      <c r="H41" s="47">
        <f t="shared" si="19"/>
        <v>0</v>
      </c>
      <c r="I41" s="47">
        <f t="shared" si="19"/>
        <v>0</v>
      </c>
      <c r="J41" s="47">
        <f t="shared" si="19"/>
        <v>0</v>
      </c>
      <c r="K41" s="47">
        <f t="shared" si="19"/>
        <v>0</v>
      </c>
      <c r="L41" s="47">
        <f t="shared" ref="L41:R41" si="20">SUM(L37*L40)</f>
        <v>0</v>
      </c>
      <c r="M41" s="47">
        <f t="shared" si="20"/>
        <v>0</v>
      </c>
      <c r="N41" s="47">
        <f t="shared" si="20"/>
        <v>0</v>
      </c>
      <c r="O41" s="47">
        <f t="shared" si="20"/>
        <v>0</v>
      </c>
      <c r="P41" s="47">
        <f t="shared" si="20"/>
        <v>0</v>
      </c>
      <c r="Q41" s="47">
        <f t="shared" si="20"/>
        <v>0</v>
      </c>
      <c r="R41" s="47">
        <f t="shared" si="20"/>
        <v>0</v>
      </c>
      <c r="S41" s="48">
        <f>SUM(F41:R41)</f>
        <v>0</v>
      </c>
      <c r="T41" s="47" t="e">
        <f>SUM(S41/S37)</f>
        <v>#DIV/0!</v>
      </c>
      <c r="U41" s="90"/>
      <c r="V41" s="90"/>
      <c r="W41" s="83"/>
    </row>
    <row r="42" spans="2:23" ht="13.5" thickTop="1" x14ac:dyDescent="0.2"/>
  </sheetData>
  <mergeCells count="51">
    <mergeCell ref="B37:B41"/>
    <mergeCell ref="C37:C41"/>
    <mergeCell ref="D37:D41"/>
    <mergeCell ref="U37:U41"/>
    <mergeCell ref="V37:V41"/>
    <mergeCell ref="W37:W41"/>
    <mergeCell ref="B32:B36"/>
    <mergeCell ref="C32:C36"/>
    <mergeCell ref="D32:D36"/>
    <mergeCell ref="U32:U36"/>
    <mergeCell ref="V32:V36"/>
    <mergeCell ref="W32:W36"/>
    <mergeCell ref="B27:B31"/>
    <mergeCell ref="C27:C31"/>
    <mergeCell ref="D27:D31"/>
    <mergeCell ref="U27:U31"/>
    <mergeCell ref="V27:V31"/>
    <mergeCell ref="W27:W31"/>
    <mergeCell ref="B17:B21"/>
    <mergeCell ref="C17:C21"/>
    <mergeCell ref="D17:D21"/>
    <mergeCell ref="U17:U21"/>
    <mergeCell ref="V17:V21"/>
    <mergeCell ref="W17:W21"/>
    <mergeCell ref="B12:B16"/>
    <mergeCell ref="C12:C16"/>
    <mergeCell ref="D12:D16"/>
    <mergeCell ref="U12:U16"/>
    <mergeCell ref="V12:V16"/>
    <mergeCell ref="W12:W16"/>
    <mergeCell ref="B5:B6"/>
    <mergeCell ref="C5:C6"/>
    <mergeCell ref="D5:D6"/>
    <mergeCell ref="E5:E6"/>
    <mergeCell ref="F5:K5"/>
    <mergeCell ref="L5:R5"/>
    <mergeCell ref="S5:S6"/>
    <mergeCell ref="T5:T6"/>
    <mergeCell ref="V5:V6"/>
    <mergeCell ref="D22:D26"/>
    <mergeCell ref="U22:U26"/>
    <mergeCell ref="V22:V26"/>
    <mergeCell ref="W22:W26"/>
    <mergeCell ref="B22:B26"/>
    <mergeCell ref="C22:C26"/>
    <mergeCell ref="B7:B11"/>
    <mergeCell ref="C7:C11"/>
    <mergeCell ref="D7:D11"/>
    <mergeCell ref="U7:U11"/>
    <mergeCell ref="V7:V11"/>
    <mergeCell ref="W7:W1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E703-BA24-4C8C-B3B1-43EC8E4AD8FD}">
  <dimension ref="B4:W42"/>
  <sheetViews>
    <sheetView rightToLeft="1" workbookViewId="0">
      <selection activeCell="F22" sqref="F22"/>
    </sheetView>
  </sheetViews>
  <sheetFormatPr defaultRowHeight="12.75" x14ac:dyDescent="0.2"/>
  <cols>
    <col min="3" max="3" width="18.5703125" customWidth="1"/>
    <col min="5" max="5" width="21.28515625" customWidth="1"/>
    <col min="23" max="23" width="22.28515625" customWidth="1"/>
  </cols>
  <sheetData>
    <row r="4" spans="2:23" ht="13.5" thickBot="1" x14ac:dyDescent="0.25"/>
    <row r="5" spans="2:23" ht="16.5" thickTop="1" thickBot="1" x14ac:dyDescent="0.25">
      <c r="B5" s="107" t="s">
        <v>0</v>
      </c>
      <c r="C5" s="101" t="s">
        <v>7</v>
      </c>
      <c r="D5" s="103" t="s">
        <v>1</v>
      </c>
      <c r="E5" s="101" t="s">
        <v>2</v>
      </c>
      <c r="F5" s="112" t="s">
        <v>24</v>
      </c>
      <c r="G5" s="113"/>
      <c r="H5" s="113"/>
      <c r="I5" s="113"/>
      <c r="J5" s="113"/>
      <c r="K5" s="113"/>
      <c r="L5" s="114"/>
      <c r="M5" s="109" t="s">
        <v>23</v>
      </c>
      <c r="N5" s="110"/>
      <c r="O5" s="110"/>
      <c r="P5" s="110"/>
      <c r="Q5" s="110"/>
      <c r="R5" s="110"/>
      <c r="S5" s="103" t="s">
        <v>4</v>
      </c>
      <c r="T5" s="103" t="s">
        <v>8</v>
      </c>
      <c r="U5" s="27"/>
      <c r="V5" s="103" t="s">
        <v>18</v>
      </c>
      <c r="W5" s="28"/>
    </row>
    <row r="6" spans="2:23" ht="90.75" thickTop="1" thickBot="1" x14ac:dyDescent="0.25">
      <c r="B6" s="108"/>
      <c r="C6" s="106"/>
      <c r="D6" s="104"/>
      <c r="E6" s="102"/>
      <c r="F6" s="25" t="s">
        <v>41</v>
      </c>
      <c r="G6" s="25" t="s">
        <v>42</v>
      </c>
      <c r="H6" s="25" t="s">
        <v>43</v>
      </c>
      <c r="I6" s="25" t="s">
        <v>44</v>
      </c>
      <c r="J6" s="25" t="s">
        <v>45</v>
      </c>
      <c r="K6" s="25" t="s">
        <v>46</v>
      </c>
      <c r="L6" s="25" t="s">
        <v>47</v>
      </c>
      <c r="M6" s="25" t="s">
        <v>36</v>
      </c>
      <c r="N6" s="25" t="s">
        <v>37</v>
      </c>
      <c r="O6" s="25" t="s">
        <v>38</v>
      </c>
      <c r="P6" s="25" t="s">
        <v>39</v>
      </c>
      <c r="Q6" s="25" t="s">
        <v>22</v>
      </c>
      <c r="R6" s="25" t="s">
        <v>40</v>
      </c>
      <c r="S6" s="105"/>
      <c r="T6" s="105"/>
      <c r="U6" s="25" t="s">
        <v>17</v>
      </c>
      <c r="V6" s="105"/>
      <c r="W6" s="26" t="s">
        <v>19</v>
      </c>
    </row>
    <row r="7" spans="2:23" ht="20.25" thickTop="1" thickBot="1" x14ac:dyDescent="0.35">
      <c r="B7" s="98">
        <v>-1</v>
      </c>
      <c r="C7" s="96" t="s">
        <v>58</v>
      </c>
      <c r="D7" s="89" t="s">
        <v>91</v>
      </c>
      <c r="E7" s="9" t="s">
        <v>5</v>
      </c>
      <c r="F7" s="37">
        <f>IF(IF(F10=0,0,2),2,0)</f>
        <v>0</v>
      </c>
      <c r="G7" s="37">
        <f>IF(IF(G10=0,0,3),3,0)</f>
        <v>0</v>
      </c>
      <c r="H7" s="37">
        <f>IF(IF(H10=0,0,4),4,0)</f>
        <v>4</v>
      </c>
      <c r="I7" s="37">
        <f>IF(IF(I10=0,0,4),4,0)</f>
        <v>4</v>
      </c>
      <c r="J7" s="37">
        <f>IF(IF(J10=0,0,3),3,0)</f>
        <v>3</v>
      </c>
      <c r="K7" s="37">
        <f>IF(IF(K10=0,0,3),3,0)</f>
        <v>3</v>
      </c>
      <c r="L7" s="37">
        <f>IF(IF(L10=0,0,2),2,0)</f>
        <v>2</v>
      </c>
      <c r="M7" s="37">
        <f>IF(IF(M10=0,0,3),3,0)</f>
        <v>3</v>
      </c>
      <c r="N7" s="37">
        <f>IF(IF(N10=0,0,3),3,0)</f>
        <v>0</v>
      </c>
      <c r="O7" s="37">
        <f>IF(IF(O10=0,0,3),3,0)</f>
        <v>0</v>
      </c>
      <c r="P7" s="37">
        <f>IF(IF(P10=0,0,4),4,0)</f>
        <v>0</v>
      </c>
      <c r="Q7" s="37">
        <f>IF(IF(Q10=0,0,2),2,0)</f>
        <v>0</v>
      </c>
      <c r="R7" s="37">
        <f>IF(IF(R10=0,0,4),4,0)</f>
        <v>0</v>
      </c>
      <c r="S7" s="37">
        <f>SUM(F7:R7)</f>
        <v>19</v>
      </c>
      <c r="T7" s="38"/>
      <c r="U7" s="95"/>
      <c r="V7" s="95"/>
      <c r="W7" s="81"/>
    </row>
    <row r="8" spans="2:23" ht="19.5" thickTop="1" thickBot="1" x14ac:dyDescent="0.3">
      <c r="B8" s="99"/>
      <c r="C8" s="76"/>
      <c r="D8" s="89"/>
      <c r="E8" s="29" t="s">
        <v>97</v>
      </c>
      <c r="F8" s="39"/>
      <c r="G8" s="39"/>
      <c r="H8" s="39">
        <v>31</v>
      </c>
      <c r="I8" s="40">
        <v>34</v>
      </c>
      <c r="J8" s="40">
        <v>32</v>
      </c>
      <c r="K8" s="40">
        <v>36</v>
      </c>
      <c r="L8" s="40">
        <v>32</v>
      </c>
      <c r="M8" s="71">
        <v>39</v>
      </c>
      <c r="N8" s="39">
        <v>0</v>
      </c>
      <c r="O8" s="39">
        <v>0</v>
      </c>
      <c r="P8" s="40">
        <v>0</v>
      </c>
      <c r="Q8" s="40">
        <v>0</v>
      </c>
      <c r="R8" s="40">
        <v>0</v>
      </c>
      <c r="S8" s="40"/>
      <c r="T8" s="41"/>
      <c r="U8" s="89"/>
      <c r="V8" s="89"/>
      <c r="W8" s="82"/>
    </row>
    <row r="9" spans="2:23" ht="19.5" thickTop="1" thickBot="1" x14ac:dyDescent="0.3">
      <c r="B9" s="99"/>
      <c r="C9" s="76"/>
      <c r="D9" s="89"/>
      <c r="E9" s="30" t="s">
        <v>3</v>
      </c>
      <c r="F9" s="42"/>
      <c r="G9" s="42"/>
      <c r="H9" s="42">
        <v>48</v>
      </c>
      <c r="I9" s="42">
        <v>16</v>
      </c>
      <c r="J9" s="42"/>
      <c r="K9" s="42"/>
      <c r="L9" s="42">
        <v>0</v>
      </c>
      <c r="M9" s="72">
        <v>30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  <c r="S9" s="43"/>
      <c r="T9" s="44"/>
      <c r="U9" s="89"/>
      <c r="V9" s="89"/>
      <c r="W9" s="82"/>
    </row>
    <row r="10" spans="2:23" ht="19.5" thickTop="1" thickBot="1" x14ac:dyDescent="0.3">
      <c r="B10" s="99"/>
      <c r="C10" s="76"/>
      <c r="D10" s="89"/>
      <c r="E10" s="31" t="s">
        <v>4</v>
      </c>
      <c r="F10" s="42">
        <f t="shared" ref="F10:R10" si="0">IF(F9&lt;30,F8,F8+F9)</f>
        <v>0</v>
      </c>
      <c r="G10" s="42">
        <f t="shared" si="0"/>
        <v>0</v>
      </c>
      <c r="H10" s="42">
        <f t="shared" si="0"/>
        <v>79</v>
      </c>
      <c r="I10" s="42">
        <f t="shared" si="0"/>
        <v>34</v>
      </c>
      <c r="J10" s="42">
        <f t="shared" si="0"/>
        <v>32</v>
      </c>
      <c r="K10" s="42">
        <f t="shared" si="0"/>
        <v>36</v>
      </c>
      <c r="L10" s="42">
        <f t="shared" si="0"/>
        <v>32</v>
      </c>
      <c r="M10" s="72">
        <f t="shared" si="0"/>
        <v>69</v>
      </c>
      <c r="N10" s="42">
        <f t="shared" si="0"/>
        <v>0</v>
      </c>
      <c r="O10" s="42">
        <f t="shared" si="0"/>
        <v>0</v>
      </c>
      <c r="P10" s="42">
        <f t="shared" si="0"/>
        <v>0</v>
      </c>
      <c r="Q10" s="42">
        <f t="shared" si="0"/>
        <v>0</v>
      </c>
      <c r="R10" s="42">
        <f t="shared" si="0"/>
        <v>0</v>
      </c>
      <c r="S10" s="43"/>
      <c r="T10" s="44"/>
      <c r="U10" s="89"/>
      <c r="V10" s="89"/>
      <c r="W10" s="82"/>
    </row>
    <row r="11" spans="2:23" ht="37.5" thickTop="1" thickBot="1" x14ac:dyDescent="0.3">
      <c r="B11" s="100"/>
      <c r="C11" s="77"/>
      <c r="D11" s="90"/>
      <c r="E11" s="32" t="s">
        <v>6</v>
      </c>
      <c r="F11" s="36">
        <f t="shared" ref="F11:L11" si="1">SUM(F7*F10)</f>
        <v>0</v>
      </c>
      <c r="G11" s="36">
        <f t="shared" si="1"/>
        <v>0</v>
      </c>
      <c r="H11" s="36">
        <f t="shared" si="1"/>
        <v>316</v>
      </c>
      <c r="I11" s="36">
        <f t="shared" si="1"/>
        <v>136</v>
      </c>
      <c r="J11" s="36">
        <f t="shared" si="1"/>
        <v>96</v>
      </c>
      <c r="K11" s="36">
        <f t="shared" si="1"/>
        <v>108</v>
      </c>
      <c r="L11" s="36">
        <f t="shared" si="1"/>
        <v>64</v>
      </c>
      <c r="M11" s="73">
        <f t="shared" ref="M11:R11" si="2">SUM(M7*M10)</f>
        <v>207</v>
      </c>
      <c r="N11" s="36">
        <f t="shared" si="2"/>
        <v>0</v>
      </c>
      <c r="O11" s="36">
        <f t="shared" si="2"/>
        <v>0</v>
      </c>
      <c r="P11" s="36">
        <f t="shared" si="2"/>
        <v>0</v>
      </c>
      <c r="Q11" s="36">
        <f t="shared" si="2"/>
        <v>0</v>
      </c>
      <c r="R11" s="36">
        <f t="shared" si="2"/>
        <v>0</v>
      </c>
      <c r="S11" s="48">
        <f>SUM(F11:R11)</f>
        <v>927</v>
      </c>
      <c r="T11" s="47">
        <f>SUM(S11/S7)</f>
        <v>48.789473684210527</v>
      </c>
      <c r="U11" s="90"/>
      <c r="V11" s="90"/>
      <c r="W11" s="83"/>
    </row>
    <row r="12" spans="2:23" ht="20.25" thickTop="1" thickBot="1" x14ac:dyDescent="0.35">
      <c r="B12" s="98">
        <v>-2</v>
      </c>
      <c r="C12" s="84" t="s">
        <v>59</v>
      </c>
      <c r="D12" s="89" t="s">
        <v>92</v>
      </c>
      <c r="E12" s="9" t="s">
        <v>5</v>
      </c>
      <c r="F12" s="37">
        <f>IF(IF(F15=0,0,2),2,0)</f>
        <v>0</v>
      </c>
      <c r="G12" s="37">
        <f>IF(IF(G15=0,0,3),3,0)</f>
        <v>0</v>
      </c>
      <c r="H12" s="37">
        <f>IF(IF(H15=0,0,4),4,0)</f>
        <v>4</v>
      </c>
      <c r="I12" s="37">
        <f>IF(IF(I15=0,0,4),4,0)</f>
        <v>4</v>
      </c>
      <c r="J12" s="37">
        <f>IF(IF(J15=0,0,3),3,0)</f>
        <v>3</v>
      </c>
      <c r="K12" s="37">
        <f>IF(IF(K15=0,0,3),3,0)</f>
        <v>3</v>
      </c>
      <c r="L12" s="37">
        <f>IF(IF(L15=0,0,2),2,0)</f>
        <v>2</v>
      </c>
      <c r="M12" s="37">
        <f>IF(IF(M15=0,0,3),3,0)</f>
        <v>0</v>
      </c>
      <c r="N12" s="37">
        <f>IF(IF(N15=0,0,3),3,0)</f>
        <v>0</v>
      </c>
      <c r="O12" s="37">
        <f>IF(IF(O15=0,0,3),3,0)</f>
        <v>0</v>
      </c>
      <c r="P12" s="37">
        <f>IF(IF(P15=0,0,4),4,0)</f>
        <v>0</v>
      </c>
      <c r="Q12" s="37">
        <f>IF(IF(Q15=0,0,2),2,0)</f>
        <v>0</v>
      </c>
      <c r="R12" s="37">
        <f>IF(IF(R15=0,0,4),4,0)</f>
        <v>0</v>
      </c>
      <c r="S12" s="37">
        <f>SUM(F12:R12)</f>
        <v>16</v>
      </c>
      <c r="T12" s="38"/>
      <c r="U12" s="95"/>
      <c r="V12" s="95"/>
      <c r="W12" s="115"/>
    </row>
    <row r="13" spans="2:23" ht="19.5" thickTop="1" thickBot="1" x14ac:dyDescent="0.3">
      <c r="B13" s="99"/>
      <c r="C13" s="76"/>
      <c r="D13" s="89"/>
      <c r="E13" s="29" t="s">
        <v>97</v>
      </c>
      <c r="F13" s="39"/>
      <c r="G13" s="39"/>
      <c r="H13" s="39">
        <v>30</v>
      </c>
      <c r="I13" s="40">
        <v>31</v>
      </c>
      <c r="J13" s="40">
        <v>29</v>
      </c>
      <c r="K13" s="40">
        <v>34</v>
      </c>
      <c r="L13" s="40">
        <v>30</v>
      </c>
      <c r="M13" s="39">
        <v>0</v>
      </c>
      <c r="N13" s="39">
        <v>0</v>
      </c>
      <c r="O13" s="39">
        <v>0</v>
      </c>
      <c r="P13" s="40">
        <v>0</v>
      </c>
      <c r="Q13" s="40">
        <v>0</v>
      </c>
      <c r="R13" s="40">
        <v>0</v>
      </c>
      <c r="S13" s="40"/>
      <c r="T13" s="41"/>
      <c r="U13" s="89"/>
      <c r="V13" s="89"/>
      <c r="W13" s="82"/>
    </row>
    <row r="14" spans="2:23" ht="19.5" thickTop="1" thickBot="1" x14ac:dyDescent="0.3">
      <c r="B14" s="99"/>
      <c r="C14" s="76"/>
      <c r="D14" s="89"/>
      <c r="E14" s="30" t="s">
        <v>3</v>
      </c>
      <c r="F14" s="42"/>
      <c r="G14" s="42"/>
      <c r="H14" s="42">
        <v>42</v>
      </c>
      <c r="I14" s="42">
        <v>30</v>
      </c>
      <c r="J14" s="42"/>
      <c r="K14" s="42"/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3"/>
      <c r="T14" s="44"/>
      <c r="U14" s="89"/>
      <c r="V14" s="89"/>
      <c r="W14" s="82"/>
    </row>
    <row r="15" spans="2:23" ht="19.5" thickTop="1" thickBot="1" x14ac:dyDescent="0.3">
      <c r="B15" s="99"/>
      <c r="C15" s="76"/>
      <c r="D15" s="89"/>
      <c r="E15" s="31" t="s">
        <v>4</v>
      </c>
      <c r="F15" s="42">
        <f t="shared" ref="F15:R15" si="3">IF(F14&lt;30,F13,F13+F14)</f>
        <v>0</v>
      </c>
      <c r="G15" s="42">
        <f t="shared" si="3"/>
        <v>0</v>
      </c>
      <c r="H15" s="42">
        <f t="shared" si="3"/>
        <v>72</v>
      </c>
      <c r="I15" s="42">
        <f t="shared" si="3"/>
        <v>61</v>
      </c>
      <c r="J15" s="42">
        <f t="shared" si="3"/>
        <v>29</v>
      </c>
      <c r="K15" s="42">
        <f t="shared" si="3"/>
        <v>34</v>
      </c>
      <c r="L15" s="42">
        <f t="shared" si="3"/>
        <v>30</v>
      </c>
      <c r="M15" s="42">
        <f t="shared" si="3"/>
        <v>0</v>
      </c>
      <c r="N15" s="42">
        <f t="shared" si="3"/>
        <v>0</v>
      </c>
      <c r="O15" s="42">
        <f t="shared" si="3"/>
        <v>0</v>
      </c>
      <c r="P15" s="42">
        <f t="shared" si="3"/>
        <v>0</v>
      </c>
      <c r="Q15" s="42">
        <f t="shared" si="3"/>
        <v>0</v>
      </c>
      <c r="R15" s="42">
        <f t="shared" si="3"/>
        <v>0</v>
      </c>
      <c r="S15" s="43"/>
      <c r="T15" s="44"/>
      <c r="U15" s="89"/>
      <c r="V15" s="89"/>
      <c r="W15" s="82"/>
    </row>
    <row r="16" spans="2:23" ht="37.5" thickTop="1" thickBot="1" x14ac:dyDescent="0.3">
      <c r="B16" s="100"/>
      <c r="C16" s="116"/>
      <c r="D16" s="90"/>
      <c r="E16" s="32" t="s">
        <v>6</v>
      </c>
      <c r="F16" s="36">
        <f t="shared" ref="F16:L16" si="4">SUM(F12*F15)</f>
        <v>0</v>
      </c>
      <c r="G16" s="36">
        <f t="shared" si="4"/>
        <v>0</v>
      </c>
      <c r="H16" s="36">
        <f t="shared" si="4"/>
        <v>288</v>
      </c>
      <c r="I16" s="36">
        <f t="shared" si="4"/>
        <v>244</v>
      </c>
      <c r="J16" s="36">
        <f t="shared" si="4"/>
        <v>87</v>
      </c>
      <c r="K16" s="36">
        <f t="shared" si="4"/>
        <v>102</v>
      </c>
      <c r="L16" s="36">
        <f t="shared" si="4"/>
        <v>60</v>
      </c>
      <c r="M16" s="36">
        <f t="shared" ref="M16:R16" si="5">SUM(M12*M15)</f>
        <v>0</v>
      </c>
      <c r="N16" s="36">
        <f t="shared" si="5"/>
        <v>0</v>
      </c>
      <c r="O16" s="36">
        <f t="shared" si="5"/>
        <v>0</v>
      </c>
      <c r="P16" s="36">
        <f t="shared" si="5"/>
        <v>0</v>
      </c>
      <c r="Q16" s="36">
        <f t="shared" si="5"/>
        <v>0</v>
      </c>
      <c r="R16" s="36">
        <f t="shared" si="5"/>
        <v>0</v>
      </c>
      <c r="S16" s="48">
        <f>SUM(F16:R16)</f>
        <v>781</v>
      </c>
      <c r="T16" s="47">
        <f>SUM(S16/S12)</f>
        <v>48.8125</v>
      </c>
      <c r="U16" s="90"/>
      <c r="V16" s="90"/>
      <c r="W16" s="83"/>
    </row>
    <row r="17" spans="2:23" ht="20.25" thickTop="1" thickBot="1" x14ac:dyDescent="0.35">
      <c r="B17" s="98">
        <v>-3</v>
      </c>
      <c r="C17" s="117" t="s">
        <v>62</v>
      </c>
      <c r="D17" s="88" t="s">
        <v>93</v>
      </c>
      <c r="E17" s="10" t="s">
        <v>5</v>
      </c>
      <c r="F17" s="37">
        <f>IF(IF(F20=0,0,2),2,0)</f>
        <v>0</v>
      </c>
      <c r="G17" s="37">
        <f>IF(IF(G20=0,0,3),3,0)</f>
        <v>0</v>
      </c>
      <c r="H17" s="37">
        <f>IF(IF(H20=0,0,4),4,0)</f>
        <v>4</v>
      </c>
      <c r="I17" s="37">
        <f>IF(IF(I20=0,0,4),4,0)</f>
        <v>4</v>
      </c>
      <c r="J17" s="37">
        <f>IF(IF(J20=0,0,3),3,0)</f>
        <v>3</v>
      </c>
      <c r="K17" s="37">
        <f>IF(IF(K20=0,0,3),3,0)</f>
        <v>3</v>
      </c>
      <c r="L17" s="37">
        <f>IF(IF(L20=0,0,2),2,0)</f>
        <v>2</v>
      </c>
      <c r="M17" s="37">
        <f>IF(IF(M20=0,0,3),3,0)</f>
        <v>0</v>
      </c>
      <c r="N17" s="37">
        <f>IF(IF(N20=0,0,3),3,0)</f>
        <v>0</v>
      </c>
      <c r="O17" s="37">
        <f>IF(IF(O20=0,0,3),3,0)</f>
        <v>0</v>
      </c>
      <c r="P17" s="37">
        <f>IF(IF(P20=0,0,4),4,0)</f>
        <v>0</v>
      </c>
      <c r="Q17" s="37">
        <f>IF(IF(Q20=0,0,2),2,0)</f>
        <v>0</v>
      </c>
      <c r="R17" s="37">
        <f>IF(IF(R20=0,0,4),4,0)</f>
        <v>0</v>
      </c>
      <c r="S17" s="37">
        <f>SUM(F17:R17)</f>
        <v>16</v>
      </c>
      <c r="T17" s="38"/>
      <c r="U17" s="95"/>
      <c r="V17" s="95"/>
      <c r="W17" s="115"/>
    </row>
    <row r="18" spans="2:23" ht="19.5" thickTop="1" thickBot="1" x14ac:dyDescent="0.3">
      <c r="B18" s="99"/>
      <c r="C18" s="76"/>
      <c r="D18" s="89"/>
      <c r="E18" s="33" t="s">
        <v>97</v>
      </c>
      <c r="F18" s="39"/>
      <c r="G18" s="39"/>
      <c r="H18" s="39">
        <v>34</v>
      </c>
      <c r="I18" s="40">
        <v>36</v>
      </c>
      <c r="J18" s="40">
        <v>35</v>
      </c>
      <c r="K18" s="40">
        <v>33</v>
      </c>
      <c r="L18" s="40">
        <v>31</v>
      </c>
      <c r="M18" s="39">
        <v>0</v>
      </c>
      <c r="N18" s="39">
        <v>0</v>
      </c>
      <c r="O18" s="39">
        <v>0</v>
      </c>
      <c r="P18" s="40">
        <v>0</v>
      </c>
      <c r="Q18" s="40">
        <v>0</v>
      </c>
      <c r="R18" s="40">
        <v>0</v>
      </c>
      <c r="S18" s="40"/>
      <c r="T18" s="41"/>
      <c r="U18" s="89"/>
      <c r="V18" s="89"/>
      <c r="W18" s="82"/>
    </row>
    <row r="19" spans="2:23" ht="19.5" thickTop="1" thickBot="1" x14ac:dyDescent="0.3">
      <c r="B19" s="99"/>
      <c r="C19" s="76"/>
      <c r="D19" s="89"/>
      <c r="E19" s="30" t="s">
        <v>3</v>
      </c>
      <c r="F19" s="42"/>
      <c r="G19" s="42"/>
      <c r="H19" s="42">
        <v>48</v>
      </c>
      <c r="I19" s="42">
        <v>45</v>
      </c>
      <c r="J19" s="42"/>
      <c r="K19" s="42"/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3"/>
      <c r="T19" s="44"/>
      <c r="U19" s="89"/>
      <c r="V19" s="89"/>
      <c r="W19" s="82"/>
    </row>
    <row r="20" spans="2:23" ht="19.5" thickTop="1" thickBot="1" x14ac:dyDescent="0.3">
      <c r="B20" s="99"/>
      <c r="C20" s="76"/>
      <c r="D20" s="89"/>
      <c r="E20" s="31" t="s">
        <v>4</v>
      </c>
      <c r="F20" s="42">
        <f t="shared" ref="F20:R20" si="6">IF(F19&lt;30,F18,F18+F19)</f>
        <v>0</v>
      </c>
      <c r="G20" s="42">
        <f t="shared" si="6"/>
        <v>0</v>
      </c>
      <c r="H20" s="42">
        <f t="shared" si="6"/>
        <v>82</v>
      </c>
      <c r="I20" s="42">
        <f t="shared" si="6"/>
        <v>81</v>
      </c>
      <c r="J20" s="42">
        <f t="shared" si="6"/>
        <v>35</v>
      </c>
      <c r="K20" s="42">
        <f t="shared" si="6"/>
        <v>33</v>
      </c>
      <c r="L20" s="42">
        <f t="shared" si="6"/>
        <v>31</v>
      </c>
      <c r="M20" s="42">
        <f t="shared" si="6"/>
        <v>0</v>
      </c>
      <c r="N20" s="42">
        <f t="shared" si="6"/>
        <v>0</v>
      </c>
      <c r="O20" s="42">
        <f t="shared" si="6"/>
        <v>0</v>
      </c>
      <c r="P20" s="42">
        <f t="shared" si="6"/>
        <v>0</v>
      </c>
      <c r="Q20" s="42">
        <f t="shared" si="6"/>
        <v>0</v>
      </c>
      <c r="R20" s="42">
        <f t="shared" si="6"/>
        <v>0</v>
      </c>
      <c r="S20" s="43"/>
      <c r="T20" s="44"/>
      <c r="U20" s="89"/>
      <c r="V20" s="89"/>
      <c r="W20" s="82"/>
    </row>
    <row r="21" spans="2:23" ht="37.5" thickTop="1" thickBot="1" x14ac:dyDescent="0.3">
      <c r="B21" s="100"/>
      <c r="C21" s="77"/>
      <c r="D21" s="90"/>
      <c r="E21" s="35" t="s">
        <v>6</v>
      </c>
      <c r="F21" s="36">
        <f t="shared" ref="F21:L21" si="7">SUM(F17*F20)</f>
        <v>0</v>
      </c>
      <c r="G21" s="36">
        <f t="shared" si="7"/>
        <v>0</v>
      </c>
      <c r="H21" s="36">
        <f t="shared" si="7"/>
        <v>328</v>
      </c>
      <c r="I21" s="36">
        <f t="shared" si="7"/>
        <v>324</v>
      </c>
      <c r="J21" s="36">
        <f t="shared" si="7"/>
        <v>105</v>
      </c>
      <c r="K21" s="36">
        <f t="shared" si="7"/>
        <v>99</v>
      </c>
      <c r="L21" s="36">
        <f t="shared" si="7"/>
        <v>62</v>
      </c>
      <c r="M21" s="36">
        <f t="shared" ref="M21:R21" si="8">SUM(M17*M20)</f>
        <v>0</v>
      </c>
      <c r="N21" s="36">
        <f t="shared" si="8"/>
        <v>0</v>
      </c>
      <c r="O21" s="36">
        <f t="shared" si="8"/>
        <v>0</v>
      </c>
      <c r="P21" s="36">
        <f t="shared" si="8"/>
        <v>0</v>
      </c>
      <c r="Q21" s="36">
        <f t="shared" si="8"/>
        <v>0</v>
      </c>
      <c r="R21" s="36">
        <f t="shared" si="8"/>
        <v>0</v>
      </c>
      <c r="S21" s="48">
        <f>SUM(F21:R21)</f>
        <v>918</v>
      </c>
      <c r="T21" s="47">
        <f>SUM(S21/S17)</f>
        <v>57.375</v>
      </c>
      <c r="U21" s="90"/>
      <c r="V21" s="90"/>
      <c r="W21" s="83"/>
    </row>
    <row r="22" spans="2:23" ht="20.25" thickTop="1" thickBot="1" x14ac:dyDescent="0.35">
      <c r="B22" s="98">
        <v>-4</v>
      </c>
      <c r="C22" s="85"/>
      <c r="D22" s="89"/>
      <c r="E22" s="10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8"/>
      <c r="U22" s="95"/>
      <c r="V22" s="95"/>
      <c r="W22" s="115"/>
    </row>
    <row r="23" spans="2:23" ht="19.5" thickTop="1" thickBot="1" x14ac:dyDescent="0.3">
      <c r="B23" s="99"/>
      <c r="C23" s="86"/>
      <c r="D23" s="89"/>
      <c r="E23" s="33"/>
      <c r="F23" s="39"/>
      <c r="G23" s="39"/>
      <c r="H23" s="39"/>
      <c r="I23" s="40"/>
      <c r="J23" s="40"/>
      <c r="K23" s="40"/>
      <c r="L23" s="40"/>
      <c r="M23" s="39"/>
      <c r="N23" s="39"/>
      <c r="O23" s="39"/>
      <c r="P23" s="40"/>
      <c r="Q23" s="40"/>
      <c r="R23" s="40"/>
      <c r="S23" s="40"/>
      <c r="T23" s="41"/>
      <c r="U23" s="89"/>
      <c r="V23" s="89"/>
      <c r="W23" s="82"/>
    </row>
    <row r="24" spans="2:23" ht="19.5" thickTop="1" thickBot="1" x14ac:dyDescent="0.3">
      <c r="B24" s="99"/>
      <c r="C24" s="86"/>
      <c r="D24" s="89"/>
      <c r="E24" s="30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3"/>
      <c r="T24" s="44"/>
      <c r="U24" s="89"/>
      <c r="V24" s="89"/>
      <c r="W24" s="82"/>
    </row>
    <row r="25" spans="2:23" ht="19.5" thickTop="1" thickBot="1" x14ac:dyDescent="0.3">
      <c r="B25" s="99"/>
      <c r="C25" s="86"/>
      <c r="D25" s="89"/>
      <c r="E25" s="31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3"/>
      <c r="T25" s="44"/>
      <c r="U25" s="89"/>
      <c r="V25" s="89"/>
      <c r="W25" s="82"/>
    </row>
    <row r="26" spans="2:23" ht="19.5" thickTop="1" thickBot="1" x14ac:dyDescent="0.3">
      <c r="B26" s="100"/>
      <c r="C26" s="87"/>
      <c r="D26" s="90"/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48"/>
      <c r="T26" s="47"/>
      <c r="U26" s="90"/>
      <c r="V26" s="90"/>
      <c r="W26" s="83"/>
    </row>
    <row r="27" spans="2:23" ht="20.25" thickTop="1" thickBot="1" x14ac:dyDescent="0.35">
      <c r="B27" s="98">
        <v>-5</v>
      </c>
      <c r="C27" s="85"/>
      <c r="D27" s="89"/>
      <c r="E27" s="10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8"/>
      <c r="U27" s="95"/>
      <c r="V27" s="95"/>
      <c r="W27" s="115"/>
    </row>
    <row r="28" spans="2:23" ht="19.5" thickTop="1" thickBot="1" x14ac:dyDescent="0.3">
      <c r="B28" s="99"/>
      <c r="C28" s="86"/>
      <c r="D28" s="89"/>
      <c r="E28" s="33"/>
      <c r="F28" s="39"/>
      <c r="G28" s="39"/>
      <c r="H28" s="39"/>
      <c r="I28" s="40"/>
      <c r="J28" s="40"/>
      <c r="K28" s="40"/>
      <c r="L28" s="40"/>
      <c r="M28" s="39"/>
      <c r="N28" s="39"/>
      <c r="O28" s="39"/>
      <c r="P28" s="40"/>
      <c r="Q28" s="40"/>
      <c r="R28" s="40"/>
      <c r="S28" s="40"/>
      <c r="T28" s="41"/>
      <c r="U28" s="89"/>
      <c r="V28" s="89"/>
      <c r="W28" s="82"/>
    </row>
    <row r="29" spans="2:23" ht="19.5" thickTop="1" thickBot="1" x14ac:dyDescent="0.3">
      <c r="B29" s="99"/>
      <c r="C29" s="86"/>
      <c r="D29" s="89"/>
      <c r="E29" s="30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3"/>
      <c r="T29" s="44"/>
      <c r="U29" s="89"/>
      <c r="V29" s="89"/>
      <c r="W29" s="82"/>
    </row>
    <row r="30" spans="2:23" ht="19.5" thickTop="1" thickBot="1" x14ac:dyDescent="0.3">
      <c r="B30" s="99"/>
      <c r="C30" s="86"/>
      <c r="D30" s="89"/>
      <c r="E30" s="31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3"/>
      <c r="T30" s="44"/>
      <c r="U30" s="89"/>
      <c r="V30" s="89"/>
      <c r="W30" s="82"/>
    </row>
    <row r="31" spans="2:23" ht="19.5" thickTop="1" thickBot="1" x14ac:dyDescent="0.3">
      <c r="B31" s="100"/>
      <c r="C31" s="87"/>
      <c r="D31" s="90"/>
      <c r="E31" s="32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48"/>
      <c r="T31" s="47"/>
      <c r="U31" s="90"/>
      <c r="V31" s="90"/>
      <c r="W31" s="83"/>
    </row>
    <row r="32" spans="2:23" ht="20.25" thickTop="1" thickBot="1" x14ac:dyDescent="0.35">
      <c r="B32" s="98">
        <v>-6</v>
      </c>
      <c r="C32" s="84"/>
      <c r="D32" s="89"/>
      <c r="E32" s="10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8"/>
      <c r="U32" s="95"/>
      <c r="V32" s="95"/>
      <c r="W32" s="115"/>
    </row>
    <row r="33" spans="2:23" ht="19.5" thickTop="1" thickBot="1" x14ac:dyDescent="0.3">
      <c r="B33" s="99"/>
      <c r="C33" s="76"/>
      <c r="D33" s="89"/>
      <c r="E33" s="33"/>
      <c r="F33" s="39"/>
      <c r="G33" s="39"/>
      <c r="H33" s="39"/>
      <c r="I33" s="40"/>
      <c r="J33" s="40"/>
      <c r="K33" s="40"/>
      <c r="L33" s="40"/>
      <c r="M33" s="39"/>
      <c r="N33" s="39"/>
      <c r="O33" s="39"/>
      <c r="P33" s="40"/>
      <c r="Q33" s="40"/>
      <c r="R33" s="40"/>
      <c r="S33" s="40"/>
      <c r="T33" s="41"/>
      <c r="U33" s="89"/>
      <c r="V33" s="89"/>
      <c r="W33" s="82"/>
    </row>
    <row r="34" spans="2:23" ht="19.5" thickTop="1" thickBot="1" x14ac:dyDescent="0.3">
      <c r="B34" s="99"/>
      <c r="C34" s="76"/>
      <c r="D34" s="89"/>
      <c r="E34" s="30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3"/>
      <c r="T34" s="44"/>
      <c r="U34" s="89"/>
      <c r="V34" s="89"/>
      <c r="W34" s="82"/>
    </row>
    <row r="35" spans="2:23" ht="19.5" thickTop="1" thickBot="1" x14ac:dyDescent="0.3">
      <c r="B35" s="99"/>
      <c r="C35" s="76"/>
      <c r="D35" s="89"/>
      <c r="E35" s="31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3"/>
      <c r="T35" s="44"/>
      <c r="U35" s="89"/>
      <c r="V35" s="89"/>
      <c r="W35" s="82"/>
    </row>
    <row r="36" spans="2:23" ht="19.5" thickTop="1" thickBot="1" x14ac:dyDescent="0.3">
      <c r="B36" s="100"/>
      <c r="C36" s="77"/>
      <c r="D36" s="90"/>
      <c r="E36" s="32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48"/>
      <c r="T36" s="47"/>
      <c r="U36" s="90"/>
      <c r="V36" s="90"/>
      <c r="W36" s="83"/>
    </row>
    <row r="37" spans="2:23" ht="20.25" thickTop="1" thickBot="1" x14ac:dyDescent="0.35">
      <c r="B37" s="98">
        <v>-7</v>
      </c>
      <c r="C37" s="84"/>
      <c r="D37" s="89"/>
      <c r="E37" s="10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8"/>
      <c r="U37" s="85"/>
      <c r="V37" s="85"/>
      <c r="W37" s="115"/>
    </row>
    <row r="38" spans="2:23" ht="19.5" thickTop="1" thickBot="1" x14ac:dyDescent="0.3">
      <c r="B38" s="99"/>
      <c r="C38" s="76"/>
      <c r="D38" s="89"/>
      <c r="E38" s="33"/>
      <c r="F38" s="39"/>
      <c r="G38" s="39"/>
      <c r="H38" s="39"/>
      <c r="I38" s="40"/>
      <c r="J38" s="40"/>
      <c r="K38" s="40"/>
      <c r="L38" s="40"/>
      <c r="M38" s="39"/>
      <c r="N38" s="39"/>
      <c r="O38" s="39"/>
      <c r="P38" s="40"/>
      <c r="Q38" s="40"/>
      <c r="R38" s="40"/>
      <c r="S38" s="40"/>
      <c r="T38" s="41"/>
      <c r="U38" s="86"/>
      <c r="V38" s="86"/>
      <c r="W38" s="82"/>
    </row>
    <row r="39" spans="2:23" ht="19.5" thickTop="1" thickBot="1" x14ac:dyDescent="0.3">
      <c r="B39" s="99"/>
      <c r="C39" s="76"/>
      <c r="D39" s="89"/>
      <c r="E39" s="30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3"/>
      <c r="T39" s="44"/>
      <c r="U39" s="86"/>
      <c r="V39" s="86"/>
      <c r="W39" s="82"/>
    </row>
    <row r="40" spans="2:23" ht="19.5" thickTop="1" thickBot="1" x14ac:dyDescent="0.3">
      <c r="B40" s="99"/>
      <c r="C40" s="76"/>
      <c r="D40" s="89"/>
      <c r="E40" s="31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3"/>
      <c r="T40" s="44"/>
      <c r="U40" s="86"/>
      <c r="V40" s="86"/>
      <c r="W40" s="82"/>
    </row>
    <row r="41" spans="2:23" ht="19.5" thickTop="1" thickBot="1" x14ac:dyDescent="0.3">
      <c r="B41" s="100"/>
      <c r="C41" s="77"/>
      <c r="D41" s="90"/>
      <c r="E41" s="32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8"/>
      <c r="T41" s="47"/>
      <c r="U41" s="87"/>
      <c r="V41" s="87"/>
      <c r="W41" s="83"/>
    </row>
    <row r="42" spans="2:23" ht="13.5" thickTop="1" x14ac:dyDescent="0.2"/>
  </sheetData>
  <mergeCells count="51">
    <mergeCell ref="B37:B41"/>
    <mergeCell ref="C37:C41"/>
    <mergeCell ref="D37:D41"/>
    <mergeCell ref="U37:U41"/>
    <mergeCell ref="V37:V41"/>
    <mergeCell ref="W37:W41"/>
    <mergeCell ref="B32:B36"/>
    <mergeCell ref="C32:C36"/>
    <mergeCell ref="D32:D36"/>
    <mergeCell ref="U32:U36"/>
    <mergeCell ref="V32:V36"/>
    <mergeCell ref="W32:W36"/>
    <mergeCell ref="B27:B31"/>
    <mergeCell ref="C27:C31"/>
    <mergeCell ref="D27:D31"/>
    <mergeCell ref="U27:U31"/>
    <mergeCell ref="V27:V31"/>
    <mergeCell ref="W27:W31"/>
    <mergeCell ref="B22:B26"/>
    <mergeCell ref="C22:C26"/>
    <mergeCell ref="D22:D26"/>
    <mergeCell ref="U22:U26"/>
    <mergeCell ref="V22:V26"/>
    <mergeCell ref="W22:W26"/>
    <mergeCell ref="B17:B21"/>
    <mergeCell ref="C17:C21"/>
    <mergeCell ref="D17:D21"/>
    <mergeCell ref="U17:U21"/>
    <mergeCell ref="V17:V21"/>
    <mergeCell ref="W17:W21"/>
    <mergeCell ref="W7:W11"/>
    <mergeCell ref="B12:B16"/>
    <mergeCell ref="C12:C16"/>
    <mergeCell ref="D12:D16"/>
    <mergeCell ref="U12:U16"/>
    <mergeCell ref="V12:V16"/>
    <mergeCell ref="W12:W16"/>
    <mergeCell ref="S5:S6"/>
    <mergeCell ref="T5:T6"/>
    <mergeCell ref="V5:V6"/>
    <mergeCell ref="B7:B11"/>
    <mergeCell ref="C7:C11"/>
    <mergeCell ref="D7:D11"/>
    <mergeCell ref="U7:U11"/>
    <mergeCell ref="V7:V11"/>
    <mergeCell ref="B5:B6"/>
    <mergeCell ref="C5:C6"/>
    <mergeCell ref="D5:D6"/>
    <mergeCell ref="E5:E6"/>
    <mergeCell ref="F5:L5"/>
    <mergeCell ref="M5:R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958B-C737-4BE0-9FA5-A2CD34E5A213}">
  <dimension ref="B4:W42"/>
  <sheetViews>
    <sheetView rightToLeft="1" tabSelected="1" workbookViewId="0">
      <selection activeCell="I17" sqref="I17"/>
    </sheetView>
  </sheetViews>
  <sheetFormatPr defaultRowHeight="12.75" x14ac:dyDescent="0.2"/>
  <cols>
    <col min="3" max="3" width="22" customWidth="1"/>
    <col min="5" max="5" width="22.28515625" customWidth="1"/>
    <col min="23" max="23" width="22.85546875" customWidth="1"/>
  </cols>
  <sheetData>
    <row r="4" spans="2:23" ht="13.5" thickBot="1" x14ac:dyDescent="0.25"/>
    <row r="5" spans="2:23" ht="16.5" thickTop="1" thickBot="1" x14ac:dyDescent="0.25">
      <c r="B5" s="107" t="s">
        <v>0</v>
      </c>
      <c r="C5" s="101" t="s">
        <v>7</v>
      </c>
      <c r="D5" s="103" t="s">
        <v>1</v>
      </c>
      <c r="E5" s="101" t="s">
        <v>2</v>
      </c>
      <c r="F5" s="112" t="s">
        <v>25</v>
      </c>
      <c r="G5" s="113"/>
      <c r="H5" s="113"/>
      <c r="I5" s="113"/>
      <c r="J5" s="113"/>
      <c r="K5" s="113"/>
      <c r="L5" s="109" t="s">
        <v>15</v>
      </c>
      <c r="M5" s="110"/>
      <c r="N5" s="110"/>
      <c r="O5" s="110"/>
      <c r="P5" s="110"/>
      <c r="Q5" s="110"/>
      <c r="R5" s="110"/>
      <c r="S5" s="103" t="s">
        <v>4</v>
      </c>
      <c r="T5" s="103" t="s">
        <v>8</v>
      </c>
      <c r="U5" s="27"/>
      <c r="V5" s="103" t="s">
        <v>18</v>
      </c>
      <c r="W5" s="28"/>
    </row>
    <row r="6" spans="2:23" ht="102.75" thickTop="1" thickBot="1" x14ac:dyDescent="0.25">
      <c r="B6" s="108"/>
      <c r="C6" s="106"/>
      <c r="D6" s="104"/>
      <c r="E6" s="102"/>
      <c r="F6" s="25" t="s">
        <v>48</v>
      </c>
      <c r="G6" s="25" t="s">
        <v>49</v>
      </c>
      <c r="H6" s="25" t="s">
        <v>50</v>
      </c>
      <c r="I6" s="25" t="s">
        <v>51</v>
      </c>
      <c r="J6" s="25" t="s">
        <v>52</v>
      </c>
      <c r="K6" s="25" t="s">
        <v>53</v>
      </c>
      <c r="L6" s="25" t="s">
        <v>41</v>
      </c>
      <c r="M6" s="25" t="s">
        <v>42</v>
      </c>
      <c r="N6" s="25" t="s">
        <v>43</v>
      </c>
      <c r="O6" s="25" t="s">
        <v>44</v>
      </c>
      <c r="P6" s="25" t="s">
        <v>45</v>
      </c>
      <c r="Q6" s="25" t="s">
        <v>46</v>
      </c>
      <c r="R6" s="25" t="s">
        <v>47</v>
      </c>
      <c r="S6" s="105"/>
      <c r="T6" s="105"/>
      <c r="U6" s="25" t="s">
        <v>17</v>
      </c>
      <c r="V6" s="105"/>
      <c r="W6" s="26" t="s">
        <v>19</v>
      </c>
    </row>
    <row r="7" spans="2:23" ht="20.25" thickTop="1" thickBot="1" x14ac:dyDescent="0.35">
      <c r="B7" s="98">
        <v>-1</v>
      </c>
      <c r="C7" s="96" t="s">
        <v>67</v>
      </c>
      <c r="D7" s="95" t="s">
        <v>94</v>
      </c>
      <c r="E7" s="9" t="s">
        <v>5</v>
      </c>
      <c r="F7" s="37">
        <v>0</v>
      </c>
      <c r="G7" s="37">
        <f>IF(IF(G10=0,0,4),4,0)</f>
        <v>0</v>
      </c>
      <c r="H7" s="37">
        <f>IF(IF(H10=0,0,4),4,0)</f>
        <v>0</v>
      </c>
      <c r="I7" s="37">
        <f>IF(IF(I10=0,0,3),3,0)</f>
        <v>0</v>
      </c>
      <c r="J7" s="37">
        <f>IF(IF(J10=0,0,3),3,0)</f>
        <v>3</v>
      </c>
      <c r="K7" s="37">
        <f>IF(IF(K10=0,0,3),3,0)</f>
        <v>0</v>
      </c>
      <c r="L7" s="37">
        <f>IF(IF(L10=0,0,2),2,0)</f>
        <v>0</v>
      </c>
      <c r="M7" s="37">
        <f>IF(IF(M10=0,0,3),3,0)</f>
        <v>0</v>
      </c>
      <c r="N7" s="37">
        <f>IF(IF(N10=0,0,4),4,0)</f>
        <v>0</v>
      </c>
      <c r="O7" s="37">
        <f>IF(IF(O10=0,0,4),4,0)</f>
        <v>0</v>
      </c>
      <c r="P7" s="37">
        <f>IF(IF(P10=0,0,3),3,0)</f>
        <v>0</v>
      </c>
      <c r="Q7" s="37">
        <f>IF(IF(Q10=0,0,3),3,0)</f>
        <v>0</v>
      </c>
      <c r="R7" s="37">
        <f>IF(IF(R10=0,0,2),2,0)</f>
        <v>0</v>
      </c>
      <c r="S7" s="37">
        <f>SUM(F7:R7)</f>
        <v>3</v>
      </c>
      <c r="T7" s="38"/>
      <c r="U7" s="95"/>
      <c r="V7" s="95"/>
      <c r="W7" s="81"/>
    </row>
    <row r="8" spans="2:23" ht="19.5" thickTop="1" thickBot="1" x14ac:dyDescent="0.3">
      <c r="B8" s="99"/>
      <c r="C8" s="76"/>
      <c r="D8" s="89"/>
      <c r="E8" s="29" t="s">
        <v>97</v>
      </c>
      <c r="F8" s="70"/>
      <c r="G8" s="70">
        <v>0</v>
      </c>
      <c r="H8" s="70">
        <v>0</v>
      </c>
      <c r="I8" s="66">
        <v>0</v>
      </c>
      <c r="J8" s="40">
        <v>38</v>
      </c>
      <c r="K8" s="40">
        <v>0</v>
      </c>
      <c r="L8" s="39"/>
      <c r="M8" s="39"/>
      <c r="N8" s="39"/>
      <c r="O8" s="40"/>
      <c r="P8" s="40"/>
      <c r="Q8" s="40"/>
      <c r="R8" s="40"/>
      <c r="S8" s="40"/>
      <c r="T8" s="41"/>
      <c r="U8" s="89"/>
      <c r="V8" s="89"/>
      <c r="W8" s="82"/>
    </row>
    <row r="9" spans="2:23" ht="19.5" thickTop="1" thickBot="1" x14ac:dyDescent="0.3">
      <c r="B9" s="99"/>
      <c r="C9" s="76"/>
      <c r="D9" s="89"/>
      <c r="E9" s="30" t="s">
        <v>3</v>
      </c>
      <c r="F9" s="67">
        <v>31</v>
      </c>
      <c r="G9" s="67">
        <v>0</v>
      </c>
      <c r="H9" s="67">
        <v>0</v>
      </c>
      <c r="I9" s="67">
        <v>0</v>
      </c>
      <c r="J9" s="42">
        <v>0</v>
      </c>
      <c r="K9" s="42">
        <v>0</v>
      </c>
      <c r="L9" s="42"/>
      <c r="M9" s="42"/>
      <c r="N9" s="42"/>
      <c r="O9" s="42"/>
      <c r="P9" s="42"/>
      <c r="Q9" s="42"/>
      <c r="R9" s="42"/>
      <c r="S9" s="43"/>
      <c r="T9" s="44"/>
      <c r="U9" s="89"/>
      <c r="V9" s="89"/>
      <c r="W9" s="82"/>
    </row>
    <row r="10" spans="2:23" ht="19.5" thickTop="1" thickBot="1" x14ac:dyDescent="0.3">
      <c r="B10" s="99"/>
      <c r="C10" s="76"/>
      <c r="D10" s="89"/>
      <c r="E10" s="31" t="s">
        <v>4</v>
      </c>
      <c r="F10" s="42">
        <v>0</v>
      </c>
      <c r="G10" s="42">
        <f>IF(G9&lt;30,G8,G8+G9)</f>
        <v>0</v>
      </c>
      <c r="H10" s="42">
        <f>IF(H9&lt;30,H8,H8+H9)</f>
        <v>0</v>
      </c>
      <c r="I10" s="42">
        <f>IF(I9&lt;30,I8,I8+I9)</f>
        <v>0</v>
      </c>
      <c r="J10" s="42">
        <f>IF(J9&lt;30,J8,J8+J9)</f>
        <v>38</v>
      </c>
      <c r="K10" s="42">
        <f>IF(K9&lt;30,K8,K8+K9)</f>
        <v>0</v>
      </c>
      <c r="L10" s="42">
        <f t="shared" ref="L10:R10" si="0">IF(L9&lt;30,L8,L8+L9)</f>
        <v>0</v>
      </c>
      <c r="M10" s="42">
        <f t="shared" si="0"/>
        <v>0</v>
      </c>
      <c r="N10" s="42">
        <f t="shared" si="0"/>
        <v>0</v>
      </c>
      <c r="O10" s="42">
        <f t="shared" si="0"/>
        <v>0</v>
      </c>
      <c r="P10" s="42">
        <f t="shared" si="0"/>
        <v>0</v>
      </c>
      <c r="Q10" s="42">
        <f t="shared" si="0"/>
        <v>0</v>
      </c>
      <c r="R10" s="42">
        <f t="shared" si="0"/>
        <v>0</v>
      </c>
      <c r="S10" s="43"/>
      <c r="T10" s="44"/>
      <c r="U10" s="89"/>
      <c r="V10" s="89"/>
      <c r="W10" s="82"/>
    </row>
    <row r="11" spans="2:23" ht="37.5" thickTop="1" thickBot="1" x14ac:dyDescent="0.3">
      <c r="B11" s="100"/>
      <c r="C11" s="97"/>
      <c r="D11" s="90"/>
      <c r="E11" s="32" t="s">
        <v>6</v>
      </c>
      <c r="F11" s="36">
        <f t="shared" ref="F11:K11" si="1">SUM(F7*F10)</f>
        <v>0</v>
      </c>
      <c r="G11" s="36">
        <f t="shared" si="1"/>
        <v>0</v>
      </c>
      <c r="H11" s="36">
        <f t="shared" si="1"/>
        <v>0</v>
      </c>
      <c r="I11" s="36">
        <f t="shared" si="1"/>
        <v>0</v>
      </c>
      <c r="J11" s="36">
        <f t="shared" si="1"/>
        <v>114</v>
      </c>
      <c r="K11" s="36">
        <f t="shared" si="1"/>
        <v>0</v>
      </c>
      <c r="L11" s="36">
        <f t="shared" ref="L11:R11" si="2">SUM(L7*L10)</f>
        <v>0</v>
      </c>
      <c r="M11" s="36">
        <f t="shared" si="2"/>
        <v>0</v>
      </c>
      <c r="N11" s="36">
        <f t="shared" si="2"/>
        <v>0</v>
      </c>
      <c r="O11" s="36">
        <f t="shared" si="2"/>
        <v>0</v>
      </c>
      <c r="P11" s="36">
        <f t="shared" si="2"/>
        <v>0</v>
      </c>
      <c r="Q11" s="36">
        <f t="shared" si="2"/>
        <v>0</v>
      </c>
      <c r="R11" s="36">
        <f t="shared" si="2"/>
        <v>0</v>
      </c>
      <c r="S11" s="45">
        <f>SUM(F11:R11)</f>
        <v>114</v>
      </c>
      <c r="T11" s="46">
        <f>SUM(S11/S7)</f>
        <v>38</v>
      </c>
      <c r="U11" s="90"/>
      <c r="V11" s="90"/>
      <c r="W11" s="83"/>
    </row>
    <row r="12" spans="2:23" ht="20.25" thickTop="1" thickBot="1" x14ac:dyDescent="0.35">
      <c r="B12" s="98">
        <v>-2</v>
      </c>
      <c r="C12" s="96" t="s">
        <v>63</v>
      </c>
      <c r="D12" s="95" t="s">
        <v>94</v>
      </c>
      <c r="E12" s="9" t="s">
        <v>5</v>
      </c>
      <c r="F12" s="37">
        <f>IF(IF(F15=0,0,4),4,0)</f>
        <v>4</v>
      </c>
      <c r="G12" s="37">
        <f>IF(IF(G15=0,0,4),4,0)</f>
        <v>4</v>
      </c>
      <c r="H12" s="37">
        <f>IF(IF(H15=0,0,4),4,0)</f>
        <v>4</v>
      </c>
      <c r="I12" s="37">
        <f>IF(IF(I15=0,0,3),3,0)</f>
        <v>0</v>
      </c>
      <c r="J12" s="37">
        <f>IF(IF(J15=0,0,3),3,0)</f>
        <v>3</v>
      </c>
      <c r="K12" s="37">
        <f>IF(IF(K15=0,0,3),3,0)</f>
        <v>0</v>
      </c>
      <c r="L12" s="37">
        <f>IF(IF(L15=0,0,2),2,0)</f>
        <v>0</v>
      </c>
      <c r="M12" s="37">
        <f>IF(IF(M15=0,0,3),3,0)</f>
        <v>0</v>
      </c>
      <c r="N12" s="37">
        <f>IF(IF(N15=0,0,4),4,0)</f>
        <v>0</v>
      </c>
      <c r="O12" s="37">
        <f>IF(IF(O15=0,0,4),4,0)</f>
        <v>0</v>
      </c>
      <c r="P12" s="37">
        <f>IF(IF(P15=0,0,3),3,0)</f>
        <v>0</v>
      </c>
      <c r="Q12" s="37">
        <f>IF(IF(Q15=0,0,3),3,0)</f>
        <v>0</v>
      </c>
      <c r="R12" s="37">
        <f>IF(IF(R15=0,0,2),2,0)</f>
        <v>0</v>
      </c>
      <c r="S12" s="37">
        <f>SUM(F12:R12)</f>
        <v>15</v>
      </c>
      <c r="T12" s="38"/>
      <c r="U12" s="95"/>
      <c r="V12" s="95"/>
      <c r="W12" s="81"/>
    </row>
    <row r="13" spans="2:23" ht="19.5" thickTop="1" thickBot="1" x14ac:dyDescent="0.3">
      <c r="B13" s="99"/>
      <c r="C13" s="76"/>
      <c r="D13" s="89"/>
      <c r="E13" s="29" t="s">
        <v>97</v>
      </c>
      <c r="F13" s="70">
        <v>29</v>
      </c>
      <c r="G13" s="70">
        <v>33</v>
      </c>
      <c r="H13" s="70">
        <v>35</v>
      </c>
      <c r="I13" s="66">
        <v>0</v>
      </c>
      <c r="J13" s="40">
        <v>36</v>
      </c>
      <c r="K13" s="40">
        <v>0</v>
      </c>
      <c r="L13" s="39"/>
      <c r="M13" s="39"/>
      <c r="N13" s="39"/>
      <c r="O13" s="40"/>
      <c r="P13" s="40"/>
      <c r="Q13" s="40"/>
      <c r="R13" s="40"/>
      <c r="S13" s="40"/>
      <c r="T13" s="41"/>
      <c r="U13" s="89"/>
      <c r="V13" s="89"/>
      <c r="W13" s="82"/>
    </row>
    <row r="14" spans="2:23" ht="19.5" thickTop="1" thickBot="1" x14ac:dyDescent="0.3">
      <c r="B14" s="99"/>
      <c r="C14" s="76"/>
      <c r="D14" s="89"/>
      <c r="E14" s="30" t="s">
        <v>3</v>
      </c>
      <c r="F14" s="67">
        <v>30</v>
      </c>
      <c r="G14" s="67">
        <v>50</v>
      </c>
      <c r="H14" s="67">
        <v>0</v>
      </c>
      <c r="I14" s="67">
        <v>0</v>
      </c>
      <c r="J14" s="42">
        <v>0</v>
      </c>
      <c r="K14" s="42">
        <v>0</v>
      </c>
      <c r="L14" s="42"/>
      <c r="M14" s="42"/>
      <c r="N14" s="42"/>
      <c r="O14" s="42"/>
      <c r="P14" s="42"/>
      <c r="Q14" s="42"/>
      <c r="R14" s="42"/>
      <c r="S14" s="43"/>
      <c r="T14" s="44"/>
      <c r="U14" s="89"/>
      <c r="V14" s="89"/>
      <c r="W14" s="82"/>
    </row>
    <row r="15" spans="2:23" ht="19.5" thickTop="1" thickBot="1" x14ac:dyDescent="0.3">
      <c r="B15" s="99"/>
      <c r="C15" s="76"/>
      <c r="D15" s="89"/>
      <c r="E15" s="31" t="s">
        <v>4</v>
      </c>
      <c r="F15" s="42">
        <f t="shared" ref="F15:R15" si="3">IF(F14&lt;30,F13,F13+F14)</f>
        <v>59</v>
      </c>
      <c r="G15" s="42">
        <f t="shared" si="3"/>
        <v>83</v>
      </c>
      <c r="H15" s="42">
        <f t="shared" si="3"/>
        <v>35</v>
      </c>
      <c r="I15" s="42">
        <f t="shared" si="3"/>
        <v>0</v>
      </c>
      <c r="J15" s="42">
        <f t="shared" si="3"/>
        <v>36</v>
      </c>
      <c r="K15" s="42">
        <f t="shared" si="3"/>
        <v>0</v>
      </c>
      <c r="L15" s="42">
        <f t="shared" si="3"/>
        <v>0</v>
      </c>
      <c r="M15" s="42">
        <f t="shared" si="3"/>
        <v>0</v>
      </c>
      <c r="N15" s="42">
        <f t="shared" si="3"/>
        <v>0</v>
      </c>
      <c r="O15" s="42">
        <f t="shared" si="3"/>
        <v>0</v>
      </c>
      <c r="P15" s="42">
        <f t="shared" si="3"/>
        <v>0</v>
      </c>
      <c r="Q15" s="42">
        <f t="shared" si="3"/>
        <v>0</v>
      </c>
      <c r="R15" s="42">
        <f t="shared" si="3"/>
        <v>0</v>
      </c>
      <c r="S15" s="43"/>
      <c r="T15" s="44"/>
      <c r="U15" s="89"/>
      <c r="V15" s="89"/>
      <c r="W15" s="82"/>
    </row>
    <row r="16" spans="2:23" ht="37.5" thickTop="1" thickBot="1" x14ac:dyDescent="0.3">
      <c r="B16" s="100"/>
      <c r="C16" s="77"/>
      <c r="D16" s="90"/>
      <c r="E16" s="32" t="s">
        <v>6</v>
      </c>
      <c r="F16" s="36">
        <f t="shared" ref="F16:K16" si="4">SUM(F12*F15)</f>
        <v>236</v>
      </c>
      <c r="G16" s="36">
        <f t="shared" si="4"/>
        <v>332</v>
      </c>
      <c r="H16" s="36">
        <f t="shared" si="4"/>
        <v>140</v>
      </c>
      <c r="I16" s="36">
        <f t="shared" si="4"/>
        <v>0</v>
      </c>
      <c r="J16" s="36">
        <f t="shared" si="4"/>
        <v>108</v>
      </c>
      <c r="K16" s="36">
        <f t="shared" si="4"/>
        <v>0</v>
      </c>
      <c r="L16" s="36">
        <f t="shared" ref="L16:R16" si="5">SUM(L12*L15)</f>
        <v>0</v>
      </c>
      <c r="M16" s="36">
        <f t="shared" si="5"/>
        <v>0</v>
      </c>
      <c r="N16" s="36">
        <f t="shared" si="5"/>
        <v>0</v>
      </c>
      <c r="O16" s="36">
        <f t="shared" si="5"/>
        <v>0</v>
      </c>
      <c r="P16" s="36">
        <f t="shared" si="5"/>
        <v>0</v>
      </c>
      <c r="Q16" s="36">
        <f t="shared" si="5"/>
        <v>0</v>
      </c>
      <c r="R16" s="36">
        <f t="shared" si="5"/>
        <v>0</v>
      </c>
      <c r="S16" s="45">
        <f>SUM(F16:R16)</f>
        <v>816</v>
      </c>
      <c r="T16" s="46">
        <f>SUM(S16/S12)</f>
        <v>54.4</v>
      </c>
      <c r="U16" s="90"/>
      <c r="V16" s="90"/>
      <c r="W16" s="83"/>
    </row>
    <row r="17" spans="2:23" ht="20.25" thickTop="1" thickBot="1" x14ac:dyDescent="0.35">
      <c r="B17" s="98">
        <v>-3</v>
      </c>
      <c r="C17" s="96" t="s">
        <v>64</v>
      </c>
      <c r="D17" s="88" t="s">
        <v>95</v>
      </c>
      <c r="E17" s="10" t="s">
        <v>5</v>
      </c>
      <c r="F17" s="37">
        <f>IF(IF(F20=0,0,4),4,0)</f>
        <v>4</v>
      </c>
      <c r="G17" s="37">
        <f>IF(IF(G20=0,0,4),4,0)</f>
        <v>4</v>
      </c>
      <c r="H17" s="37">
        <f>IF(IF(H20=0,0,4),4,0)</f>
        <v>4</v>
      </c>
      <c r="I17" s="37">
        <f>IF(IF(I20=0,0,3),3,0)</f>
        <v>0</v>
      </c>
      <c r="J17" s="37">
        <f>IF(IF(J20=0,0,3),3,0)</f>
        <v>3</v>
      </c>
      <c r="K17" s="37">
        <f>IF(IF(K20=0,0,3),3,0)</f>
        <v>0</v>
      </c>
      <c r="L17" s="37">
        <f>IF(IF(L20=0,0,2),2,0)</f>
        <v>0</v>
      </c>
      <c r="M17" s="37">
        <f>IF(IF(M20=0,0,3),3,0)</f>
        <v>0</v>
      </c>
      <c r="N17" s="37">
        <f>IF(IF(N20=0,0,4),4,0)</f>
        <v>0</v>
      </c>
      <c r="O17" s="37">
        <f>IF(IF(O20=0,0,4),4,0)</f>
        <v>0</v>
      </c>
      <c r="P17" s="37">
        <f>IF(IF(P20=0,0,3),3,0)</f>
        <v>0</v>
      </c>
      <c r="Q17" s="37">
        <f>IF(IF(Q20=0,0,3),3,0)</f>
        <v>0</v>
      </c>
      <c r="R17" s="37">
        <f>IF(IF(R20=0,0,2),2,0)</f>
        <v>0</v>
      </c>
      <c r="S17" s="37">
        <f>SUM(F17:R17)</f>
        <v>15</v>
      </c>
      <c r="T17" s="38"/>
      <c r="U17" s="95"/>
      <c r="V17" s="95"/>
      <c r="W17" s="81"/>
    </row>
    <row r="18" spans="2:23" ht="19.5" thickTop="1" thickBot="1" x14ac:dyDescent="0.3">
      <c r="B18" s="99"/>
      <c r="C18" s="76"/>
      <c r="D18" s="89"/>
      <c r="E18" s="33" t="s">
        <v>97</v>
      </c>
      <c r="F18" s="70">
        <v>26</v>
      </c>
      <c r="G18" s="70">
        <v>28</v>
      </c>
      <c r="H18" s="70">
        <v>28</v>
      </c>
      <c r="I18" s="66">
        <v>0</v>
      </c>
      <c r="J18" s="40">
        <v>40</v>
      </c>
      <c r="K18" s="40">
        <v>0</v>
      </c>
      <c r="L18" s="39"/>
      <c r="M18" s="70">
        <v>0</v>
      </c>
      <c r="N18" s="70"/>
      <c r="O18" s="66"/>
      <c r="P18" s="66">
        <v>0</v>
      </c>
      <c r="Q18" s="40"/>
      <c r="R18" s="40"/>
      <c r="S18" s="40"/>
      <c r="T18" s="41"/>
      <c r="U18" s="89"/>
      <c r="V18" s="89"/>
      <c r="W18" s="82"/>
    </row>
    <row r="19" spans="2:23" ht="19.5" thickTop="1" thickBot="1" x14ac:dyDescent="0.3">
      <c r="B19" s="99"/>
      <c r="C19" s="76"/>
      <c r="D19" s="89"/>
      <c r="E19" s="30" t="s">
        <v>3</v>
      </c>
      <c r="F19" s="67">
        <v>51</v>
      </c>
      <c r="G19" s="67">
        <v>50</v>
      </c>
      <c r="H19" s="67">
        <v>0</v>
      </c>
      <c r="I19" s="67">
        <v>0</v>
      </c>
      <c r="J19" s="42">
        <v>0</v>
      </c>
      <c r="K19" s="42">
        <v>0</v>
      </c>
      <c r="L19" s="42"/>
      <c r="M19" s="67">
        <v>0</v>
      </c>
      <c r="N19" s="67"/>
      <c r="O19" s="67"/>
      <c r="P19" s="67">
        <v>0</v>
      </c>
      <c r="Q19" s="42"/>
      <c r="R19" s="42"/>
      <c r="S19" s="43"/>
      <c r="T19" s="44"/>
      <c r="U19" s="89"/>
      <c r="V19" s="89"/>
      <c r="W19" s="82"/>
    </row>
    <row r="20" spans="2:23" ht="19.5" thickTop="1" thickBot="1" x14ac:dyDescent="0.3">
      <c r="B20" s="99"/>
      <c r="C20" s="76"/>
      <c r="D20" s="89"/>
      <c r="E20" s="31" t="s">
        <v>4</v>
      </c>
      <c r="F20" s="67">
        <f t="shared" ref="F20:R20" si="6">IF(F19&lt;30,F18,F18+F19)</f>
        <v>77</v>
      </c>
      <c r="G20" s="67">
        <f t="shared" si="6"/>
        <v>78</v>
      </c>
      <c r="H20" s="67">
        <f t="shared" si="6"/>
        <v>28</v>
      </c>
      <c r="I20" s="67">
        <f t="shared" si="6"/>
        <v>0</v>
      </c>
      <c r="J20" s="42">
        <f t="shared" si="6"/>
        <v>40</v>
      </c>
      <c r="K20" s="42">
        <f t="shared" si="6"/>
        <v>0</v>
      </c>
      <c r="L20" s="42">
        <f t="shared" si="6"/>
        <v>0</v>
      </c>
      <c r="M20" s="67">
        <f t="shared" si="6"/>
        <v>0</v>
      </c>
      <c r="N20" s="67">
        <f t="shared" si="6"/>
        <v>0</v>
      </c>
      <c r="O20" s="67">
        <f t="shared" si="6"/>
        <v>0</v>
      </c>
      <c r="P20" s="67">
        <f t="shared" si="6"/>
        <v>0</v>
      </c>
      <c r="Q20" s="42">
        <f t="shared" si="6"/>
        <v>0</v>
      </c>
      <c r="R20" s="42">
        <f t="shared" si="6"/>
        <v>0</v>
      </c>
      <c r="S20" s="43"/>
      <c r="T20" s="44"/>
      <c r="U20" s="89"/>
      <c r="V20" s="89"/>
      <c r="W20" s="82"/>
    </row>
    <row r="21" spans="2:23" ht="37.5" thickTop="1" thickBot="1" x14ac:dyDescent="0.3">
      <c r="B21" s="100"/>
      <c r="C21" s="97"/>
      <c r="D21" s="90"/>
      <c r="E21" s="35" t="s">
        <v>6</v>
      </c>
      <c r="F21" s="69">
        <f t="shared" ref="F21:K21" si="7">SUM(F17*F20)</f>
        <v>308</v>
      </c>
      <c r="G21" s="69">
        <f t="shared" si="7"/>
        <v>312</v>
      </c>
      <c r="H21" s="69">
        <f t="shared" si="7"/>
        <v>112</v>
      </c>
      <c r="I21" s="69">
        <f t="shared" si="7"/>
        <v>0</v>
      </c>
      <c r="J21" s="36">
        <f t="shared" si="7"/>
        <v>120</v>
      </c>
      <c r="K21" s="36">
        <f t="shared" si="7"/>
        <v>0</v>
      </c>
      <c r="L21" s="36">
        <f t="shared" ref="L21:R21" si="8">SUM(L17*L20)</f>
        <v>0</v>
      </c>
      <c r="M21" s="69">
        <f t="shared" si="8"/>
        <v>0</v>
      </c>
      <c r="N21" s="69">
        <f t="shared" si="8"/>
        <v>0</v>
      </c>
      <c r="O21" s="69">
        <f t="shared" si="8"/>
        <v>0</v>
      </c>
      <c r="P21" s="69">
        <f t="shared" si="8"/>
        <v>0</v>
      </c>
      <c r="Q21" s="36">
        <f t="shared" si="8"/>
        <v>0</v>
      </c>
      <c r="R21" s="36">
        <f t="shared" si="8"/>
        <v>0</v>
      </c>
      <c r="S21" s="45">
        <f>SUM(F21:R21)</f>
        <v>852</v>
      </c>
      <c r="T21" s="46">
        <f>SUM(S21/S17)</f>
        <v>56.8</v>
      </c>
      <c r="U21" s="90"/>
      <c r="V21" s="90"/>
      <c r="W21" s="83"/>
    </row>
    <row r="22" spans="2:23" ht="20.25" thickTop="1" thickBot="1" x14ac:dyDescent="0.35">
      <c r="B22" s="98">
        <v>-4</v>
      </c>
      <c r="C22" s="96" t="s">
        <v>65</v>
      </c>
      <c r="D22" s="88" t="s">
        <v>91</v>
      </c>
      <c r="E22" s="10" t="s">
        <v>5</v>
      </c>
      <c r="F22" s="37">
        <f>IF(IF(F25=0,0,4),4,0)</f>
        <v>4</v>
      </c>
      <c r="G22" s="37">
        <f>IF(IF(G25=0,0,4),4,0)</f>
        <v>4</v>
      </c>
      <c r="H22" s="37">
        <f>IF(IF(H25=0,0,4),4,0)</f>
        <v>4</v>
      </c>
      <c r="I22" s="37">
        <f>IF(IF(I25=0,0,3),3,0)</f>
        <v>0</v>
      </c>
      <c r="J22" s="37">
        <f>IF(IF(J25=0,0,3),3,0)</f>
        <v>3</v>
      </c>
      <c r="K22" s="37">
        <f>IF(IF(K25=0,0,3),3,0)</f>
        <v>0</v>
      </c>
      <c r="L22" s="37">
        <f>IF(IF(L25=0,0,2),2,0)</f>
        <v>0</v>
      </c>
      <c r="M22" s="37">
        <f>IF(IF(M25=0,0,3),3,0)</f>
        <v>0</v>
      </c>
      <c r="N22" s="37">
        <f>IF(IF(N25=0,0,4),4,0)</f>
        <v>0</v>
      </c>
      <c r="O22" s="37">
        <f>IF(IF(O25=0,0,4),4,0)</f>
        <v>0</v>
      </c>
      <c r="P22" s="37">
        <f>IF(IF(P25=0,0,3),3,0)</f>
        <v>0</v>
      </c>
      <c r="Q22" s="37">
        <f>IF(IF(Q25=0,0,3),3,0)</f>
        <v>0</v>
      </c>
      <c r="R22" s="37">
        <f>IF(IF(R25=0,0,2),2,0)</f>
        <v>0</v>
      </c>
      <c r="S22" s="37">
        <f>SUM(F22:R22)</f>
        <v>15</v>
      </c>
      <c r="T22" s="38"/>
      <c r="U22" s="95"/>
      <c r="V22" s="95"/>
      <c r="W22" s="81"/>
    </row>
    <row r="23" spans="2:23" ht="19.5" thickTop="1" thickBot="1" x14ac:dyDescent="0.3">
      <c r="B23" s="99"/>
      <c r="C23" s="76"/>
      <c r="D23" s="89"/>
      <c r="E23" s="33" t="s">
        <v>97</v>
      </c>
      <c r="F23" s="70">
        <v>27</v>
      </c>
      <c r="G23" s="70">
        <v>32</v>
      </c>
      <c r="H23" s="70">
        <v>34</v>
      </c>
      <c r="I23" s="66">
        <v>0</v>
      </c>
      <c r="J23" s="40">
        <v>38</v>
      </c>
      <c r="K23" s="40">
        <v>0</v>
      </c>
      <c r="L23" s="39"/>
      <c r="M23" s="39"/>
      <c r="N23" s="39"/>
      <c r="O23" s="40"/>
      <c r="P23" s="40"/>
      <c r="Q23" s="40"/>
      <c r="R23" s="40"/>
      <c r="S23" s="40"/>
      <c r="T23" s="41"/>
      <c r="U23" s="89"/>
      <c r="V23" s="89"/>
      <c r="W23" s="82"/>
    </row>
    <row r="24" spans="2:23" ht="19.5" thickTop="1" thickBot="1" x14ac:dyDescent="0.3">
      <c r="B24" s="99"/>
      <c r="C24" s="76"/>
      <c r="D24" s="89"/>
      <c r="E24" s="30" t="s">
        <v>3</v>
      </c>
      <c r="F24" s="67">
        <v>30</v>
      </c>
      <c r="G24" s="67">
        <v>50</v>
      </c>
      <c r="H24" s="67">
        <v>0</v>
      </c>
      <c r="I24" s="67">
        <v>0</v>
      </c>
      <c r="J24" s="42">
        <v>0</v>
      </c>
      <c r="K24" s="42">
        <v>0</v>
      </c>
      <c r="L24" s="42"/>
      <c r="M24" s="42"/>
      <c r="N24" s="42"/>
      <c r="O24" s="42"/>
      <c r="P24" s="42"/>
      <c r="Q24" s="42"/>
      <c r="R24" s="42"/>
      <c r="S24" s="43"/>
      <c r="T24" s="44"/>
      <c r="U24" s="89"/>
      <c r="V24" s="89"/>
      <c r="W24" s="82"/>
    </row>
    <row r="25" spans="2:23" ht="19.5" thickTop="1" thickBot="1" x14ac:dyDescent="0.3">
      <c r="B25" s="99"/>
      <c r="C25" s="76"/>
      <c r="D25" s="89"/>
      <c r="E25" s="31" t="s">
        <v>4</v>
      </c>
      <c r="F25" s="67">
        <f t="shared" ref="F25:R25" si="9">IF(F24&lt;30,F23,F23+F24)</f>
        <v>57</v>
      </c>
      <c r="G25" s="42">
        <f t="shared" si="9"/>
        <v>82</v>
      </c>
      <c r="H25" s="42">
        <f t="shared" si="9"/>
        <v>34</v>
      </c>
      <c r="I25" s="42">
        <f t="shared" si="9"/>
        <v>0</v>
      </c>
      <c r="J25" s="42">
        <f t="shared" si="9"/>
        <v>38</v>
      </c>
      <c r="K25" s="42">
        <f t="shared" si="9"/>
        <v>0</v>
      </c>
      <c r="L25" s="42">
        <f t="shared" si="9"/>
        <v>0</v>
      </c>
      <c r="M25" s="42">
        <f>IF(M24&lt;30,M23,M23+M24)</f>
        <v>0</v>
      </c>
      <c r="N25" s="42">
        <f t="shared" si="9"/>
        <v>0</v>
      </c>
      <c r="O25" s="42">
        <f t="shared" si="9"/>
        <v>0</v>
      </c>
      <c r="P25" s="42">
        <f t="shared" si="9"/>
        <v>0</v>
      </c>
      <c r="Q25" s="42">
        <f t="shared" si="9"/>
        <v>0</v>
      </c>
      <c r="R25" s="42">
        <f t="shared" si="9"/>
        <v>0</v>
      </c>
      <c r="S25" s="43"/>
      <c r="T25" s="44"/>
      <c r="U25" s="89"/>
      <c r="V25" s="89"/>
      <c r="W25" s="82"/>
    </row>
    <row r="26" spans="2:23" ht="37.5" thickTop="1" thickBot="1" x14ac:dyDescent="0.3">
      <c r="B26" s="100"/>
      <c r="C26" s="97"/>
      <c r="D26" s="90"/>
      <c r="E26" s="35" t="s">
        <v>6</v>
      </c>
      <c r="F26" s="69">
        <f t="shared" ref="F26:R26" si="10">SUM(F22*F25)</f>
        <v>228</v>
      </c>
      <c r="G26" s="36">
        <f t="shared" si="10"/>
        <v>328</v>
      </c>
      <c r="H26" s="36">
        <f t="shared" si="10"/>
        <v>136</v>
      </c>
      <c r="I26" s="36">
        <f t="shared" si="10"/>
        <v>0</v>
      </c>
      <c r="J26" s="36">
        <f t="shared" si="10"/>
        <v>114</v>
      </c>
      <c r="K26" s="36">
        <f t="shared" si="10"/>
        <v>0</v>
      </c>
      <c r="L26" s="36">
        <f t="shared" si="10"/>
        <v>0</v>
      </c>
      <c r="M26" s="69">
        <f t="shared" si="10"/>
        <v>0</v>
      </c>
      <c r="N26" s="36">
        <f t="shared" si="10"/>
        <v>0</v>
      </c>
      <c r="O26" s="36">
        <f t="shared" si="10"/>
        <v>0</v>
      </c>
      <c r="P26" s="36">
        <f t="shared" si="10"/>
        <v>0</v>
      </c>
      <c r="Q26" s="36">
        <f t="shared" si="10"/>
        <v>0</v>
      </c>
      <c r="R26" s="36">
        <f t="shared" si="10"/>
        <v>0</v>
      </c>
      <c r="S26" s="45">
        <f>SUM(F26:R26)</f>
        <v>806</v>
      </c>
      <c r="T26" s="46">
        <f>SUM(S26/S22)</f>
        <v>53.733333333333334</v>
      </c>
      <c r="U26" s="90"/>
      <c r="V26" s="90"/>
      <c r="W26" s="83"/>
    </row>
    <row r="27" spans="2:23" ht="20.25" thickTop="1" thickBot="1" x14ac:dyDescent="0.35">
      <c r="B27" s="98">
        <v>-5</v>
      </c>
      <c r="C27" s="96" t="s">
        <v>66</v>
      </c>
      <c r="D27" s="88" t="s">
        <v>96</v>
      </c>
      <c r="E27" s="10" t="s">
        <v>5</v>
      </c>
      <c r="F27" s="37">
        <f>IF(IF(F30=0,0,4),4,0)</f>
        <v>4</v>
      </c>
      <c r="G27" s="37">
        <f>IF(IF(G30=0,0,4),4,0)</f>
        <v>4</v>
      </c>
      <c r="H27" s="37">
        <f>IF(IF(H30=0,0,4),4,0)</f>
        <v>4</v>
      </c>
      <c r="I27" s="37">
        <f>IF(IF(I30=0,0,3),3,0)</f>
        <v>0</v>
      </c>
      <c r="J27" s="37">
        <f>IF(IF(J30=0,0,3),3,0)</f>
        <v>3</v>
      </c>
      <c r="K27" s="37">
        <f>IF(IF(K30=0,0,3),3,0)</f>
        <v>0</v>
      </c>
      <c r="L27" s="37">
        <f>IF(IF(L30=0,0,2),2,0)</f>
        <v>0</v>
      </c>
      <c r="M27" s="37">
        <f>IF(IF(M30=0,0,3),3,0)</f>
        <v>0</v>
      </c>
      <c r="N27" s="37">
        <f>IF(IF(N30=0,0,4),4,0)</f>
        <v>0</v>
      </c>
      <c r="O27" s="37">
        <f>IF(IF(O30=0,0,4),4,0)</f>
        <v>0</v>
      </c>
      <c r="P27" s="37">
        <f>IF(IF(P30=0,0,3),3,0)</f>
        <v>0</v>
      </c>
      <c r="Q27" s="37">
        <f>IF(IF(Q30=0,0,3),3,0)</f>
        <v>0</v>
      </c>
      <c r="R27" s="37">
        <f>IF(IF(R30=0,0,2),2,0)</f>
        <v>0</v>
      </c>
      <c r="S27" s="37">
        <f>SUM(F27:R27)</f>
        <v>15</v>
      </c>
      <c r="T27" s="38"/>
      <c r="U27" s="95"/>
      <c r="V27" s="95"/>
      <c r="W27" s="81"/>
    </row>
    <row r="28" spans="2:23" ht="19.5" thickTop="1" thickBot="1" x14ac:dyDescent="0.3">
      <c r="B28" s="99"/>
      <c r="C28" s="76"/>
      <c r="D28" s="89"/>
      <c r="E28" s="33" t="s">
        <v>97</v>
      </c>
      <c r="F28" s="70">
        <v>29</v>
      </c>
      <c r="G28" s="70">
        <v>33</v>
      </c>
      <c r="H28" s="70">
        <v>34</v>
      </c>
      <c r="I28" s="66">
        <v>0</v>
      </c>
      <c r="J28" s="40">
        <v>31</v>
      </c>
      <c r="K28" s="40">
        <v>0</v>
      </c>
      <c r="L28" s="39"/>
      <c r="M28" s="39"/>
      <c r="N28" s="39"/>
      <c r="O28" s="40"/>
      <c r="P28" s="66">
        <v>0</v>
      </c>
      <c r="Q28" s="40"/>
      <c r="R28" s="40"/>
      <c r="S28" s="40"/>
      <c r="T28" s="41"/>
      <c r="U28" s="89"/>
      <c r="V28" s="89"/>
      <c r="W28" s="82"/>
    </row>
    <row r="29" spans="2:23" ht="19.5" thickTop="1" thickBot="1" x14ac:dyDescent="0.3">
      <c r="B29" s="99"/>
      <c r="C29" s="76"/>
      <c r="D29" s="89"/>
      <c r="E29" s="30" t="s">
        <v>3</v>
      </c>
      <c r="F29" s="67">
        <v>40</v>
      </c>
      <c r="G29" s="67">
        <v>48</v>
      </c>
      <c r="H29" s="67">
        <v>0</v>
      </c>
      <c r="I29" s="67">
        <v>0</v>
      </c>
      <c r="J29" s="42">
        <v>0</v>
      </c>
      <c r="K29" s="42">
        <v>0</v>
      </c>
      <c r="L29" s="42"/>
      <c r="M29" s="42"/>
      <c r="N29" s="42"/>
      <c r="O29" s="42"/>
      <c r="P29" s="67">
        <v>0</v>
      </c>
      <c r="Q29" s="42"/>
      <c r="R29" s="42"/>
      <c r="S29" s="43"/>
      <c r="T29" s="44"/>
      <c r="U29" s="89"/>
      <c r="V29" s="89"/>
      <c r="W29" s="82"/>
    </row>
    <row r="30" spans="2:23" ht="19.5" thickTop="1" thickBot="1" x14ac:dyDescent="0.3">
      <c r="B30" s="99"/>
      <c r="C30" s="76"/>
      <c r="D30" s="89"/>
      <c r="E30" s="31" t="s">
        <v>4</v>
      </c>
      <c r="F30" s="67">
        <f t="shared" ref="F30:R30" si="11">IF(F29&lt;30,F28,F28+F29)</f>
        <v>69</v>
      </c>
      <c r="G30" s="67">
        <f t="shared" si="11"/>
        <v>81</v>
      </c>
      <c r="H30" s="67">
        <f t="shared" si="11"/>
        <v>34</v>
      </c>
      <c r="I30" s="67">
        <f t="shared" si="11"/>
        <v>0</v>
      </c>
      <c r="J30" s="42">
        <f t="shared" si="11"/>
        <v>31</v>
      </c>
      <c r="K30" s="42">
        <f t="shared" si="11"/>
        <v>0</v>
      </c>
      <c r="L30" s="42">
        <f t="shared" si="11"/>
        <v>0</v>
      </c>
      <c r="M30" s="42">
        <f t="shared" si="11"/>
        <v>0</v>
      </c>
      <c r="N30" s="42">
        <f t="shared" si="11"/>
        <v>0</v>
      </c>
      <c r="O30" s="42">
        <f t="shared" si="11"/>
        <v>0</v>
      </c>
      <c r="P30" s="67">
        <f t="shared" si="11"/>
        <v>0</v>
      </c>
      <c r="Q30" s="42">
        <f t="shared" si="11"/>
        <v>0</v>
      </c>
      <c r="R30" s="42">
        <f t="shared" si="11"/>
        <v>0</v>
      </c>
      <c r="S30" s="43"/>
      <c r="T30" s="44"/>
      <c r="U30" s="89"/>
      <c r="V30" s="89"/>
      <c r="W30" s="82"/>
    </row>
    <row r="31" spans="2:23" ht="37.5" thickTop="1" thickBot="1" x14ac:dyDescent="0.3">
      <c r="B31" s="100"/>
      <c r="C31" s="97"/>
      <c r="D31" s="90"/>
      <c r="E31" s="32" t="s">
        <v>6</v>
      </c>
      <c r="F31" s="69">
        <f t="shared" ref="F31:K31" si="12">SUM(F27*F30)</f>
        <v>276</v>
      </c>
      <c r="G31" s="69">
        <f t="shared" si="12"/>
        <v>324</v>
      </c>
      <c r="H31" s="69">
        <f t="shared" si="12"/>
        <v>136</v>
      </c>
      <c r="I31" s="69">
        <f t="shared" si="12"/>
        <v>0</v>
      </c>
      <c r="J31" s="36">
        <f t="shared" si="12"/>
        <v>93</v>
      </c>
      <c r="K31" s="36">
        <f t="shared" si="12"/>
        <v>0</v>
      </c>
      <c r="L31" s="36">
        <f t="shared" ref="L31:R31" si="13">SUM(L27*L30)</f>
        <v>0</v>
      </c>
      <c r="M31" s="36">
        <f t="shared" si="13"/>
        <v>0</v>
      </c>
      <c r="N31" s="36">
        <f t="shared" si="13"/>
        <v>0</v>
      </c>
      <c r="O31" s="36">
        <f t="shared" si="13"/>
        <v>0</v>
      </c>
      <c r="P31" s="69">
        <f t="shared" si="13"/>
        <v>0</v>
      </c>
      <c r="Q31" s="36">
        <f t="shared" si="13"/>
        <v>0</v>
      </c>
      <c r="R31" s="36">
        <f t="shared" si="13"/>
        <v>0</v>
      </c>
      <c r="S31" s="45">
        <f>SUM(F31:R31)</f>
        <v>829</v>
      </c>
      <c r="T31" s="46">
        <f>SUM(S31/S27)</f>
        <v>55.266666666666666</v>
      </c>
      <c r="U31" s="90"/>
      <c r="V31" s="90"/>
      <c r="W31" s="83"/>
    </row>
    <row r="32" spans="2:23" ht="20.25" thickTop="1" thickBot="1" x14ac:dyDescent="0.35">
      <c r="B32" s="98">
        <v>-6</v>
      </c>
      <c r="C32" s="96"/>
      <c r="D32" s="89"/>
      <c r="E32" s="10" t="s">
        <v>5</v>
      </c>
      <c r="F32" s="37">
        <f>IF(IF(F35=0,0,4),4,0)</f>
        <v>0</v>
      </c>
      <c r="G32" s="37">
        <f>IF(IF(G35=0,0,4),4,0)</f>
        <v>0</v>
      </c>
      <c r="H32" s="37">
        <f>IF(IF(H35=0,0,4),4,0)</f>
        <v>0</v>
      </c>
      <c r="I32" s="37">
        <f>IF(IF(I35=0,0,3),3,0)</f>
        <v>0</v>
      </c>
      <c r="J32" s="37">
        <f>IF(IF(J35=0,0,3),3,0)</f>
        <v>0</v>
      </c>
      <c r="K32" s="37">
        <f>IF(IF(K35=0,0,3),3,0)</f>
        <v>0</v>
      </c>
      <c r="L32" s="37">
        <f>IF(IF(L35=0,0,2),2,0)</f>
        <v>0</v>
      </c>
      <c r="M32" s="37">
        <f>IF(IF(M35=0,0,3),3,0)</f>
        <v>0</v>
      </c>
      <c r="N32" s="37">
        <f>IF(IF(N35=0,0,4),4,0)</f>
        <v>0</v>
      </c>
      <c r="O32" s="37">
        <f>IF(IF(O35=0,0,4),4,0)</f>
        <v>0</v>
      </c>
      <c r="P32" s="37">
        <f>IF(IF(P35=0,0,3),3,0)</f>
        <v>0</v>
      </c>
      <c r="Q32" s="37">
        <f>IF(IF(Q35=0,0,3),3,0)</f>
        <v>0</v>
      </c>
      <c r="R32" s="37">
        <f>IF(IF(R35=0,0,2),2,0)</f>
        <v>0</v>
      </c>
      <c r="S32" s="37">
        <f>SUM(F32:R32)</f>
        <v>0</v>
      </c>
      <c r="T32" s="38"/>
      <c r="U32" s="95"/>
      <c r="V32" s="95"/>
      <c r="W32" s="81"/>
    </row>
    <row r="33" spans="2:23" ht="19.5" thickTop="1" thickBot="1" x14ac:dyDescent="0.3">
      <c r="B33" s="99"/>
      <c r="C33" s="76"/>
      <c r="D33" s="89"/>
      <c r="E33" s="33" t="s">
        <v>97</v>
      </c>
      <c r="F33" s="70">
        <v>0</v>
      </c>
      <c r="G33" s="70">
        <v>0</v>
      </c>
      <c r="H33" s="70">
        <v>0</v>
      </c>
      <c r="I33" s="66">
        <v>0</v>
      </c>
      <c r="J33" s="40">
        <v>0</v>
      </c>
      <c r="K33" s="40">
        <v>0</v>
      </c>
      <c r="L33" s="39"/>
      <c r="M33" s="39"/>
      <c r="N33" s="39"/>
      <c r="O33" s="40"/>
      <c r="P33" s="40"/>
      <c r="Q33" s="40"/>
      <c r="R33" s="40"/>
      <c r="S33" s="40"/>
      <c r="T33" s="41"/>
      <c r="U33" s="89"/>
      <c r="V33" s="89"/>
      <c r="W33" s="82"/>
    </row>
    <row r="34" spans="2:23" ht="19.5" thickTop="1" thickBot="1" x14ac:dyDescent="0.3">
      <c r="B34" s="99"/>
      <c r="C34" s="76"/>
      <c r="D34" s="89"/>
      <c r="E34" s="30" t="s">
        <v>3</v>
      </c>
      <c r="F34" s="67">
        <v>0</v>
      </c>
      <c r="G34" s="67">
        <v>0</v>
      </c>
      <c r="H34" s="67">
        <v>0</v>
      </c>
      <c r="I34" s="67">
        <v>0</v>
      </c>
      <c r="J34" s="42">
        <v>0</v>
      </c>
      <c r="K34" s="42">
        <v>0</v>
      </c>
      <c r="L34" s="42"/>
      <c r="M34" s="42"/>
      <c r="N34" s="42"/>
      <c r="O34" s="42"/>
      <c r="P34" s="42"/>
      <c r="Q34" s="42"/>
      <c r="R34" s="42"/>
      <c r="S34" s="43"/>
      <c r="T34" s="44"/>
      <c r="U34" s="89"/>
      <c r="V34" s="89"/>
      <c r="W34" s="82"/>
    </row>
    <row r="35" spans="2:23" ht="19.5" thickTop="1" thickBot="1" x14ac:dyDescent="0.3">
      <c r="B35" s="99"/>
      <c r="C35" s="76"/>
      <c r="D35" s="89"/>
      <c r="E35" s="31" t="s">
        <v>4</v>
      </c>
      <c r="F35" s="42">
        <f t="shared" ref="F35:R35" si="14">IF(F34&lt;30,F33,F33+F34)</f>
        <v>0</v>
      </c>
      <c r="G35" s="42">
        <f t="shared" si="14"/>
        <v>0</v>
      </c>
      <c r="H35" s="42">
        <f t="shared" si="14"/>
        <v>0</v>
      </c>
      <c r="I35" s="42">
        <f t="shared" si="14"/>
        <v>0</v>
      </c>
      <c r="J35" s="42">
        <f t="shared" si="14"/>
        <v>0</v>
      </c>
      <c r="K35" s="42">
        <f t="shared" si="14"/>
        <v>0</v>
      </c>
      <c r="L35" s="42">
        <f t="shared" si="14"/>
        <v>0</v>
      </c>
      <c r="M35" s="42">
        <f t="shared" si="14"/>
        <v>0</v>
      </c>
      <c r="N35" s="42">
        <f t="shared" si="14"/>
        <v>0</v>
      </c>
      <c r="O35" s="42">
        <f t="shared" si="14"/>
        <v>0</v>
      </c>
      <c r="P35" s="42">
        <f t="shared" si="14"/>
        <v>0</v>
      </c>
      <c r="Q35" s="42">
        <f t="shared" si="14"/>
        <v>0</v>
      </c>
      <c r="R35" s="42">
        <f t="shared" si="14"/>
        <v>0</v>
      </c>
      <c r="S35" s="43"/>
      <c r="T35" s="44"/>
      <c r="U35" s="89"/>
      <c r="V35" s="89"/>
      <c r="W35" s="82"/>
    </row>
    <row r="36" spans="2:23" ht="37.5" thickTop="1" thickBot="1" x14ac:dyDescent="0.3">
      <c r="B36" s="100"/>
      <c r="C36" s="97"/>
      <c r="D36" s="90"/>
      <c r="E36" s="32" t="s">
        <v>6</v>
      </c>
      <c r="F36" s="47">
        <f t="shared" ref="F36:K36" si="15">SUM(F32*F35)</f>
        <v>0</v>
      </c>
      <c r="G36" s="47">
        <f t="shared" si="15"/>
        <v>0</v>
      </c>
      <c r="H36" s="47">
        <f t="shared" si="15"/>
        <v>0</v>
      </c>
      <c r="I36" s="47">
        <f t="shared" si="15"/>
        <v>0</v>
      </c>
      <c r="J36" s="47">
        <f t="shared" si="15"/>
        <v>0</v>
      </c>
      <c r="K36" s="47">
        <f t="shared" si="15"/>
        <v>0</v>
      </c>
      <c r="L36" s="47">
        <f t="shared" ref="L36:R36" si="16">SUM(L32*L35)</f>
        <v>0</v>
      </c>
      <c r="M36" s="47">
        <f t="shared" si="16"/>
        <v>0</v>
      </c>
      <c r="N36" s="47">
        <f t="shared" si="16"/>
        <v>0</v>
      </c>
      <c r="O36" s="47">
        <f t="shared" si="16"/>
        <v>0</v>
      </c>
      <c r="P36" s="47">
        <f t="shared" si="16"/>
        <v>0</v>
      </c>
      <c r="Q36" s="47">
        <f t="shared" si="16"/>
        <v>0</v>
      </c>
      <c r="R36" s="47">
        <f t="shared" si="16"/>
        <v>0</v>
      </c>
      <c r="S36" s="48">
        <f>SUM(F36:R36)</f>
        <v>0</v>
      </c>
      <c r="T36" s="47" t="e">
        <f>SUM(S36/S32)</f>
        <v>#DIV/0!</v>
      </c>
      <c r="U36" s="90"/>
      <c r="V36" s="90"/>
      <c r="W36" s="83"/>
    </row>
    <row r="37" spans="2:23" ht="20.25" thickTop="1" thickBot="1" x14ac:dyDescent="0.35">
      <c r="B37" s="98">
        <v>-7</v>
      </c>
      <c r="C37" s="96"/>
      <c r="D37" s="89"/>
      <c r="E37" s="10" t="s">
        <v>5</v>
      </c>
      <c r="F37" s="37">
        <f>IF(IF(F40=0,0,4),4,0)</f>
        <v>0</v>
      </c>
      <c r="G37" s="37">
        <f>IF(IF(G40=0,0,4),4,0)</f>
        <v>0</v>
      </c>
      <c r="H37" s="37">
        <f>IF(IF(H40=0,0,4),4,0)</f>
        <v>0</v>
      </c>
      <c r="I37" s="37">
        <f>IF(IF(I40=0,0,3),3,0)</f>
        <v>0</v>
      </c>
      <c r="J37" s="37">
        <f>IF(IF(J40=0,0,3),3,0)</f>
        <v>0</v>
      </c>
      <c r="K37" s="37">
        <f>IF(IF(K40=0,0,3),3,0)</f>
        <v>0</v>
      </c>
      <c r="L37" s="37">
        <f>IF(IF(L40=0,0,2),2,0)</f>
        <v>0</v>
      </c>
      <c r="M37" s="37">
        <f>IF(IF(M40=0,0,3),3,0)</f>
        <v>0</v>
      </c>
      <c r="N37" s="37">
        <f>IF(IF(N40=0,0,4),4,0)</f>
        <v>0</v>
      </c>
      <c r="O37" s="37">
        <f>IF(IF(O40=0,0,4),4,0)</f>
        <v>0</v>
      </c>
      <c r="P37" s="37">
        <f>IF(IF(P40=0,0,3),3,0)</f>
        <v>0</v>
      </c>
      <c r="Q37" s="37">
        <f>IF(IF(Q40=0,0,3),3,0)</f>
        <v>0</v>
      </c>
      <c r="R37" s="37">
        <f>IF(IF(R40=0,0,2),2,0)</f>
        <v>0</v>
      </c>
      <c r="S37" s="37">
        <f>SUM(F37:R37)</f>
        <v>0</v>
      </c>
      <c r="T37" s="38"/>
      <c r="U37" s="95"/>
      <c r="V37" s="95"/>
      <c r="W37" s="81"/>
    </row>
    <row r="38" spans="2:23" ht="19.5" thickTop="1" thickBot="1" x14ac:dyDescent="0.3">
      <c r="B38" s="99"/>
      <c r="C38" s="76"/>
      <c r="D38" s="89"/>
      <c r="E38" s="33" t="s">
        <v>97</v>
      </c>
      <c r="F38" s="70">
        <v>0</v>
      </c>
      <c r="G38" s="70">
        <v>0</v>
      </c>
      <c r="H38" s="70">
        <v>0</v>
      </c>
      <c r="I38" s="66">
        <v>0</v>
      </c>
      <c r="J38" s="40">
        <v>0</v>
      </c>
      <c r="K38" s="40">
        <v>0</v>
      </c>
      <c r="L38" s="39"/>
      <c r="M38" s="39"/>
      <c r="N38" s="39"/>
      <c r="O38" s="66"/>
      <c r="P38" s="66">
        <v>0</v>
      </c>
      <c r="Q38" s="40"/>
      <c r="R38" s="40"/>
      <c r="S38" s="40"/>
      <c r="T38" s="41"/>
      <c r="U38" s="89"/>
      <c r="V38" s="89"/>
      <c r="W38" s="82"/>
    </row>
    <row r="39" spans="2:23" ht="19.5" thickTop="1" thickBot="1" x14ac:dyDescent="0.3">
      <c r="B39" s="99"/>
      <c r="C39" s="76"/>
      <c r="D39" s="89"/>
      <c r="E39" s="30" t="s">
        <v>3</v>
      </c>
      <c r="F39" s="67">
        <v>0</v>
      </c>
      <c r="G39" s="67">
        <v>0</v>
      </c>
      <c r="H39" s="67">
        <v>0</v>
      </c>
      <c r="I39" s="67">
        <v>0</v>
      </c>
      <c r="J39" s="42">
        <v>0</v>
      </c>
      <c r="K39" s="42">
        <v>0</v>
      </c>
      <c r="L39" s="42"/>
      <c r="M39" s="42"/>
      <c r="N39" s="42"/>
      <c r="O39" s="67"/>
      <c r="P39" s="67">
        <v>0</v>
      </c>
      <c r="Q39" s="42"/>
      <c r="R39" s="42"/>
      <c r="S39" s="43"/>
      <c r="T39" s="44"/>
      <c r="U39" s="89"/>
      <c r="V39" s="89"/>
      <c r="W39" s="82"/>
    </row>
    <row r="40" spans="2:23" ht="19.5" thickTop="1" thickBot="1" x14ac:dyDescent="0.3">
      <c r="B40" s="99"/>
      <c r="C40" s="76"/>
      <c r="D40" s="89"/>
      <c r="E40" s="31" t="s">
        <v>4</v>
      </c>
      <c r="F40" s="42">
        <f t="shared" ref="F40:R40" si="17">IF(F39&lt;30,F38,F38+F39)</f>
        <v>0</v>
      </c>
      <c r="G40" s="42">
        <f t="shared" si="17"/>
        <v>0</v>
      </c>
      <c r="H40" s="42">
        <f t="shared" si="17"/>
        <v>0</v>
      </c>
      <c r="I40" s="42">
        <f t="shared" si="17"/>
        <v>0</v>
      </c>
      <c r="J40" s="42">
        <f t="shared" si="17"/>
        <v>0</v>
      </c>
      <c r="K40" s="42">
        <f t="shared" si="17"/>
        <v>0</v>
      </c>
      <c r="L40" s="42">
        <f t="shared" si="17"/>
        <v>0</v>
      </c>
      <c r="M40" s="42">
        <f t="shared" si="17"/>
        <v>0</v>
      </c>
      <c r="N40" s="42">
        <f t="shared" si="17"/>
        <v>0</v>
      </c>
      <c r="O40" s="67">
        <f t="shared" si="17"/>
        <v>0</v>
      </c>
      <c r="P40" s="67">
        <f t="shared" si="17"/>
        <v>0</v>
      </c>
      <c r="Q40" s="42">
        <f t="shared" si="17"/>
        <v>0</v>
      </c>
      <c r="R40" s="42">
        <f t="shared" si="17"/>
        <v>0</v>
      </c>
      <c r="S40" s="43"/>
      <c r="T40" s="44"/>
      <c r="U40" s="89"/>
      <c r="V40" s="89"/>
      <c r="W40" s="82"/>
    </row>
    <row r="41" spans="2:23" ht="37.5" thickTop="1" thickBot="1" x14ac:dyDescent="0.3">
      <c r="B41" s="100"/>
      <c r="C41" s="97"/>
      <c r="D41" s="90"/>
      <c r="E41" s="32" t="s">
        <v>6</v>
      </c>
      <c r="F41" s="47">
        <f t="shared" ref="F41:K41" si="18">SUM(F37*F40)</f>
        <v>0</v>
      </c>
      <c r="G41" s="47">
        <f t="shared" si="18"/>
        <v>0</v>
      </c>
      <c r="H41" s="47">
        <f t="shared" si="18"/>
        <v>0</v>
      </c>
      <c r="I41" s="47">
        <f t="shared" si="18"/>
        <v>0</v>
      </c>
      <c r="J41" s="47">
        <f t="shared" si="18"/>
        <v>0</v>
      </c>
      <c r="K41" s="47">
        <f t="shared" si="18"/>
        <v>0</v>
      </c>
      <c r="L41" s="47">
        <f t="shared" ref="L41:R41" si="19">SUM(L37*L40)</f>
        <v>0</v>
      </c>
      <c r="M41" s="47">
        <f t="shared" si="19"/>
        <v>0</v>
      </c>
      <c r="N41" s="47">
        <f t="shared" si="19"/>
        <v>0</v>
      </c>
      <c r="O41" s="68">
        <f t="shared" si="19"/>
        <v>0</v>
      </c>
      <c r="P41" s="68">
        <f t="shared" si="19"/>
        <v>0</v>
      </c>
      <c r="Q41" s="47">
        <f t="shared" si="19"/>
        <v>0</v>
      </c>
      <c r="R41" s="47">
        <f t="shared" si="19"/>
        <v>0</v>
      </c>
      <c r="S41" s="48">
        <f>SUM(F41:R41)</f>
        <v>0</v>
      </c>
      <c r="T41" s="47" t="e">
        <f>SUM(S41/S37)</f>
        <v>#DIV/0!</v>
      </c>
      <c r="U41" s="90"/>
      <c r="V41" s="90"/>
      <c r="W41" s="83"/>
    </row>
    <row r="42" spans="2:23" ht="13.5" thickTop="1" x14ac:dyDescent="0.2"/>
  </sheetData>
  <mergeCells count="51">
    <mergeCell ref="B37:B41"/>
    <mergeCell ref="C37:C41"/>
    <mergeCell ref="D37:D41"/>
    <mergeCell ref="U37:U41"/>
    <mergeCell ref="V37:V41"/>
    <mergeCell ref="W37:W41"/>
    <mergeCell ref="B32:B36"/>
    <mergeCell ref="C32:C36"/>
    <mergeCell ref="D32:D36"/>
    <mergeCell ref="U32:U36"/>
    <mergeCell ref="V32:V36"/>
    <mergeCell ref="W32:W36"/>
    <mergeCell ref="B27:B31"/>
    <mergeCell ref="C27:C31"/>
    <mergeCell ref="D27:D31"/>
    <mergeCell ref="U27:U31"/>
    <mergeCell ref="V27:V31"/>
    <mergeCell ref="W27:W31"/>
    <mergeCell ref="B22:B26"/>
    <mergeCell ref="C22:C26"/>
    <mergeCell ref="D22:D26"/>
    <mergeCell ref="U22:U26"/>
    <mergeCell ref="V22:V26"/>
    <mergeCell ref="W22:W26"/>
    <mergeCell ref="B17:B21"/>
    <mergeCell ref="C17:C21"/>
    <mergeCell ref="D17:D21"/>
    <mergeCell ref="U17:U21"/>
    <mergeCell ref="V17:V21"/>
    <mergeCell ref="W17:W21"/>
    <mergeCell ref="W7:W11"/>
    <mergeCell ref="B12:B16"/>
    <mergeCell ref="C12:C16"/>
    <mergeCell ref="D12:D16"/>
    <mergeCell ref="U12:U16"/>
    <mergeCell ref="V12:V16"/>
    <mergeCell ref="W12:W16"/>
    <mergeCell ref="S5:S6"/>
    <mergeCell ref="T5:T6"/>
    <mergeCell ref="V5:V6"/>
    <mergeCell ref="B7:B11"/>
    <mergeCell ref="C7:C11"/>
    <mergeCell ref="D7:D11"/>
    <mergeCell ref="U7:U11"/>
    <mergeCell ref="V7:V11"/>
    <mergeCell ref="B5:B6"/>
    <mergeCell ref="C5:C6"/>
    <mergeCell ref="D5:D6"/>
    <mergeCell ref="E5:E6"/>
    <mergeCell ref="F5:K5"/>
    <mergeCell ref="L5:R5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BF532C-37B7-4267-9AF2-7EF18C4F184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الاول مساحة</vt:lpstr>
      <vt:lpstr>الثاني مساحة</vt:lpstr>
      <vt:lpstr>الثالث مساحة</vt:lpstr>
      <vt:lpstr>الرابع مساحة</vt:lpstr>
      <vt:lpstr>الخامس مساحة</vt:lpstr>
    </vt:vector>
  </TitlesOfParts>
  <Company>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GAREANE ALGREANE</cp:lastModifiedBy>
  <cp:lastPrinted>2025-02-18T08:11:08Z</cp:lastPrinted>
  <dcterms:created xsi:type="dcterms:W3CDTF">2015-06-04T06:53:41Z</dcterms:created>
  <dcterms:modified xsi:type="dcterms:W3CDTF">2026-01-24T05:37:00Z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{82BF532C-37B7-4267-9AF2-7EF18C4F1845}</vt:lpwstr>
  </property>
</Properties>
</file>