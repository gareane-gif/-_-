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kan\Desktop\xls-m\New folder\"/>
    </mc:Choice>
  </mc:AlternateContent>
  <xr:revisionPtr revIDLastSave="0" documentId="13_ncr:1_{9274EE41-2D7A-450E-82B0-39363035487F}" xr6:coauthVersionLast="47" xr6:coauthVersionMax="47" xr10:uidLastSave="{00000000-0000-0000-0000-000000000000}"/>
  <bookViews>
    <workbookView xWindow="-120" yWindow="-120" windowWidth="29040" windowHeight="15720" activeTab="3" xr2:uid="{01B7C1D7-3F21-4264-AB8A-227A0339DFE2}"/>
  </bookViews>
  <sheets>
    <sheet name="الاول حاسوب" sheetId="7" r:id="rId1"/>
    <sheet name="الثاني حاسوب" sheetId="8" r:id="rId2"/>
    <sheet name="الثالث حاسوب" sheetId="9" r:id="rId3"/>
    <sheet name="الرابع حاسوب" sheetId="10" r:id="rId4"/>
    <sheet name="الخامس حاسوب" sheetId="1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1" l="1"/>
  <c r="K36" i="11"/>
  <c r="S35" i="11"/>
  <c r="R35" i="11"/>
  <c r="R32" i="11" s="1"/>
  <c r="R36" i="11" s="1"/>
  <c r="Q35" i="11"/>
  <c r="P35" i="11"/>
  <c r="P32" i="11" s="1"/>
  <c r="P36" i="11" s="1"/>
  <c r="O35" i="11"/>
  <c r="O32" i="11" s="1"/>
  <c r="O36" i="11" s="1"/>
  <c r="N35" i="11"/>
  <c r="N32" i="11" s="1"/>
  <c r="N36" i="11" s="1"/>
  <c r="M35" i="11"/>
  <c r="L35" i="11"/>
  <c r="K35" i="11"/>
  <c r="J35" i="11"/>
  <c r="J32" i="11" s="1"/>
  <c r="J36" i="11" s="1"/>
  <c r="I35" i="11"/>
  <c r="I32" i="11" s="1"/>
  <c r="I36" i="11" s="1"/>
  <c r="H35" i="11"/>
  <c r="H32" i="11" s="1"/>
  <c r="H36" i="11" s="1"/>
  <c r="G35" i="11"/>
  <c r="G32" i="11" s="1"/>
  <c r="G36" i="11" s="1"/>
  <c r="F35" i="11"/>
  <c r="F32" i="11" s="1"/>
  <c r="S32" i="11"/>
  <c r="S36" i="11" s="1"/>
  <c r="Q32" i="11"/>
  <c r="M32" i="11"/>
  <c r="M36" i="11" s="1"/>
  <c r="L32" i="11"/>
  <c r="L36" i="11" s="1"/>
  <c r="K32" i="11"/>
  <c r="N31" i="11"/>
  <c r="H31" i="11"/>
  <c r="S30" i="11"/>
  <c r="S27" i="11" s="1"/>
  <c r="S31" i="11" s="1"/>
  <c r="R30" i="11"/>
  <c r="Q30" i="11"/>
  <c r="Q27" i="11" s="1"/>
  <c r="Q31" i="11" s="1"/>
  <c r="P30" i="11"/>
  <c r="O30" i="11"/>
  <c r="O27" i="11" s="1"/>
  <c r="O31" i="11" s="1"/>
  <c r="N30" i="11"/>
  <c r="M30" i="11"/>
  <c r="M27" i="11" s="1"/>
  <c r="M31" i="11" s="1"/>
  <c r="L30" i="11"/>
  <c r="L27" i="11" s="1"/>
  <c r="L31" i="11" s="1"/>
  <c r="K30" i="11"/>
  <c r="K27" i="11" s="1"/>
  <c r="K31" i="11" s="1"/>
  <c r="J30" i="11"/>
  <c r="I30" i="11"/>
  <c r="H30" i="11"/>
  <c r="G30" i="11"/>
  <c r="G27" i="11" s="1"/>
  <c r="G31" i="11" s="1"/>
  <c r="F30" i="11"/>
  <c r="F27" i="11" s="1"/>
  <c r="R27" i="11"/>
  <c r="R31" i="11" s="1"/>
  <c r="P27" i="11"/>
  <c r="P31" i="11" s="1"/>
  <c r="N27" i="11"/>
  <c r="J27" i="11"/>
  <c r="J31" i="11" s="1"/>
  <c r="I27" i="11"/>
  <c r="I31" i="11" s="1"/>
  <c r="H27" i="11"/>
  <c r="K26" i="11"/>
  <c r="S25" i="11"/>
  <c r="S22" i="11" s="1"/>
  <c r="S26" i="11" s="1"/>
  <c r="R25" i="11"/>
  <c r="R22" i="11" s="1"/>
  <c r="R26" i="11" s="1"/>
  <c r="Q25" i="11"/>
  <c r="Q22" i="11" s="1"/>
  <c r="Q26" i="11" s="1"/>
  <c r="P25" i="11"/>
  <c r="P22" i="11" s="1"/>
  <c r="P26" i="11" s="1"/>
  <c r="O25" i="11"/>
  <c r="N25" i="11"/>
  <c r="N22" i="11" s="1"/>
  <c r="N26" i="11" s="1"/>
  <c r="M25" i="11"/>
  <c r="L25" i="11"/>
  <c r="L22" i="11" s="1"/>
  <c r="L26" i="11" s="1"/>
  <c r="K25" i="11"/>
  <c r="J25" i="11"/>
  <c r="J22" i="11" s="1"/>
  <c r="J26" i="11" s="1"/>
  <c r="I25" i="11"/>
  <c r="I22" i="11" s="1"/>
  <c r="I26" i="11" s="1"/>
  <c r="H25" i="11"/>
  <c r="H22" i="11" s="1"/>
  <c r="H26" i="11" s="1"/>
  <c r="G25" i="11"/>
  <c r="F25" i="11"/>
  <c r="O22" i="11"/>
  <c r="O26" i="11" s="1"/>
  <c r="M22" i="11"/>
  <c r="M26" i="11" s="1"/>
  <c r="K22" i="11"/>
  <c r="G22" i="11"/>
  <c r="G26" i="11" s="1"/>
  <c r="F22" i="11"/>
  <c r="R21" i="11"/>
  <c r="H21" i="11"/>
  <c r="S20" i="11"/>
  <c r="R20" i="11"/>
  <c r="Q20" i="11"/>
  <c r="Q17" i="11" s="1"/>
  <c r="Q21" i="11" s="1"/>
  <c r="P20" i="11"/>
  <c r="P17" i="11" s="1"/>
  <c r="P21" i="11" s="1"/>
  <c r="O20" i="11"/>
  <c r="O17" i="11" s="1"/>
  <c r="O21" i="11" s="1"/>
  <c r="N20" i="11"/>
  <c r="N17" i="11" s="1"/>
  <c r="N21" i="11" s="1"/>
  <c r="M20" i="11"/>
  <c r="M17" i="11" s="1"/>
  <c r="M21" i="11" s="1"/>
  <c r="L20" i="11"/>
  <c r="K20" i="11"/>
  <c r="K17" i="11" s="1"/>
  <c r="K21" i="11" s="1"/>
  <c r="J20" i="11"/>
  <c r="I20" i="11"/>
  <c r="I17" i="11" s="1"/>
  <c r="I21" i="11" s="1"/>
  <c r="H20" i="11"/>
  <c r="G20" i="11"/>
  <c r="G17" i="11" s="1"/>
  <c r="G21" i="11" s="1"/>
  <c r="F20" i="11"/>
  <c r="F17" i="11" s="1"/>
  <c r="S17" i="11"/>
  <c r="S21" i="11" s="1"/>
  <c r="R17" i="11"/>
  <c r="L17" i="11"/>
  <c r="L21" i="11" s="1"/>
  <c r="J17" i="11"/>
  <c r="J21" i="11" s="1"/>
  <c r="H17" i="11"/>
  <c r="O16" i="11"/>
  <c r="S15" i="11"/>
  <c r="S12" i="11" s="1"/>
  <c r="S16" i="11" s="1"/>
  <c r="R15" i="11"/>
  <c r="R12" i="11" s="1"/>
  <c r="R16" i="11" s="1"/>
  <c r="Q15" i="11"/>
  <c r="P15" i="11"/>
  <c r="O15" i="11"/>
  <c r="N15" i="11"/>
  <c r="N12" i="11" s="1"/>
  <c r="N16" i="11" s="1"/>
  <c r="M15" i="11"/>
  <c r="M12" i="11" s="1"/>
  <c r="M16" i="11" s="1"/>
  <c r="L15" i="11"/>
  <c r="L12" i="11" s="1"/>
  <c r="L16" i="11" s="1"/>
  <c r="K15" i="11"/>
  <c r="K12" i="11" s="1"/>
  <c r="K16" i="11" s="1"/>
  <c r="J15" i="11"/>
  <c r="J12" i="11" s="1"/>
  <c r="J16" i="11" s="1"/>
  <c r="I15" i="11"/>
  <c r="H15" i="11"/>
  <c r="H12" i="11" s="1"/>
  <c r="H16" i="11" s="1"/>
  <c r="G15" i="11"/>
  <c r="F15" i="11"/>
  <c r="F12" i="11" s="1"/>
  <c r="Q12" i="11"/>
  <c r="Q16" i="11" s="1"/>
  <c r="P12" i="11"/>
  <c r="P16" i="11" s="1"/>
  <c r="O12" i="11"/>
  <c r="I12" i="11"/>
  <c r="I16" i="11" s="1"/>
  <c r="G12" i="11"/>
  <c r="G16" i="11" s="1"/>
  <c r="R11" i="11"/>
  <c r="L11" i="11"/>
  <c r="S10" i="11"/>
  <c r="S7" i="11" s="1"/>
  <c r="S11" i="11" s="1"/>
  <c r="R10" i="11"/>
  <c r="Q10" i="11"/>
  <c r="Q7" i="11" s="1"/>
  <c r="Q11" i="11" s="1"/>
  <c r="P10" i="11"/>
  <c r="P7" i="11" s="1"/>
  <c r="P11" i="11" s="1"/>
  <c r="O10" i="11"/>
  <c r="O7" i="11" s="1"/>
  <c r="O11" i="11" s="1"/>
  <c r="N10" i="11"/>
  <c r="M10" i="11"/>
  <c r="L10" i="11"/>
  <c r="K10" i="11"/>
  <c r="K7" i="11" s="1"/>
  <c r="K11" i="11" s="1"/>
  <c r="J10" i="11"/>
  <c r="J7" i="11" s="1"/>
  <c r="J11" i="11" s="1"/>
  <c r="I10" i="11"/>
  <c r="I7" i="11" s="1"/>
  <c r="I11" i="11" s="1"/>
  <c r="H10" i="11"/>
  <c r="H7" i="11" s="1"/>
  <c r="H11" i="11" s="1"/>
  <c r="G10" i="11"/>
  <c r="G7" i="11" s="1"/>
  <c r="F10" i="11"/>
  <c r="R7" i="11"/>
  <c r="N7" i="11"/>
  <c r="N11" i="11" s="1"/>
  <c r="M7" i="11"/>
  <c r="M11" i="11" s="1"/>
  <c r="L7" i="11"/>
  <c r="F7" i="11"/>
  <c r="F11" i="11" s="1"/>
  <c r="R71" i="10"/>
  <c r="L71" i="10"/>
  <c r="J71" i="10"/>
  <c r="H71" i="10"/>
  <c r="S70" i="10"/>
  <c r="R70" i="10"/>
  <c r="Q70" i="10"/>
  <c r="Q67" i="10" s="1"/>
  <c r="Q71" i="10" s="1"/>
  <c r="P70" i="10"/>
  <c r="O70" i="10"/>
  <c r="O67" i="10" s="1"/>
  <c r="O71" i="10" s="1"/>
  <c r="N70" i="10"/>
  <c r="M70" i="10"/>
  <c r="L70" i="10"/>
  <c r="K70" i="10"/>
  <c r="K67" i="10" s="1"/>
  <c r="K71" i="10" s="1"/>
  <c r="J70" i="10"/>
  <c r="I70" i="10"/>
  <c r="I67" i="10" s="1"/>
  <c r="I71" i="10" s="1"/>
  <c r="H70" i="10"/>
  <c r="G70" i="10"/>
  <c r="G67" i="10" s="1"/>
  <c r="G71" i="10" s="1"/>
  <c r="F70" i="10"/>
  <c r="F67" i="10" s="1"/>
  <c r="S67" i="10"/>
  <c r="S71" i="10" s="1"/>
  <c r="R67" i="10"/>
  <c r="P67" i="10"/>
  <c r="P71" i="10" s="1"/>
  <c r="N67" i="10"/>
  <c r="N71" i="10" s="1"/>
  <c r="M67" i="10"/>
  <c r="M71" i="10" s="1"/>
  <c r="L67" i="10"/>
  <c r="J67" i="10"/>
  <c r="H67" i="10"/>
  <c r="O66" i="10"/>
  <c r="M66" i="10"/>
  <c r="I66" i="10"/>
  <c r="G66" i="10"/>
  <c r="S65" i="10"/>
  <c r="S62" i="10" s="1"/>
  <c r="S66" i="10" s="1"/>
  <c r="R65" i="10"/>
  <c r="R62" i="10" s="1"/>
  <c r="R66" i="10" s="1"/>
  <c r="Q65" i="10"/>
  <c r="P65" i="10"/>
  <c r="O65" i="10"/>
  <c r="N65" i="10"/>
  <c r="N62" i="10" s="1"/>
  <c r="N66" i="10" s="1"/>
  <c r="M65" i="10"/>
  <c r="L65" i="10"/>
  <c r="L62" i="10" s="1"/>
  <c r="L66" i="10" s="1"/>
  <c r="K65" i="10"/>
  <c r="J65" i="10"/>
  <c r="I65" i="10"/>
  <c r="H65" i="10"/>
  <c r="H62" i="10" s="1"/>
  <c r="H66" i="10" s="1"/>
  <c r="G65" i="10"/>
  <c r="F65" i="10"/>
  <c r="F62" i="10" s="1"/>
  <c r="Q62" i="10"/>
  <c r="Q66" i="10" s="1"/>
  <c r="P62" i="10"/>
  <c r="P66" i="10" s="1"/>
  <c r="O62" i="10"/>
  <c r="M62" i="10"/>
  <c r="K62" i="10"/>
  <c r="K66" i="10" s="1"/>
  <c r="J62" i="10"/>
  <c r="J66" i="10" s="1"/>
  <c r="I62" i="10"/>
  <c r="G62" i="10"/>
  <c r="R61" i="10"/>
  <c r="L61" i="10"/>
  <c r="J61" i="10"/>
  <c r="F61" i="10"/>
  <c r="S60" i="10"/>
  <c r="S57" i="10" s="1"/>
  <c r="S61" i="10" s="1"/>
  <c r="R60" i="10"/>
  <c r="Q60" i="10"/>
  <c r="Q57" i="10" s="1"/>
  <c r="Q61" i="10" s="1"/>
  <c r="P60" i="10"/>
  <c r="P57" i="10" s="1"/>
  <c r="P61" i="10" s="1"/>
  <c r="O60" i="10"/>
  <c r="O57" i="10" s="1"/>
  <c r="O61" i="10" s="1"/>
  <c r="N60" i="10"/>
  <c r="M60" i="10"/>
  <c r="L60" i="10"/>
  <c r="K60" i="10"/>
  <c r="K57" i="10" s="1"/>
  <c r="K61" i="10" s="1"/>
  <c r="J60" i="10"/>
  <c r="I60" i="10"/>
  <c r="I57" i="10" s="1"/>
  <c r="I61" i="10" s="1"/>
  <c r="H60" i="10"/>
  <c r="G60" i="10"/>
  <c r="F60" i="10"/>
  <c r="R57" i="10"/>
  <c r="N57" i="10"/>
  <c r="N61" i="10" s="1"/>
  <c r="M57" i="10"/>
  <c r="M61" i="10" s="1"/>
  <c r="L57" i="10"/>
  <c r="J57" i="10"/>
  <c r="H57" i="10"/>
  <c r="H61" i="10" s="1"/>
  <c r="G57" i="10"/>
  <c r="G61" i="10" s="1"/>
  <c r="T61" i="10" s="1"/>
  <c r="F57" i="10"/>
  <c r="Q56" i="10"/>
  <c r="O56" i="10"/>
  <c r="M56" i="10"/>
  <c r="G56" i="10"/>
  <c r="S55" i="10"/>
  <c r="Q55" i="10"/>
  <c r="P55" i="10"/>
  <c r="P52" i="10" s="1"/>
  <c r="P56" i="10" s="1"/>
  <c r="O55" i="10"/>
  <c r="N55" i="10"/>
  <c r="N52" i="10" s="1"/>
  <c r="N56" i="10" s="1"/>
  <c r="M55" i="10"/>
  <c r="L55" i="10"/>
  <c r="L52" i="10" s="1"/>
  <c r="L56" i="10" s="1"/>
  <c r="K55" i="10"/>
  <c r="K52" i="10" s="1"/>
  <c r="K56" i="10" s="1"/>
  <c r="J55" i="10"/>
  <c r="J52" i="10" s="1"/>
  <c r="J56" i="10" s="1"/>
  <c r="I55" i="10"/>
  <c r="H55" i="10"/>
  <c r="G55" i="10"/>
  <c r="F55" i="10"/>
  <c r="F52" i="10" s="1"/>
  <c r="S52" i="10"/>
  <c r="S56" i="10" s="1"/>
  <c r="R52" i="10"/>
  <c r="Q52" i="10"/>
  <c r="O52" i="10"/>
  <c r="M52" i="10"/>
  <c r="I52" i="10"/>
  <c r="I56" i="10" s="1"/>
  <c r="H52" i="10"/>
  <c r="H56" i="10" s="1"/>
  <c r="G52" i="10"/>
  <c r="R51" i="10"/>
  <c r="N51" i="10"/>
  <c r="L51" i="10"/>
  <c r="J51" i="10"/>
  <c r="S50" i="10"/>
  <c r="S47" i="10" s="1"/>
  <c r="S51" i="10" s="1"/>
  <c r="R50" i="10"/>
  <c r="Q50" i="10"/>
  <c r="Q47" i="10" s="1"/>
  <c r="Q51" i="10" s="1"/>
  <c r="P50" i="10"/>
  <c r="O50" i="10"/>
  <c r="N50" i="10"/>
  <c r="M50" i="10"/>
  <c r="M47" i="10" s="1"/>
  <c r="M51" i="10" s="1"/>
  <c r="L50" i="10"/>
  <c r="K50" i="10"/>
  <c r="K47" i="10" s="1"/>
  <c r="K51" i="10" s="1"/>
  <c r="J50" i="10"/>
  <c r="I50" i="10"/>
  <c r="I47" i="10" s="1"/>
  <c r="I51" i="10" s="1"/>
  <c r="H50" i="10"/>
  <c r="H47" i="10" s="1"/>
  <c r="H51" i="10" s="1"/>
  <c r="G50" i="10"/>
  <c r="G47" i="10" s="1"/>
  <c r="G51" i="10" s="1"/>
  <c r="F50" i="10"/>
  <c r="R47" i="10"/>
  <c r="P47" i="10"/>
  <c r="P51" i="10" s="1"/>
  <c r="O47" i="10"/>
  <c r="O51" i="10" s="1"/>
  <c r="N47" i="10"/>
  <c r="L47" i="10"/>
  <c r="J47" i="10"/>
  <c r="F47" i="10"/>
  <c r="T47" i="10" s="1"/>
  <c r="R46" i="10"/>
  <c r="Q46" i="10"/>
  <c r="O46" i="10"/>
  <c r="K46" i="10"/>
  <c r="I46" i="10"/>
  <c r="G46" i="10"/>
  <c r="S45" i="10"/>
  <c r="R45" i="10"/>
  <c r="Q45" i="10"/>
  <c r="P45" i="10"/>
  <c r="P42" i="10" s="1"/>
  <c r="P46" i="10" s="1"/>
  <c r="O45" i="10"/>
  <c r="N45" i="10"/>
  <c r="N42" i="10" s="1"/>
  <c r="N46" i="10" s="1"/>
  <c r="M45" i="10"/>
  <c r="L45" i="10"/>
  <c r="K45" i="10"/>
  <c r="J45" i="10"/>
  <c r="J42" i="10" s="1"/>
  <c r="J46" i="10" s="1"/>
  <c r="I45" i="10"/>
  <c r="H45" i="10"/>
  <c r="H42" i="10" s="1"/>
  <c r="H46" i="10" s="1"/>
  <c r="G45" i="10"/>
  <c r="F45" i="10"/>
  <c r="F42" i="10" s="1"/>
  <c r="S42" i="10"/>
  <c r="S46" i="10" s="1"/>
  <c r="R42" i="10"/>
  <c r="Q42" i="10"/>
  <c r="O42" i="10"/>
  <c r="M42" i="10"/>
  <c r="M46" i="10" s="1"/>
  <c r="L42" i="10"/>
  <c r="L46" i="10" s="1"/>
  <c r="K42" i="10"/>
  <c r="I42" i="10"/>
  <c r="G42" i="10"/>
  <c r="O41" i="10"/>
  <c r="N41" i="10"/>
  <c r="L41" i="10"/>
  <c r="H41" i="10"/>
  <c r="F41" i="10"/>
  <c r="S40" i="10"/>
  <c r="S37" i="10" s="1"/>
  <c r="S41" i="10" s="1"/>
  <c r="R40" i="10"/>
  <c r="R37" i="10" s="1"/>
  <c r="R41" i="10" s="1"/>
  <c r="Q40" i="10"/>
  <c r="Q37" i="10" s="1"/>
  <c r="Q41" i="10" s="1"/>
  <c r="P40" i="10"/>
  <c r="O40" i="10"/>
  <c r="N40" i="10"/>
  <c r="M40" i="10"/>
  <c r="M37" i="10" s="1"/>
  <c r="M41" i="10" s="1"/>
  <c r="L40" i="10"/>
  <c r="K40" i="10"/>
  <c r="K37" i="10" s="1"/>
  <c r="K41" i="10" s="1"/>
  <c r="J40" i="10"/>
  <c r="I40" i="10"/>
  <c r="H40" i="10"/>
  <c r="G40" i="10"/>
  <c r="G37" i="10" s="1"/>
  <c r="F40" i="10"/>
  <c r="P37" i="10"/>
  <c r="P41" i="10" s="1"/>
  <c r="O37" i="10"/>
  <c r="N37" i="10"/>
  <c r="L37" i="10"/>
  <c r="J37" i="10"/>
  <c r="J41" i="10" s="1"/>
  <c r="I37" i="10"/>
  <c r="I41" i="10" s="1"/>
  <c r="H37" i="10"/>
  <c r="F37" i="10"/>
  <c r="S36" i="10"/>
  <c r="Q36" i="10"/>
  <c r="L36" i="10"/>
  <c r="K36" i="10"/>
  <c r="I36" i="10"/>
  <c r="S35" i="10"/>
  <c r="R35" i="10"/>
  <c r="R32" i="10" s="1"/>
  <c r="R36" i="10" s="1"/>
  <c r="Q35" i="10"/>
  <c r="P35" i="10"/>
  <c r="P32" i="10" s="1"/>
  <c r="P36" i="10" s="1"/>
  <c r="O35" i="10"/>
  <c r="O32" i="10" s="1"/>
  <c r="O36" i="10" s="1"/>
  <c r="N35" i="10"/>
  <c r="N32" i="10" s="1"/>
  <c r="N36" i="10" s="1"/>
  <c r="M35" i="10"/>
  <c r="L35" i="10"/>
  <c r="K35" i="10"/>
  <c r="J35" i="10"/>
  <c r="J32" i="10" s="1"/>
  <c r="J36" i="10" s="1"/>
  <c r="I35" i="10"/>
  <c r="H35" i="10"/>
  <c r="H32" i="10" s="1"/>
  <c r="H36" i="10" s="1"/>
  <c r="G35" i="10"/>
  <c r="F35" i="10"/>
  <c r="S32" i="10"/>
  <c r="Q32" i="10"/>
  <c r="M32" i="10"/>
  <c r="M36" i="10" s="1"/>
  <c r="L32" i="10"/>
  <c r="K32" i="10"/>
  <c r="I32" i="10"/>
  <c r="G32" i="10"/>
  <c r="G36" i="10" s="1"/>
  <c r="F32" i="10"/>
  <c r="P31" i="10"/>
  <c r="N31" i="10"/>
  <c r="I31" i="10"/>
  <c r="H31" i="10"/>
  <c r="F31" i="10"/>
  <c r="S30" i="10"/>
  <c r="R30" i="10"/>
  <c r="R27" i="10" s="1"/>
  <c r="R31" i="10" s="1"/>
  <c r="Q30" i="10"/>
  <c r="Q27" i="10" s="1"/>
  <c r="Q31" i="10" s="1"/>
  <c r="P30" i="10"/>
  <c r="O30" i="10"/>
  <c r="O27" i="10" s="1"/>
  <c r="O31" i="10" s="1"/>
  <c r="N30" i="10"/>
  <c r="M30" i="10"/>
  <c r="M27" i="10" s="1"/>
  <c r="M31" i="10" s="1"/>
  <c r="L30" i="10"/>
  <c r="L27" i="10" s="1"/>
  <c r="L31" i="10" s="1"/>
  <c r="K30" i="10"/>
  <c r="K27" i="10" s="1"/>
  <c r="K31" i="10" s="1"/>
  <c r="J30" i="10"/>
  <c r="I30" i="10"/>
  <c r="H30" i="10"/>
  <c r="G30" i="10"/>
  <c r="G27" i="10" s="1"/>
  <c r="F30" i="10"/>
  <c r="S27" i="10"/>
  <c r="S31" i="10" s="1"/>
  <c r="P27" i="10"/>
  <c r="N27" i="10"/>
  <c r="J27" i="10"/>
  <c r="J31" i="10" s="1"/>
  <c r="I27" i="10"/>
  <c r="H27" i="10"/>
  <c r="F27" i="10"/>
  <c r="S26" i="10"/>
  <c r="M26" i="10"/>
  <c r="K26" i="10"/>
  <c r="F26" i="10"/>
  <c r="S25" i="10"/>
  <c r="R25" i="10"/>
  <c r="R22" i="10" s="1"/>
  <c r="R26" i="10" s="1"/>
  <c r="Q25" i="10"/>
  <c r="P25" i="10"/>
  <c r="O25" i="10"/>
  <c r="O22" i="10" s="1"/>
  <c r="O26" i="10" s="1"/>
  <c r="N25" i="10"/>
  <c r="N22" i="10" s="1"/>
  <c r="N26" i="10" s="1"/>
  <c r="M25" i="10"/>
  <c r="L25" i="10"/>
  <c r="L22" i="10" s="1"/>
  <c r="L26" i="10" s="1"/>
  <c r="K25" i="10"/>
  <c r="J25" i="10"/>
  <c r="J22" i="10" s="1"/>
  <c r="J26" i="10" s="1"/>
  <c r="I25" i="10"/>
  <c r="I22" i="10" s="1"/>
  <c r="I26" i="10" s="1"/>
  <c r="H25" i="10"/>
  <c r="H22" i="10" s="1"/>
  <c r="H26" i="10" s="1"/>
  <c r="G25" i="10"/>
  <c r="F25" i="10"/>
  <c r="S22" i="10"/>
  <c r="Q22" i="10"/>
  <c r="Q26" i="10" s="1"/>
  <c r="P22" i="10"/>
  <c r="P26" i="10" s="1"/>
  <c r="M22" i="10"/>
  <c r="K22" i="10"/>
  <c r="G22" i="10"/>
  <c r="G26" i="10" s="1"/>
  <c r="F22" i="10"/>
  <c r="S21" i="10"/>
  <c r="R21" i="10"/>
  <c r="P21" i="10"/>
  <c r="J21" i="10"/>
  <c r="H21" i="10"/>
  <c r="S20" i="10"/>
  <c r="R20" i="10"/>
  <c r="Q20" i="10"/>
  <c r="Q17" i="10" s="1"/>
  <c r="Q21" i="10" s="1"/>
  <c r="P20" i="10"/>
  <c r="O20" i="10"/>
  <c r="O17" i="10" s="1"/>
  <c r="O21" i="10" s="1"/>
  <c r="N20" i="10"/>
  <c r="M20" i="10"/>
  <c r="L20" i="10"/>
  <c r="L17" i="10" s="1"/>
  <c r="L21" i="10" s="1"/>
  <c r="K20" i="10"/>
  <c r="K17" i="10" s="1"/>
  <c r="K21" i="10" s="1"/>
  <c r="J20" i="10"/>
  <c r="I20" i="10"/>
  <c r="I17" i="10" s="1"/>
  <c r="I21" i="10" s="1"/>
  <c r="H20" i="10"/>
  <c r="G20" i="10"/>
  <c r="G17" i="10" s="1"/>
  <c r="G21" i="10" s="1"/>
  <c r="F20" i="10"/>
  <c r="F17" i="10" s="1"/>
  <c r="S17" i="10"/>
  <c r="R17" i="10"/>
  <c r="P17" i="10"/>
  <c r="N17" i="10"/>
  <c r="N21" i="10" s="1"/>
  <c r="M17" i="10"/>
  <c r="M21" i="10" s="1"/>
  <c r="J17" i="10"/>
  <c r="H17" i="10"/>
  <c r="P16" i="10"/>
  <c r="O16" i="10"/>
  <c r="M16" i="10"/>
  <c r="I16" i="10"/>
  <c r="G16" i="10"/>
  <c r="S15" i="10"/>
  <c r="S12" i="10" s="1"/>
  <c r="S16" i="10" s="1"/>
  <c r="R15" i="10"/>
  <c r="R12" i="10" s="1"/>
  <c r="R16" i="10" s="1"/>
  <c r="Q15" i="10"/>
  <c r="P15" i="10"/>
  <c r="O15" i="10"/>
  <c r="N15" i="10"/>
  <c r="N12" i="10" s="1"/>
  <c r="N16" i="10" s="1"/>
  <c r="M15" i="10"/>
  <c r="L15" i="10"/>
  <c r="L12" i="10" s="1"/>
  <c r="L16" i="10" s="1"/>
  <c r="K15" i="10"/>
  <c r="J15" i="10"/>
  <c r="I15" i="10"/>
  <c r="H15" i="10"/>
  <c r="H12" i="10" s="1"/>
  <c r="H16" i="10" s="1"/>
  <c r="G15" i="10"/>
  <c r="F15" i="10"/>
  <c r="F12" i="10" s="1"/>
  <c r="Q12" i="10"/>
  <c r="Q16" i="10" s="1"/>
  <c r="P12" i="10"/>
  <c r="O12" i="10"/>
  <c r="M12" i="10"/>
  <c r="K12" i="10"/>
  <c r="K16" i="10" s="1"/>
  <c r="J12" i="10"/>
  <c r="J16" i="10" s="1"/>
  <c r="I12" i="10"/>
  <c r="G12" i="10"/>
  <c r="R11" i="10"/>
  <c r="M11" i="10"/>
  <c r="L11" i="10"/>
  <c r="J11" i="10"/>
  <c r="F11" i="10"/>
  <c r="S10" i="10"/>
  <c r="S7" i="10" s="1"/>
  <c r="S11" i="10" s="1"/>
  <c r="R10" i="10"/>
  <c r="Q10" i="10"/>
  <c r="Q7" i="10" s="1"/>
  <c r="Q11" i="10" s="1"/>
  <c r="P10" i="10"/>
  <c r="P7" i="10" s="1"/>
  <c r="P11" i="10" s="1"/>
  <c r="O10" i="10"/>
  <c r="O7" i="10" s="1"/>
  <c r="O11" i="10" s="1"/>
  <c r="N10" i="10"/>
  <c r="M10" i="10"/>
  <c r="L10" i="10"/>
  <c r="K10" i="10"/>
  <c r="K7" i="10" s="1"/>
  <c r="K11" i="10" s="1"/>
  <c r="J10" i="10"/>
  <c r="I10" i="10"/>
  <c r="I7" i="10" s="1"/>
  <c r="I11" i="10" s="1"/>
  <c r="H10" i="10"/>
  <c r="G10" i="10"/>
  <c r="F10" i="10"/>
  <c r="R7" i="10"/>
  <c r="N7" i="10"/>
  <c r="N11" i="10" s="1"/>
  <c r="M7" i="10"/>
  <c r="L7" i="10"/>
  <c r="J7" i="10"/>
  <c r="H7" i="10"/>
  <c r="H11" i="10" s="1"/>
  <c r="G7" i="10"/>
  <c r="G11" i="10" s="1"/>
  <c r="F7" i="10"/>
  <c r="R70" i="9"/>
  <c r="R67" i="9" s="1"/>
  <c r="R71" i="9" s="1"/>
  <c r="Q70" i="9"/>
  <c r="P70" i="9"/>
  <c r="O70" i="9"/>
  <c r="O67" i="9" s="1"/>
  <c r="O71" i="9" s="1"/>
  <c r="N70" i="9"/>
  <c r="N67" i="9" s="1"/>
  <c r="N71" i="9" s="1"/>
  <c r="M70" i="9"/>
  <c r="L70" i="9"/>
  <c r="K70" i="9"/>
  <c r="K67" i="9" s="1"/>
  <c r="K71" i="9" s="1"/>
  <c r="J70" i="9"/>
  <c r="J67" i="9" s="1"/>
  <c r="J71" i="9" s="1"/>
  <c r="I70" i="9"/>
  <c r="I67" i="9" s="1"/>
  <c r="I71" i="9" s="1"/>
  <c r="H70" i="9"/>
  <c r="G70" i="9"/>
  <c r="G67" i="9" s="1"/>
  <c r="G71" i="9" s="1"/>
  <c r="F70" i="9"/>
  <c r="F67" i="9" s="1"/>
  <c r="Q67" i="9"/>
  <c r="Q71" i="9" s="1"/>
  <c r="P67" i="9"/>
  <c r="P71" i="9" s="1"/>
  <c r="M67" i="9"/>
  <c r="M71" i="9" s="1"/>
  <c r="L67" i="9"/>
  <c r="L71" i="9" s="1"/>
  <c r="H67" i="9"/>
  <c r="H71" i="9" s="1"/>
  <c r="O66" i="9"/>
  <c r="G66" i="9"/>
  <c r="R65" i="9"/>
  <c r="Q65" i="9"/>
  <c r="Q62" i="9" s="1"/>
  <c r="Q66" i="9" s="1"/>
  <c r="P65" i="9"/>
  <c r="P62" i="9" s="1"/>
  <c r="P66" i="9" s="1"/>
  <c r="O65" i="9"/>
  <c r="N65" i="9"/>
  <c r="M65" i="9"/>
  <c r="L65" i="9"/>
  <c r="L62" i="9" s="1"/>
  <c r="L66" i="9" s="1"/>
  <c r="K65" i="9"/>
  <c r="J65" i="9"/>
  <c r="I65" i="9"/>
  <c r="I62" i="9" s="1"/>
  <c r="I66" i="9" s="1"/>
  <c r="H65" i="9"/>
  <c r="H62" i="9" s="1"/>
  <c r="H66" i="9" s="1"/>
  <c r="G65" i="9"/>
  <c r="F65" i="9"/>
  <c r="R62" i="9"/>
  <c r="R66" i="9" s="1"/>
  <c r="O62" i="9"/>
  <c r="N62" i="9"/>
  <c r="N66" i="9" s="1"/>
  <c r="M62" i="9"/>
  <c r="M66" i="9" s="1"/>
  <c r="K62" i="9"/>
  <c r="K66" i="9" s="1"/>
  <c r="J62" i="9"/>
  <c r="J66" i="9" s="1"/>
  <c r="G62" i="9"/>
  <c r="F62" i="9"/>
  <c r="R60" i="9"/>
  <c r="R57" i="9" s="1"/>
  <c r="R61" i="9" s="1"/>
  <c r="Q60" i="9"/>
  <c r="P60" i="9"/>
  <c r="O60" i="9"/>
  <c r="O57" i="9" s="1"/>
  <c r="O61" i="9" s="1"/>
  <c r="N60" i="9"/>
  <c r="N57" i="9" s="1"/>
  <c r="N61" i="9" s="1"/>
  <c r="M60" i="9"/>
  <c r="M57" i="9" s="1"/>
  <c r="M61" i="9" s="1"/>
  <c r="L60" i="9"/>
  <c r="K60" i="9"/>
  <c r="K57" i="9" s="1"/>
  <c r="K61" i="9" s="1"/>
  <c r="J60" i="9"/>
  <c r="J57" i="9" s="1"/>
  <c r="J61" i="9" s="1"/>
  <c r="I60" i="9"/>
  <c r="H60" i="9"/>
  <c r="G60" i="9"/>
  <c r="F60" i="9"/>
  <c r="F57" i="9" s="1"/>
  <c r="Q57" i="9"/>
  <c r="Q61" i="9" s="1"/>
  <c r="P57" i="9"/>
  <c r="P61" i="9" s="1"/>
  <c r="L57" i="9"/>
  <c r="L61" i="9" s="1"/>
  <c r="I57" i="9"/>
  <c r="I61" i="9" s="1"/>
  <c r="H57" i="9"/>
  <c r="H61" i="9" s="1"/>
  <c r="G57" i="9"/>
  <c r="G61" i="9" s="1"/>
  <c r="R55" i="9"/>
  <c r="Q55" i="9"/>
  <c r="P55" i="9"/>
  <c r="P52" i="9" s="1"/>
  <c r="P56" i="9" s="1"/>
  <c r="O55" i="9"/>
  <c r="N55" i="9"/>
  <c r="M55" i="9"/>
  <c r="M52" i="9" s="1"/>
  <c r="M56" i="9" s="1"/>
  <c r="L55" i="9"/>
  <c r="L52" i="9" s="1"/>
  <c r="L56" i="9" s="1"/>
  <c r="K55" i="9"/>
  <c r="J55" i="9"/>
  <c r="I55" i="9"/>
  <c r="I52" i="9" s="1"/>
  <c r="I56" i="9" s="1"/>
  <c r="H55" i="9"/>
  <c r="H52" i="9" s="1"/>
  <c r="H56" i="9" s="1"/>
  <c r="G55" i="9"/>
  <c r="G52" i="9" s="1"/>
  <c r="F55" i="9"/>
  <c r="R52" i="9"/>
  <c r="R56" i="9" s="1"/>
  <c r="Q52" i="9"/>
  <c r="Q56" i="9" s="1"/>
  <c r="O52" i="9"/>
  <c r="O56" i="9" s="1"/>
  <c r="N52" i="9"/>
  <c r="N56" i="9" s="1"/>
  <c r="K52" i="9"/>
  <c r="K56" i="9" s="1"/>
  <c r="J52" i="9"/>
  <c r="J56" i="9" s="1"/>
  <c r="F52" i="9"/>
  <c r="F56" i="9" s="1"/>
  <c r="R50" i="9"/>
  <c r="R47" i="9" s="1"/>
  <c r="R51" i="9" s="1"/>
  <c r="Q50" i="9"/>
  <c r="Q47" i="9" s="1"/>
  <c r="Q51" i="9" s="1"/>
  <c r="P50" i="9"/>
  <c r="O50" i="9"/>
  <c r="O47" i="9" s="1"/>
  <c r="O51" i="9" s="1"/>
  <c r="N50" i="9"/>
  <c r="N47" i="9" s="1"/>
  <c r="N51" i="9" s="1"/>
  <c r="M50" i="9"/>
  <c r="L50" i="9"/>
  <c r="K50" i="9"/>
  <c r="J50" i="9"/>
  <c r="J47" i="9" s="1"/>
  <c r="J51" i="9" s="1"/>
  <c r="I50" i="9"/>
  <c r="H50" i="9"/>
  <c r="G50" i="9"/>
  <c r="G47" i="9" s="1"/>
  <c r="G51" i="9" s="1"/>
  <c r="F50" i="9"/>
  <c r="F47" i="9" s="1"/>
  <c r="P47" i="9"/>
  <c r="P51" i="9" s="1"/>
  <c r="M47" i="9"/>
  <c r="M51" i="9" s="1"/>
  <c r="L47" i="9"/>
  <c r="L51" i="9" s="1"/>
  <c r="K47" i="9"/>
  <c r="K51" i="9" s="1"/>
  <c r="I47" i="9"/>
  <c r="I51" i="9" s="1"/>
  <c r="H47" i="9"/>
  <c r="H51" i="9" s="1"/>
  <c r="K46" i="9"/>
  <c r="R45" i="9"/>
  <c r="Q45" i="9"/>
  <c r="Q42" i="9" s="1"/>
  <c r="Q46" i="9" s="1"/>
  <c r="P45" i="9"/>
  <c r="P42" i="9" s="1"/>
  <c r="P46" i="9" s="1"/>
  <c r="O45" i="9"/>
  <c r="N45" i="9"/>
  <c r="M45" i="9"/>
  <c r="M42" i="9" s="1"/>
  <c r="M46" i="9" s="1"/>
  <c r="L45" i="9"/>
  <c r="L42" i="9" s="1"/>
  <c r="L46" i="9" s="1"/>
  <c r="K45" i="9"/>
  <c r="J45" i="9"/>
  <c r="I45" i="9"/>
  <c r="I42" i="9" s="1"/>
  <c r="I46" i="9" s="1"/>
  <c r="H45" i="9"/>
  <c r="H42" i="9" s="1"/>
  <c r="H46" i="9" s="1"/>
  <c r="G45" i="9"/>
  <c r="F45" i="9"/>
  <c r="R42" i="9"/>
  <c r="R46" i="9" s="1"/>
  <c r="O42" i="9"/>
  <c r="O46" i="9" s="1"/>
  <c r="N42" i="9"/>
  <c r="N46" i="9" s="1"/>
  <c r="K42" i="9"/>
  <c r="J42" i="9"/>
  <c r="J46" i="9" s="1"/>
  <c r="G42" i="9"/>
  <c r="G46" i="9" s="1"/>
  <c r="F42" i="9"/>
  <c r="F46" i="9" s="1"/>
  <c r="R40" i="9"/>
  <c r="R37" i="9" s="1"/>
  <c r="R41" i="9" s="1"/>
  <c r="Q40" i="9"/>
  <c r="P40" i="9"/>
  <c r="O40" i="9"/>
  <c r="N40" i="9"/>
  <c r="N37" i="9" s="1"/>
  <c r="N41" i="9" s="1"/>
  <c r="M40" i="9"/>
  <c r="L40" i="9"/>
  <c r="K40" i="9"/>
  <c r="K37" i="9" s="1"/>
  <c r="K41" i="9" s="1"/>
  <c r="J40" i="9"/>
  <c r="J37" i="9" s="1"/>
  <c r="J41" i="9" s="1"/>
  <c r="I40" i="9"/>
  <c r="H40" i="9"/>
  <c r="G40" i="9"/>
  <c r="G37" i="9" s="1"/>
  <c r="G41" i="9" s="1"/>
  <c r="F40" i="9"/>
  <c r="F37" i="9" s="1"/>
  <c r="Q37" i="9"/>
  <c r="Q41" i="9" s="1"/>
  <c r="P37" i="9"/>
  <c r="P41" i="9" s="1"/>
  <c r="O37" i="9"/>
  <c r="O41" i="9" s="1"/>
  <c r="M37" i="9"/>
  <c r="M41" i="9" s="1"/>
  <c r="L37" i="9"/>
  <c r="L41" i="9" s="1"/>
  <c r="I37" i="9"/>
  <c r="I41" i="9" s="1"/>
  <c r="H37" i="9"/>
  <c r="H41" i="9" s="1"/>
  <c r="O36" i="9"/>
  <c r="R35" i="9"/>
  <c r="Q35" i="9"/>
  <c r="Q32" i="9" s="1"/>
  <c r="Q36" i="9" s="1"/>
  <c r="P35" i="9"/>
  <c r="P32" i="9" s="1"/>
  <c r="P36" i="9" s="1"/>
  <c r="O35" i="9"/>
  <c r="N35" i="9"/>
  <c r="M35" i="9"/>
  <c r="M32" i="9" s="1"/>
  <c r="M36" i="9" s="1"/>
  <c r="L35" i="9"/>
  <c r="L32" i="9" s="1"/>
  <c r="L36" i="9" s="1"/>
  <c r="K35" i="9"/>
  <c r="J35" i="9"/>
  <c r="I35" i="9"/>
  <c r="H35" i="9"/>
  <c r="H32" i="9" s="1"/>
  <c r="G35" i="9"/>
  <c r="F35" i="9"/>
  <c r="R32" i="9"/>
  <c r="R36" i="9" s="1"/>
  <c r="O32" i="9"/>
  <c r="N32" i="9"/>
  <c r="N36" i="9" s="1"/>
  <c r="K32" i="9"/>
  <c r="K36" i="9" s="1"/>
  <c r="J32" i="9"/>
  <c r="J36" i="9" s="1"/>
  <c r="I32" i="9"/>
  <c r="I36" i="9" s="1"/>
  <c r="G32" i="9"/>
  <c r="G36" i="9" s="1"/>
  <c r="F32" i="9"/>
  <c r="F36" i="9" s="1"/>
  <c r="I31" i="9"/>
  <c r="R30" i="9"/>
  <c r="R27" i="9" s="1"/>
  <c r="R31" i="9" s="1"/>
  <c r="Q30" i="9"/>
  <c r="P30" i="9"/>
  <c r="O30" i="9"/>
  <c r="O27" i="9" s="1"/>
  <c r="O31" i="9" s="1"/>
  <c r="N30" i="9"/>
  <c r="N27" i="9" s="1"/>
  <c r="N31" i="9" s="1"/>
  <c r="M30" i="9"/>
  <c r="L30" i="9"/>
  <c r="K30" i="9"/>
  <c r="K27" i="9" s="1"/>
  <c r="K31" i="9" s="1"/>
  <c r="J30" i="9"/>
  <c r="J27" i="9" s="1"/>
  <c r="J31" i="9" s="1"/>
  <c r="I30" i="9"/>
  <c r="H30" i="9"/>
  <c r="G30" i="9"/>
  <c r="G27" i="9" s="1"/>
  <c r="G31" i="9" s="1"/>
  <c r="F30" i="9"/>
  <c r="F27" i="9" s="1"/>
  <c r="Q27" i="9"/>
  <c r="Q31" i="9" s="1"/>
  <c r="P27" i="9"/>
  <c r="P31" i="9" s="1"/>
  <c r="M27" i="9"/>
  <c r="M31" i="9" s="1"/>
  <c r="L27" i="9"/>
  <c r="L31" i="9" s="1"/>
  <c r="I27" i="9"/>
  <c r="H27" i="9"/>
  <c r="H31" i="9" s="1"/>
  <c r="R25" i="9"/>
  <c r="Q25" i="9"/>
  <c r="Q22" i="9" s="1"/>
  <c r="Q26" i="9" s="1"/>
  <c r="P25" i="9"/>
  <c r="P22" i="9" s="1"/>
  <c r="P26" i="9" s="1"/>
  <c r="O25" i="9"/>
  <c r="N25" i="9"/>
  <c r="M25" i="9"/>
  <c r="L25" i="9"/>
  <c r="L22" i="9" s="1"/>
  <c r="L26" i="9" s="1"/>
  <c r="K25" i="9"/>
  <c r="J25" i="9"/>
  <c r="I25" i="9"/>
  <c r="I22" i="9" s="1"/>
  <c r="I26" i="9" s="1"/>
  <c r="H25" i="9"/>
  <c r="H22" i="9" s="1"/>
  <c r="H26" i="9" s="1"/>
  <c r="G25" i="9"/>
  <c r="F25" i="9"/>
  <c r="R22" i="9"/>
  <c r="R26" i="9" s="1"/>
  <c r="O22" i="9"/>
  <c r="O26" i="9" s="1"/>
  <c r="N22" i="9"/>
  <c r="N26" i="9" s="1"/>
  <c r="M22" i="9"/>
  <c r="M26" i="9" s="1"/>
  <c r="K22" i="9"/>
  <c r="K26" i="9" s="1"/>
  <c r="J22" i="9"/>
  <c r="J26" i="9" s="1"/>
  <c r="G22" i="9"/>
  <c r="G26" i="9" s="1"/>
  <c r="F22" i="9"/>
  <c r="M21" i="9"/>
  <c r="I21" i="9"/>
  <c r="R20" i="9"/>
  <c r="R17" i="9" s="1"/>
  <c r="R21" i="9" s="1"/>
  <c r="Q20" i="9"/>
  <c r="P20" i="9"/>
  <c r="O20" i="9"/>
  <c r="O17" i="9" s="1"/>
  <c r="O21" i="9" s="1"/>
  <c r="N20" i="9"/>
  <c r="N17" i="9" s="1"/>
  <c r="N21" i="9" s="1"/>
  <c r="M20" i="9"/>
  <c r="L20" i="9"/>
  <c r="K20" i="9"/>
  <c r="K17" i="9" s="1"/>
  <c r="K21" i="9" s="1"/>
  <c r="J20" i="9"/>
  <c r="J17" i="9" s="1"/>
  <c r="J21" i="9" s="1"/>
  <c r="I20" i="9"/>
  <c r="H20" i="9"/>
  <c r="G20" i="9"/>
  <c r="F20" i="9"/>
  <c r="F17" i="9" s="1"/>
  <c r="Q17" i="9"/>
  <c r="Q21" i="9" s="1"/>
  <c r="P17" i="9"/>
  <c r="P21" i="9" s="1"/>
  <c r="M17" i="9"/>
  <c r="L17" i="9"/>
  <c r="L21" i="9" s="1"/>
  <c r="I17" i="9"/>
  <c r="H17" i="9"/>
  <c r="H21" i="9" s="1"/>
  <c r="G17" i="9"/>
  <c r="G21" i="9" s="1"/>
  <c r="G16" i="9"/>
  <c r="R15" i="9"/>
  <c r="Q15" i="9"/>
  <c r="P15" i="9"/>
  <c r="P12" i="9" s="1"/>
  <c r="P16" i="9" s="1"/>
  <c r="O15" i="9"/>
  <c r="N15" i="9"/>
  <c r="M15" i="9"/>
  <c r="M12" i="9" s="1"/>
  <c r="M16" i="9" s="1"/>
  <c r="L15" i="9"/>
  <c r="L12" i="9" s="1"/>
  <c r="L16" i="9" s="1"/>
  <c r="K15" i="9"/>
  <c r="J15" i="9"/>
  <c r="I15" i="9"/>
  <c r="I12" i="9" s="1"/>
  <c r="I16" i="9" s="1"/>
  <c r="H15" i="9"/>
  <c r="H12" i="9" s="1"/>
  <c r="G15" i="9"/>
  <c r="F15" i="9"/>
  <c r="R12" i="9"/>
  <c r="R16" i="9" s="1"/>
  <c r="Q12" i="9"/>
  <c r="Q16" i="9" s="1"/>
  <c r="O12" i="9"/>
  <c r="O16" i="9" s="1"/>
  <c r="N12" i="9"/>
  <c r="N16" i="9" s="1"/>
  <c r="K12" i="9"/>
  <c r="K16" i="9" s="1"/>
  <c r="J12" i="9"/>
  <c r="J16" i="9" s="1"/>
  <c r="G12" i="9"/>
  <c r="F12" i="9"/>
  <c r="F16" i="9" s="1"/>
  <c r="R10" i="9"/>
  <c r="R7" i="9" s="1"/>
  <c r="R11" i="9" s="1"/>
  <c r="Q10" i="9"/>
  <c r="Q7" i="9" s="1"/>
  <c r="Q11" i="9" s="1"/>
  <c r="P10" i="9"/>
  <c r="O10" i="9"/>
  <c r="O7" i="9" s="1"/>
  <c r="O11" i="9" s="1"/>
  <c r="N10" i="9"/>
  <c r="N7" i="9" s="1"/>
  <c r="N11" i="9" s="1"/>
  <c r="M10" i="9"/>
  <c r="L10" i="9"/>
  <c r="K10" i="9"/>
  <c r="J10" i="9"/>
  <c r="J7" i="9" s="1"/>
  <c r="J11" i="9" s="1"/>
  <c r="I10" i="9"/>
  <c r="H10" i="9"/>
  <c r="G10" i="9"/>
  <c r="G7" i="9" s="1"/>
  <c r="G11" i="9" s="1"/>
  <c r="F10" i="9"/>
  <c r="F7" i="9" s="1"/>
  <c r="P7" i="9"/>
  <c r="P11" i="9" s="1"/>
  <c r="M7" i="9"/>
  <c r="M11" i="9" s="1"/>
  <c r="L7" i="9"/>
  <c r="L11" i="9" s="1"/>
  <c r="K7" i="9"/>
  <c r="K11" i="9" s="1"/>
  <c r="I7" i="9"/>
  <c r="I11" i="9" s="1"/>
  <c r="H7" i="9"/>
  <c r="H11" i="9" s="1"/>
  <c r="R71" i="8"/>
  <c r="M71" i="8"/>
  <c r="S70" i="8"/>
  <c r="R70" i="8"/>
  <c r="Q70" i="8"/>
  <c r="Q67" i="8" s="1"/>
  <c r="Q71" i="8" s="1"/>
  <c r="P70" i="8"/>
  <c r="P67" i="8" s="1"/>
  <c r="P71" i="8" s="1"/>
  <c r="O70" i="8"/>
  <c r="N70" i="8"/>
  <c r="M70" i="8"/>
  <c r="L70" i="8"/>
  <c r="L67" i="8" s="1"/>
  <c r="L71" i="8" s="1"/>
  <c r="K70" i="8"/>
  <c r="K67" i="8" s="1"/>
  <c r="K71" i="8" s="1"/>
  <c r="J70" i="8"/>
  <c r="I70" i="8"/>
  <c r="I67" i="8" s="1"/>
  <c r="I71" i="8" s="1"/>
  <c r="H70" i="8"/>
  <c r="H67" i="8" s="1"/>
  <c r="H71" i="8" s="1"/>
  <c r="G70" i="8"/>
  <c r="G67" i="8" s="1"/>
  <c r="G71" i="8" s="1"/>
  <c r="F70" i="8"/>
  <c r="F67" i="8" s="1"/>
  <c r="S67" i="8"/>
  <c r="S71" i="8" s="1"/>
  <c r="R67" i="8"/>
  <c r="O67" i="8"/>
  <c r="O71" i="8" s="1"/>
  <c r="N67" i="8"/>
  <c r="N71" i="8" s="1"/>
  <c r="M67" i="8"/>
  <c r="J67" i="8"/>
  <c r="J71" i="8" s="1"/>
  <c r="O66" i="8"/>
  <c r="J66" i="8"/>
  <c r="S65" i="8"/>
  <c r="S62" i="8" s="1"/>
  <c r="S66" i="8" s="1"/>
  <c r="R65" i="8"/>
  <c r="R62" i="8" s="1"/>
  <c r="R66" i="8" s="1"/>
  <c r="Q65" i="8"/>
  <c r="P65" i="8"/>
  <c r="O65" i="8"/>
  <c r="N65" i="8"/>
  <c r="N62" i="8" s="1"/>
  <c r="N66" i="8" s="1"/>
  <c r="M65" i="8"/>
  <c r="M62" i="8" s="1"/>
  <c r="M66" i="8" s="1"/>
  <c r="L65" i="8"/>
  <c r="K65" i="8"/>
  <c r="J65" i="8"/>
  <c r="I65" i="8"/>
  <c r="I62" i="8" s="1"/>
  <c r="I66" i="8" s="1"/>
  <c r="H65" i="8"/>
  <c r="H62" i="8" s="1"/>
  <c r="H66" i="8" s="1"/>
  <c r="G65" i="8"/>
  <c r="F65" i="8"/>
  <c r="F62" i="8" s="1"/>
  <c r="Q62" i="8"/>
  <c r="Q66" i="8" s="1"/>
  <c r="P62" i="8"/>
  <c r="P66" i="8" s="1"/>
  <c r="O62" i="8"/>
  <c r="L62" i="8"/>
  <c r="L66" i="8" s="1"/>
  <c r="K62" i="8"/>
  <c r="K66" i="8" s="1"/>
  <c r="J62" i="8"/>
  <c r="G62" i="8"/>
  <c r="G66" i="8" s="1"/>
  <c r="L61" i="8"/>
  <c r="G61" i="8"/>
  <c r="S60" i="8"/>
  <c r="S57" i="8" s="1"/>
  <c r="S61" i="8" s="1"/>
  <c r="R60" i="8"/>
  <c r="R57" i="8" s="1"/>
  <c r="R61" i="8" s="1"/>
  <c r="Q60" i="8"/>
  <c r="Q57" i="8" s="1"/>
  <c r="Q61" i="8" s="1"/>
  <c r="P60" i="8"/>
  <c r="P57" i="8" s="1"/>
  <c r="P61" i="8" s="1"/>
  <c r="O60" i="8"/>
  <c r="O57" i="8" s="1"/>
  <c r="O61" i="8" s="1"/>
  <c r="N60" i="8"/>
  <c r="M60" i="8"/>
  <c r="L60" i="8"/>
  <c r="K60" i="8"/>
  <c r="K57" i="8" s="1"/>
  <c r="K61" i="8" s="1"/>
  <c r="J60" i="8"/>
  <c r="J57" i="8" s="1"/>
  <c r="J61" i="8" s="1"/>
  <c r="I60" i="8"/>
  <c r="H60" i="8"/>
  <c r="G60" i="8"/>
  <c r="F60" i="8"/>
  <c r="F57" i="8" s="1"/>
  <c r="N57" i="8"/>
  <c r="N61" i="8" s="1"/>
  <c r="M57" i="8"/>
  <c r="M61" i="8" s="1"/>
  <c r="L57" i="8"/>
  <c r="I57" i="8"/>
  <c r="I61" i="8" s="1"/>
  <c r="H57" i="8"/>
  <c r="H61" i="8" s="1"/>
  <c r="G57" i="8"/>
  <c r="I56" i="8"/>
  <c r="S55" i="8"/>
  <c r="S52" i="8" s="1"/>
  <c r="S56" i="8" s="1"/>
  <c r="R55" i="8"/>
  <c r="R52" i="8" s="1"/>
  <c r="R56" i="8" s="1"/>
  <c r="Q55" i="8"/>
  <c r="P55" i="8"/>
  <c r="P52" i="8" s="1"/>
  <c r="P56" i="8" s="1"/>
  <c r="O55" i="8"/>
  <c r="O52" i="8" s="1"/>
  <c r="O56" i="8" s="1"/>
  <c r="N55" i="8"/>
  <c r="N52" i="8" s="1"/>
  <c r="N56" i="8" s="1"/>
  <c r="M55" i="8"/>
  <c r="M52" i="8" s="1"/>
  <c r="M56" i="8" s="1"/>
  <c r="L55" i="8"/>
  <c r="L52" i="8" s="1"/>
  <c r="L56" i="8" s="1"/>
  <c r="K55" i="8"/>
  <c r="J55" i="8"/>
  <c r="I55" i="8"/>
  <c r="H55" i="8"/>
  <c r="H52" i="8" s="1"/>
  <c r="H56" i="8" s="1"/>
  <c r="G55" i="8"/>
  <c r="G52" i="8" s="1"/>
  <c r="G56" i="8" s="1"/>
  <c r="F55" i="8"/>
  <c r="Q52" i="8"/>
  <c r="Q56" i="8" s="1"/>
  <c r="K52" i="8"/>
  <c r="K56" i="8" s="1"/>
  <c r="J52" i="8"/>
  <c r="J56" i="8" s="1"/>
  <c r="I52" i="8"/>
  <c r="F52" i="8"/>
  <c r="Q51" i="8"/>
  <c r="F51" i="8"/>
  <c r="S50" i="8"/>
  <c r="R50" i="8"/>
  <c r="Q50" i="8"/>
  <c r="P50" i="8"/>
  <c r="P47" i="8" s="1"/>
  <c r="P51" i="8" s="1"/>
  <c r="O50" i="8"/>
  <c r="O47" i="8" s="1"/>
  <c r="O51" i="8" s="1"/>
  <c r="N50" i="8"/>
  <c r="M50" i="8"/>
  <c r="M47" i="8" s="1"/>
  <c r="M51" i="8" s="1"/>
  <c r="L50" i="8"/>
  <c r="L47" i="8" s="1"/>
  <c r="L51" i="8" s="1"/>
  <c r="K50" i="8"/>
  <c r="K47" i="8" s="1"/>
  <c r="K51" i="8" s="1"/>
  <c r="J50" i="8"/>
  <c r="J47" i="8" s="1"/>
  <c r="J51" i="8" s="1"/>
  <c r="I50" i="8"/>
  <c r="I47" i="8" s="1"/>
  <c r="I51" i="8" s="1"/>
  <c r="H50" i="8"/>
  <c r="G50" i="8"/>
  <c r="F50" i="8"/>
  <c r="S47" i="8"/>
  <c r="S51" i="8" s="1"/>
  <c r="R47" i="8"/>
  <c r="R51" i="8" s="1"/>
  <c r="Q47" i="8"/>
  <c r="N47" i="8"/>
  <c r="N51" i="8" s="1"/>
  <c r="H47" i="8"/>
  <c r="H51" i="8" s="1"/>
  <c r="G47" i="8"/>
  <c r="G51" i="8" s="1"/>
  <c r="F47" i="8"/>
  <c r="S46" i="8"/>
  <c r="N46" i="8"/>
  <c r="S45" i="8"/>
  <c r="R45" i="8"/>
  <c r="R42" i="8" s="1"/>
  <c r="R46" i="8" s="1"/>
  <c r="Q45" i="8"/>
  <c r="Q42" i="8" s="1"/>
  <c r="Q46" i="8" s="1"/>
  <c r="P45" i="8"/>
  <c r="O45" i="8"/>
  <c r="N45" i="8"/>
  <c r="M45" i="8"/>
  <c r="M42" i="8" s="1"/>
  <c r="M46" i="8" s="1"/>
  <c r="L45" i="8"/>
  <c r="L42" i="8" s="1"/>
  <c r="L46" i="8" s="1"/>
  <c r="K45" i="8"/>
  <c r="J45" i="8"/>
  <c r="J42" i="8" s="1"/>
  <c r="J46" i="8" s="1"/>
  <c r="I45" i="8"/>
  <c r="I42" i="8" s="1"/>
  <c r="I46" i="8" s="1"/>
  <c r="H45" i="8"/>
  <c r="H42" i="8" s="1"/>
  <c r="H46" i="8" s="1"/>
  <c r="G45" i="8"/>
  <c r="G42" i="8" s="1"/>
  <c r="G46" i="8" s="1"/>
  <c r="F45" i="8"/>
  <c r="F42" i="8" s="1"/>
  <c r="S42" i="8"/>
  <c r="P42" i="8"/>
  <c r="P46" i="8" s="1"/>
  <c r="O42" i="8"/>
  <c r="O46" i="8" s="1"/>
  <c r="N42" i="8"/>
  <c r="K42" i="8"/>
  <c r="K46" i="8" s="1"/>
  <c r="P41" i="8"/>
  <c r="K41" i="8"/>
  <c r="S40" i="8"/>
  <c r="S37" i="8" s="1"/>
  <c r="S41" i="8" s="1"/>
  <c r="R40" i="8"/>
  <c r="Q40" i="8"/>
  <c r="P40" i="8"/>
  <c r="O40" i="8"/>
  <c r="O37" i="8" s="1"/>
  <c r="O41" i="8" s="1"/>
  <c r="N40" i="8"/>
  <c r="N37" i="8" s="1"/>
  <c r="N41" i="8" s="1"/>
  <c r="M40" i="8"/>
  <c r="L40" i="8"/>
  <c r="K40" i="8"/>
  <c r="J40" i="8"/>
  <c r="J37" i="8" s="1"/>
  <c r="J41" i="8" s="1"/>
  <c r="I40" i="8"/>
  <c r="I37" i="8" s="1"/>
  <c r="I41" i="8" s="1"/>
  <c r="H40" i="8"/>
  <c r="G40" i="8"/>
  <c r="G37" i="8" s="1"/>
  <c r="G41" i="8" s="1"/>
  <c r="F40" i="8"/>
  <c r="F37" i="8" s="1"/>
  <c r="R37" i="8"/>
  <c r="R41" i="8" s="1"/>
  <c r="Q37" i="8"/>
  <c r="Q41" i="8" s="1"/>
  <c r="P37" i="8"/>
  <c r="M37" i="8"/>
  <c r="M41" i="8" s="1"/>
  <c r="L37" i="8"/>
  <c r="L41" i="8" s="1"/>
  <c r="K37" i="8"/>
  <c r="H37" i="8"/>
  <c r="H41" i="8" s="1"/>
  <c r="M36" i="8"/>
  <c r="H36" i="8"/>
  <c r="S35" i="8"/>
  <c r="S32" i="8" s="1"/>
  <c r="S36" i="8" s="1"/>
  <c r="R35" i="8"/>
  <c r="R32" i="8" s="1"/>
  <c r="R36" i="8" s="1"/>
  <c r="Q35" i="8"/>
  <c r="Q32" i="8" s="1"/>
  <c r="Q36" i="8" s="1"/>
  <c r="P35" i="8"/>
  <c r="P32" i="8" s="1"/>
  <c r="P36" i="8" s="1"/>
  <c r="O35" i="8"/>
  <c r="N35" i="8"/>
  <c r="M35" i="8"/>
  <c r="L35" i="8"/>
  <c r="L32" i="8" s="1"/>
  <c r="L36" i="8" s="1"/>
  <c r="K35" i="8"/>
  <c r="K32" i="8" s="1"/>
  <c r="K36" i="8" s="1"/>
  <c r="J35" i="8"/>
  <c r="I35" i="8"/>
  <c r="H35" i="8"/>
  <c r="G35" i="8"/>
  <c r="G32" i="8" s="1"/>
  <c r="G36" i="8" s="1"/>
  <c r="F35" i="8"/>
  <c r="F32" i="8" s="1"/>
  <c r="O32" i="8"/>
  <c r="O36" i="8" s="1"/>
  <c r="N32" i="8"/>
  <c r="N36" i="8" s="1"/>
  <c r="M32" i="8"/>
  <c r="J32" i="8"/>
  <c r="J36" i="8" s="1"/>
  <c r="I32" i="8"/>
  <c r="I36" i="8" s="1"/>
  <c r="H32" i="8"/>
  <c r="J31" i="8"/>
  <c r="S30" i="8"/>
  <c r="S27" i="8" s="1"/>
  <c r="S31" i="8" s="1"/>
  <c r="R30" i="8"/>
  <c r="Q30" i="8"/>
  <c r="Q27" i="8" s="1"/>
  <c r="Q31" i="8" s="1"/>
  <c r="P30" i="8"/>
  <c r="P27" i="8" s="1"/>
  <c r="P31" i="8" s="1"/>
  <c r="O30" i="8"/>
  <c r="O27" i="8" s="1"/>
  <c r="O31" i="8" s="1"/>
  <c r="N30" i="8"/>
  <c r="N27" i="8" s="1"/>
  <c r="N31" i="8" s="1"/>
  <c r="M30" i="8"/>
  <c r="M27" i="8" s="1"/>
  <c r="M31" i="8" s="1"/>
  <c r="L30" i="8"/>
  <c r="K30" i="8"/>
  <c r="J30" i="8"/>
  <c r="I30" i="8"/>
  <c r="I27" i="8" s="1"/>
  <c r="I31" i="8" s="1"/>
  <c r="H30" i="8"/>
  <c r="H27" i="8" s="1"/>
  <c r="H31" i="8" s="1"/>
  <c r="G30" i="8"/>
  <c r="F30" i="8"/>
  <c r="R27" i="8"/>
  <c r="R31" i="8" s="1"/>
  <c r="L27" i="8"/>
  <c r="L31" i="8" s="1"/>
  <c r="K27" i="8"/>
  <c r="K31" i="8" s="1"/>
  <c r="J27" i="8"/>
  <c r="G27" i="8"/>
  <c r="G31" i="8" s="1"/>
  <c r="F27" i="8"/>
  <c r="T27" i="8" s="1"/>
  <c r="R26" i="8"/>
  <c r="G26" i="8"/>
  <c r="S25" i="8"/>
  <c r="R25" i="8"/>
  <c r="Q25" i="8"/>
  <c r="Q22" i="8" s="1"/>
  <c r="Q26" i="8" s="1"/>
  <c r="P25" i="8"/>
  <c r="P22" i="8" s="1"/>
  <c r="P26" i="8" s="1"/>
  <c r="O25" i="8"/>
  <c r="N25" i="8"/>
  <c r="N22" i="8" s="1"/>
  <c r="N26" i="8" s="1"/>
  <c r="M25" i="8"/>
  <c r="M22" i="8" s="1"/>
  <c r="M26" i="8" s="1"/>
  <c r="L25" i="8"/>
  <c r="L22" i="8" s="1"/>
  <c r="L26" i="8" s="1"/>
  <c r="K25" i="8"/>
  <c r="K22" i="8" s="1"/>
  <c r="K26" i="8" s="1"/>
  <c r="J25" i="8"/>
  <c r="J22" i="8" s="1"/>
  <c r="J26" i="8" s="1"/>
  <c r="I25" i="8"/>
  <c r="H25" i="8"/>
  <c r="G25" i="8"/>
  <c r="F25" i="8"/>
  <c r="F22" i="8" s="1"/>
  <c r="S22" i="8"/>
  <c r="S26" i="8" s="1"/>
  <c r="R22" i="8"/>
  <c r="O22" i="8"/>
  <c r="O26" i="8" s="1"/>
  <c r="I22" i="8"/>
  <c r="I26" i="8" s="1"/>
  <c r="H22" i="8"/>
  <c r="H26" i="8" s="1"/>
  <c r="G22" i="8"/>
  <c r="O21" i="8"/>
  <c r="S20" i="8"/>
  <c r="S17" i="8" s="1"/>
  <c r="S21" i="8" s="1"/>
  <c r="R20" i="8"/>
  <c r="R17" i="8" s="1"/>
  <c r="R21" i="8" s="1"/>
  <c r="Q20" i="8"/>
  <c r="P20" i="8"/>
  <c r="O20" i="8"/>
  <c r="N20" i="8"/>
  <c r="N17" i="8" s="1"/>
  <c r="N21" i="8" s="1"/>
  <c r="M20" i="8"/>
  <c r="M17" i="8" s="1"/>
  <c r="M21" i="8" s="1"/>
  <c r="L20" i="8"/>
  <c r="K20" i="8"/>
  <c r="K17" i="8" s="1"/>
  <c r="K21" i="8" s="1"/>
  <c r="J20" i="8"/>
  <c r="J17" i="8" s="1"/>
  <c r="J21" i="8" s="1"/>
  <c r="I20" i="8"/>
  <c r="I17" i="8" s="1"/>
  <c r="I21" i="8" s="1"/>
  <c r="H20" i="8"/>
  <c r="H17" i="8" s="1"/>
  <c r="H21" i="8" s="1"/>
  <c r="G20" i="8"/>
  <c r="G17" i="8" s="1"/>
  <c r="G21" i="8" s="1"/>
  <c r="F20" i="8"/>
  <c r="Q17" i="8"/>
  <c r="Q21" i="8" s="1"/>
  <c r="P17" i="8"/>
  <c r="P21" i="8" s="1"/>
  <c r="O17" i="8"/>
  <c r="L17" i="8"/>
  <c r="L21" i="8" s="1"/>
  <c r="F17" i="8"/>
  <c r="T17" i="8" s="1"/>
  <c r="Q16" i="8"/>
  <c r="L16" i="8"/>
  <c r="S15" i="8"/>
  <c r="R15" i="8"/>
  <c r="Q15" i="8"/>
  <c r="P15" i="8"/>
  <c r="P12" i="8" s="1"/>
  <c r="P16" i="8" s="1"/>
  <c r="O15" i="8"/>
  <c r="O12" i="8" s="1"/>
  <c r="O16" i="8" s="1"/>
  <c r="N15" i="8"/>
  <c r="M15" i="8"/>
  <c r="L15" i="8"/>
  <c r="K15" i="8"/>
  <c r="K12" i="8" s="1"/>
  <c r="K16" i="8" s="1"/>
  <c r="J15" i="8"/>
  <c r="J12" i="8" s="1"/>
  <c r="J16" i="8" s="1"/>
  <c r="I15" i="8"/>
  <c r="H15" i="8"/>
  <c r="H12" i="8" s="1"/>
  <c r="H16" i="8" s="1"/>
  <c r="G15" i="8"/>
  <c r="G12" i="8" s="1"/>
  <c r="G16" i="8" s="1"/>
  <c r="F15" i="8"/>
  <c r="F12" i="8" s="1"/>
  <c r="S12" i="8"/>
  <c r="S16" i="8" s="1"/>
  <c r="R12" i="8"/>
  <c r="R16" i="8" s="1"/>
  <c r="Q12" i="8"/>
  <c r="N12" i="8"/>
  <c r="N16" i="8" s="1"/>
  <c r="M12" i="8"/>
  <c r="M16" i="8" s="1"/>
  <c r="L12" i="8"/>
  <c r="I12" i="8"/>
  <c r="I16" i="8" s="1"/>
  <c r="N11" i="8"/>
  <c r="I11" i="8"/>
  <c r="S10" i="8"/>
  <c r="S7" i="8" s="1"/>
  <c r="S11" i="8" s="1"/>
  <c r="R10" i="8"/>
  <c r="R7" i="8" s="1"/>
  <c r="R11" i="8" s="1"/>
  <c r="Q10" i="8"/>
  <c r="Q7" i="8" s="1"/>
  <c r="Q11" i="8" s="1"/>
  <c r="P10" i="8"/>
  <c r="O10" i="8"/>
  <c r="N10" i="8"/>
  <c r="M10" i="8"/>
  <c r="M7" i="8" s="1"/>
  <c r="M11" i="8" s="1"/>
  <c r="L10" i="8"/>
  <c r="L7" i="8" s="1"/>
  <c r="L11" i="8" s="1"/>
  <c r="K10" i="8"/>
  <c r="J10" i="8"/>
  <c r="I10" i="8"/>
  <c r="H10" i="8"/>
  <c r="H7" i="8" s="1"/>
  <c r="H11" i="8" s="1"/>
  <c r="G10" i="8"/>
  <c r="G7" i="8" s="1"/>
  <c r="G11" i="8" s="1"/>
  <c r="F10" i="8"/>
  <c r="P7" i="8"/>
  <c r="P11" i="8" s="1"/>
  <c r="O7" i="8"/>
  <c r="O11" i="8" s="1"/>
  <c r="N7" i="8"/>
  <c r="K7" i="8"/>
  <c r="K11" i="8" s="1"/>
  <c r="J7" i="8"/>
  <c r="J11" i="8" s="1"/>
  <c r="I7" i="8"/>
  <c r="F7" i="8"/>
  <c r="G110" i="7"/>
  <c r="F110" i="7"/>
  <c r="M109" i="7"/>
  <c r="L109" i="7"/>
  <c r="K109" i="7"/>
  <c r="K106" i="7" s="1"/>
  <c r="K110" i="7" s="1"/>
  <c r="J109" i="7"/>
  <c r="J106" i="7" s="1"/>
  <c r="J110" i="7" s="1"/>
  <c r="I109" i="7"/>
  <c r="I106" i="7" s="1"/>
  <c r="I110" i="7" s="1"/>
  <c r="H109" i="7"/>
  <c r="H106" i="7" s="1"/>
  <c r="H110" i="7" s="1"/>
  <c r="G109" i="7"/>
  <c r="M106" i="7" s="1"/>
  <c r="M110" i="7" s="1"/>
  <c r="F109" i="7"/>
  <c r="G106" i="7"/>
  <c r="F106" i="7"/>
  <c r="L105" i="7"/>
  <c r="M104" i="7"/>
  <c r="L104" i="7"/>
  <c r="K104" i="7"/>
  <c r="K101" i="7" s="1"/>
  <c r="K105" i="7" s="1"/>
  <c r="J104" i="7"/>
  <c r="J101" i="7" s="1"/>
  <c r="J105" i="7" s="1"/>
  <c r="I104" i="7"/>
  <c r="I101" i="7" s="1"/>
  <c r="I105" i="7" s="1"/>
  <c r="H104" i="7"/>
  <c r="H101" i="7" s="1"/>
  <c r="H105" i="7" s="1"/>
  <c r="G104" i="7"/>
  <c r="G101" i="7" s="1"/>
  <c r="G105" i="7" s="1"/>
  <c r="F104" i="7"/>
  <c r="F101" i="7" s="1"/>
  <c r="M101" i="7"/>
  <c r="M105" i="7" s="1"/>
  <c r="L101" i="7"/>
  <c r="L100" i="7"/>
  <c r="G100" i="7"/>
  <c r="M99" i="7"/>
  <c r="L99" i="7"/>
  <c r="K99" i="7"/>
  <c r="J99" i="7"/>
  <c r="I99" i="7"/>
  <c r="H99" i="7"/>
  <c r="G99" i="7"/>
  <c r="F99" i="7"/>
  <c r="F96" i="7" s="1"/>
  <c r="M96" i="7"/>
  <c r="M100" i="7" s="1"/>
  <c r="L96" i="7"/>
  <c r="K96" i="7"/>
  <c r="K100" i="7" s="1"/>
  <c r="J96" i="7"/>
  <c r="J100" i="7" s="1"/>
  <c r="I96" i="7"/>
  <c r="I100" i="7" s="1"/>
  <c r="H96" i="7"/>
  <c r="H100" i="7" s="1"/>
  <c r="G96" i="7"/>
  <c r="G95" i="7"/>
  <c r="M94" i="7"/>
  <c r="L94" i="7"/>
  <c r="K94" i="7"/>
  <c r="K91" i="7" s="1"/>
  <c r="K95" i="7" s="1"/>
  <c r="J94" i="7"/>
  <c r="J91" i="7" s="1"/>
  <c r="J95" i="7" s="1"/>
  <c r="I94" i="7"/>
  <c r="I91" i="7" s="1"/>
  <c r="I95" i="7" s="1"/>
  <c r="H94" i="7"/>
  <c r="G94" i="7"/>
  <c r="M91" i="7" s="1"/>
  <c r="M95" i="7" s="1"/>
  <c r="F94" i="7"/>
  <c r="L91" i="7"/>
  <c r="L95" i="7" s="1"/>
  <c r="H91" i="7"/>
  <c r="H95" i="7" s="1"/>
  <c r="G91" i="7"/>
  <c r="F91" i="7"/>
  <c r="M89" i="7"/>
  <c r="L89" i="7"/>
  <c r="K89" i="7"/>
  <c r="K86" i="7" s="1"/>
  <c r="K90" i="7" s="1"/>
  <c r="J89" i="7"/>
  <c r="J86" i="7" s="1"/>
  <c r="J90" i="7" s="1"/>
  <c r="I89" i="7"/>
  <c r="I86" i="7" s="1"/>
  <c r="I90" i="7" s="1"/>
  <c r="H89" i="7"/>
  <c r="H86" i="7" s="1"/>
  <c r="H90" i="7" s="1"/>
  <c r="G89" i="7"/>
  <c r="L86" i="7" s="1"/>
  <c r="L90" i="7" s="1"/>
  <c r="F89" i="7"/>
  <c r="F86" i="7" s="1"/>
  <c r="M85" i="7"/>
  <c r="H85" i="7"/>
  <c r="M84" i="7"/>
  <c r="L84" i="7"/>
  <c r="K84" i="7"/>
  <c r="J84" i="7"/>
  <c r="I84" i="7"/>
  <c r="H84" i="7"/>
  <c r="G84" i="7"/>
  <c r="G81" i="7" s="1"/>
  <c r="G85" i="7" s="1"/>
  <c r="F84" i="7"/>
  <c r="F81" i="7" s="1"/>
  <c r="M81" i="7"/>
  <c r="L81" i="7"/>
  <c r="L85" i="7" s="1"/>
  <c r="K81" i="7"/>
  <c r="K85" i="7" s="1"/>
  <c r="J81" i="7"/>
  <c r="J85" i="7" s="1"/>
  <c r="I81" i="7"/>
  <c r="I85" i="7" s="1"/>
  <c r="H81" i="7"/>
  <c r="H80" i="7"/>
  <c r="M79" i="7"/>
  <c r="L79" i="7"/>
  <c r="K79" i="7"/>
  <c r="K76" i="7" s="1"/>
  <c r="K80" i="7" s="1"/>
  <c r="J79" i="7"/>
  <c r="J76" i="7" s="1"/>
  <c r="J80" i="7" s="1"/>
  <c r="I79" i="7"/>
  <c r="H79" i="7"/>
  <c r="G79" i="7"/>
  <c r="L76" i="7" s="1"/>
  <c r="L80" i="7" s="1"/>
  <c r="F79" i="7"/>
  <c r="M76" i="7"/>
  <c r="M80" i="7" s="1"/>
  <c r="I76" i="7"/>
  <c r="I80" i="7" s="1"/>
  <c r="H76" i="7"/>
  <c r="G76" i="7"/>
  <c r="G80" i="7" s="1"/>
  <c r="F76" i="7"/>
  <c r="N76" i="7" s="1"/>
  <c r="M74" i="7"/>
  <c r="L74" i="7"/>
  <c r="K74" i="7"/>
  <c r="K71" i="7" s="1"/>
  <c r="K75" i="7" s="1"/>
  <c r="J74" i="7"/>
  <c r="J71" i="7" s="1"/>
  <c r="J75" i="7" s="1"/>
  <c r="I74" i="7"/>
  <c r="I71" i="7" s="1"/>
  <c r="I75" i="7" s="1"/>
  <c r="H74" i="7"/>
  <c r="H71" i="7" s="1"/>
  <c r="H75" i="7" s="1"/>
  <c r="G74" i="7"/>
  <c r="M71" i="7" s="1"/>
  <c r="M75" i="7" s="1"/>
  <c r="F74" i="7"/>
  <c r="F71" i="7" s="1"/>
  <c r="I70" i="7"/>
  <c r="M69" i="7"/>
  <c r="L69" i="7"/>
  <c r="K69" i="7"/>
  <c r="J69" i="7"/>
  <c r="I69" i="7"/>
  <c r="H69" i="7"/>
  <c r="H66" i="7" s="1"/>
  <c r="H70" i="7" s="1"/>
  <c r="G69" i="7"/>
  <c r="G66" i="7" s="1"/>
  <c r="G70" i="7" s="1"/>
  <c r="F69" i="7"/>
  <c r="F66" i="7" s="1"/>
  <c r="M66" i="7"/>
  <c r="M70" i="7" s="1"/>
  <c r="L66" i="7"/>
  <c r="L70" i="7" s="1"/>
  <c r="K66" i="7"/>
  <c r="K70" i="7" s="1"/>
  <c r="J66" i="7"/>
  <c r="J70" i="7" s="1"/>
  <c r="I66" i="7"/>
  <c r="I65" i="7"/>
  <c r="M64" i="7"/>
  <c r="L64" i="7"/>
  <c r="K64" i="7"/>
  <c r="K61" i="7" s="1"/>
  <c r="K65" i="7" s="1"/>
  <c r="J64" i="7"/>
  <c r="I64" i="7"/>
  <c r="H64" i="7"/>
  <c r="G64" i="7"/>
  <c r="M61" i="7" s="1"/>
  <c r="M65" i="7" s="1"/>
  <c r="F64" i="7"/>
  <c r="L61" i="7"/>
  <c r="L65" i="7" s="1"/>
  <c r="J61" i="7"/>
  <c r="J65" i="7" s="1"/>
  <c r="I61" i="7"/>
  <c r="H61" i="7"/>
  <c r="H65" i="7" s="1"/>
  <c r="G61" i="7"/>
  <c r="G65" i="7" s="1"/>
  <c r="F61" i="7"/>
  <c r="N61" i="7" s="1"/>
  <c r="M59" i="7"/>
  <c r="L59" i="7"/>
  <c r="K59" i="7"/>
  <c r="K56" i="7" s="1"/>
  <c r="K60" i="7" s="1"/>
  <c r="J59" i="7"/>
  <c r="J56" i="7" s="1"/>
  <c r="J60" i="7" s="1"/>
  <c r="I59" i="7"/>
  <c r="I56" i="7" s="1"/>
  <c r="I60" i="7" s="1"/>
  <c r="H59" i="7"/>
  <c r="H56" i="7" s="1"/>
  <c r="H60" i="7" s="1"/>
  <c r="G59" i="7"/>
  <c r="M56" i="7" s="1"/>
  <c r="M60" i="7" s="1"/>
  <c r="F59" i="7"/>
  <c r="F56" i="7" s="1"/>
  <c r="J55" i="7"/>
  <c r="M54" i="7"/>
  <c r="L54" i="7"/>
  <c r="K54" i="7"/>
  <c r="J54" i="7"/>
  <c r="I54" i="7"/>
  <c r="I51" i="7" s="1"/>
  <c r="I55" i="7" s="1"/>
  <c r="H54" i="7"/>
  <c r="H51" i="7" s="1"/>
  <c r="H55" i="7" s="1"/>
  <c r="G54" i="7"/>
  <c r="G51" i="7" s="1"/>
  <c r="G55" i="7" s="1"/>
  <c r="F54" i="7"/>
  <c r="F51" i="7" s="1"/>
  <c r="M51" i="7"/>
  <c r="M55" i="7" s="1"/>
  <c r="L51" i="7"/>
  <c r="L55" i="7" s="1"/>
  <c r="K51" i="7"/>
  <c r="K55" i="7" s="1"/>
  <c r="J51" i="7"/>
  <c r="J50" i="7"/>
  <c r="M49" i="7"/>
  <c r="L49" i="7"/>
  <c r="K49" i="7"/>
  <c r="J49" i="7"/>
  <c r="I49" i="7"/>
  <c r="H49" i="7"/>
  <c r="G49" i="7"/>
  <c r="F49" i="7"/>
  <c r="M46" i="7"/>
  <c r="M50" i="7" s="1"/>
  <c r="L46" i="7"/>
  <c r="L50" i="7" s="1"/>
  <c r="K46" i="7"/>
  <c r="K50" i="7" s="1"/>
  <c r="J46" i="7"/>
  <c r="I46" i="7"/>
  <c r="I50" i="7" s="1"/>
  <c r="H46" i="7"/>
  <c r="H50" i="7" s="1"/>
  <c r="G46" i="7"/>
  <c r="G50" i="7" s="1"/>
  <c r="F46" i="7"/>
  <c r="N46" i="7" s="1"/>
  <c r="M44" i="7"/>
  <c r="L44" i="7"/>
  <c r="K44" i="7"/>
  <c r="K41" i="7" s="1"/>
  <c r="K45" i="7" s="1"/>
  <c r="J44" i="7"/>
  <c r="J41" i="7" s="1"/>
  <c r="J45" i="7" s="1"/>
  <c r="I44" i="7"/>
  <c r="I41" i="7" s="1"/>
  <c r="I45" i="7" s="1"/>
  <c r="H44" i="7"/>
  <c r="H41" i="7" s="1"/>
  <c r="H45" i="7" s="1"/>
  <c r="G44" i="7"/>
  <c r="M41" i="7" s="1"/>
  <c r="M45" i="7" s="1"/>
  <c r="F44" i="7"/>
  <c r="F41" i="7"/>
  <c r="K40" i="7"/>
  <c r="M39" i="7"/>
  <c r="L39" i="7"/>
  <c r="K39" i="7"/>
  <c r="J39" i="7"/>
  <c r="J36" i="7" s="1"/>
  <c r="J40" i="7" s="1"/>
  <c r="I39" i="7"/>
  <c r="I36" i="7" s="1"/>
  <c r="I40" i="7" s="1"/>
  <c r="H39" i="7"/>
  <c r="H36" i="7" s="1"/>
  <c r="H40" i="7" s="1"/>
  <c r="G39" i="7"/>
  <c r="G36" i="7" s="1"/>
  <c r="G40" i="7" s="1"/>
  <c r="F39" i="7"/>
  <c r="F36" i="7" s="1"/>
  <c r="M36" i="7"/>
  <c r="M40" i="7" s="1"/>
  <c r="L36" i="7"/>
  <c r="L40" i="7" s="1"/>
  <c r="K36" i="7"/>
  <c r="K35" i="7"/>
  <c r="F35" i="7"/>
  <c r="N35" i="7" s="1"/>
  <c r="M34" i="7"/>
  <c r="L34" i="7"/>
  <c r="K34" i="7"/>
  <c r="J34" i="7"/>
  <c r="I34" i="7"/>
  <c r="H34" i="7"/>
  <c r="G34" i="7"/>
  <c r="F34" i="7"/>
  <c r="M31" i="7"/>
  <c r="M35" i="7" s="1"/>
  <c r="L31" i="7"/>
  <c r="L35" i="7" s="1"/>
  <c r="K31" i="7"/>
  <c r="J31" i="7"/>
  <c r="J35" i="7" s="1"/>
  <c r="I31" i="7"/>
  <c r="I35" i="7" s="1"/>
  <c r="H31" i="7"/>
  <c r="H35" i="7" s="1"/>
  <c r="G31" i="7"/>
  <c r="G35" i="7" s="1"/>
  <c r="F31" i="7"/>
  <c r="N31" i="7" s="1"/>
  <c r="F30" i="7"/>
  <c r="N30" i="7" s="1"/>
  <c r="O30" i="7" s="1"/>
  <c r="M29" i="7"/>
  <c r="L29" i="7"/>
  <c r="K29" i="7"/>
  <c r="K26" i="7" s="1"/>
  <c r="K30" i="7" s="1"/>
  <c r="J29" i="7"/>
  <c r="J26" i="7" s="1"/>
  <c r="J30" i="7" s="1"/>
  <c r="I29" i="7"/>
  <c r="I26" i="7" s="1"/>
  <c r="I30" i="7" s="1"/>
  <c r="H29" i="7"/>
  <c r="H26" i="7" s="1"/>
  <c r="H30" i="7" s="1"/>
  <c r="G29" i="7"/>
  <c r="F29" i="7"/>
  <c r="M26" i="7"/>
  <c r="M30" i="7" s="1"/>
  <c r="L26" i="7"/>
  <c r="L30" i="7" s="1"/>
  <c r="G26" i="7"/>
  <c r="G30" i="7" s="1"/>
  <c r="F26" i="7"/>
  <c r="N26" i="7" s="1"/>
  <c r="L25" i="7"/>
  <c r="M24" i="7"/>
  <c r="L24" i="7"/>
  <c r="K24" i="7"/>
  <c r="K21" i="7" s="1"/>
  <c r="K25" i="7" s="1"/>
  <c r="J24" i="7"/>
  <c r="J21" i="7" s="1"/>
  <c r="J25" i="7" s="1"/>
  <c r="I24" i="7"/>
  <c r="I21" i="7" s="1"/>
  <c r="I25" i="7" s="1"/>
  <c r="H24" i="7"/>
  <c r="H21" i="7" s="1"/>
  <c r="H25" i="7" s="1"/>
  <c r="G24" i="7"/>
  <c r="G21" i="7" s="1"/>
  <c r="G25" i="7" s="1"/>
  <c r="F24" i="7"/>
  <c r="F21" i="7" s="1"/>
  <c r="M21" i="7"/>
  <c r="M25" i="7" s="1"/>
  <c r="L21" i="7"/>
  <c r="L20" i="7"/>
  <c r="G20" i="7"/>
  <c r="M19" i="7"/>
  <c r="L19" i="7"/>
  <c r="K19" i="7"/>
  <c r="J19" i="7"/>
  <c r="I19" i="7"/>
  <c r="H19" i="7"/>
  <c r="G19" i="7"/>
  <c r="F19" i="7"/>
  <c r="F16" i="7" s="1"/>
  <c r="M16" i="7"/>
  <c r="M20" i="7" s="1"/>
  <c r="L16" i="7"/>
  <c r="K16" i="7"/>
  <c r="K20" i="7" s="1"/>
  <c r="J16" i="7"/>
  <c r="J20" i="7" s="1"/>
  <c r="I16" i="7"/>
  <c r="I20" i="7" s="1"/>
  <c r="H16" i="7"/>
  <c r="H20" i="7" s="1"/>
  <c r="G16" i="7"/>
  <c r="G15" i="7"/>
  <c r="M14" i="7"/>
  <c r="L14" i="7"/>
  <c r="K14" i="7"/>
  <c r="K11" i="7" s="1"/>
  <c r="K15" i="7" s="1"/>
  <c r="J14" i="7"/>
  <c r="J11" i="7" s="1"/>
  <c r="J15" i="7" s="1"/>
  <c r="I14" i="7"/>
  <c r="I11" i="7" s="1"/>
  <c r="I15" i="7" s="1"/>
  <c r="H14" i="7"/>
  <c r="G14" i="7"/>
  <c r="F14" i="7"/>
  <c r="M11" i="7"/>
  <c r="M15" i="7" s="1"/>
  <c r="L11" i="7"/>
  <c r="L15" i="7" s="1"/>
  <c r="H11" i="7"/>
  <c r="H15" i="7" s="1"/>
  <c r="G11" i="7"/>
  <c r="F11" i="7"/>
  <c r="M9" i="7"/>
  <c r="L9" i="7"/>
  <c r="K9" i="7"/>
  <c r="K6" i="7" s="1"/>
  <c r="K10" i="7" s="1"/>
  <c r="J9" i="7"/>
  <c r="J6" i="7" s="1"/>
  <c r="J10" i="7" s="1"/>
  <c r="I9" i="7"/>
  <c r="I6" i="7" s="1"/>
  <c r="I10" i="7" s="1"/>
  <c r="H9" i="7"/>
  <c r="H6" i="7" s="1"/>
  <c r="H10" i="7" s="1"/>
  <c r="G9" i="7"/>
  <c r="L6" i="7" s="1"/>
  <c r="L10" i="7" s="1"/>
  <c r="F9" i="7"/>
  <c r="F6" i="7" s="1"/>
  <c r="T17" i="11" l="1"/>
  <c r="F21" i="11"/>
  <c r="T21" i="11" s="1"/>
  <c r="U21" i="11" s="1"/>
  <c r="T22" i="11"/>
  <c r="T32" i="11"/>
  <c r="F36" i="11"/>
  <c r="T36" i="11" s="1"/>
  <c r="U36" i="11" s="1"/>
  <c r="G11" i="11"/>
  <c r="T11" i="11" s="1"/>
  <c r="U11" i="11" s="1"/>
  <c r="T7" i="11"/>
  <c r="T27" i="11"/>
  <c r="F31" i="11"/>
  <c r="T31" i="11" s="1"/>
  <c r="U31" i="11" s="1"/>
  <c r="T12" i="11"/>
  <c r="F16" i="11"/>
  <c r="T16" i="11" s="1"/>
  <c r="U16" i="11" s="1"/>
  <c r="F26" i="11"/>
  <c r="T26" i="11" s="1"/>
  <c r="U26" i="11" s="1"/>
  <c r="G41" i="10"/>
  <c r="T41" i="10" s="1"/>
  <c r="T37" i="10"/>
  <c r="T52" i="10"/>
  <c r="F56" i="10"/>
  <c r="T56" i="10" s="1"/>
  <c r="U56" i="10" s="1"/>
  <c r="T62" i="10"/>
  <c r="F66" i="10"/>
  <c r="T66" i="10" s="1"/>
  <c r="U66" i="10" s="1"/>
  <c r="T17" i="10"/>
  <c r="F21" i="10"/>
  <c r="T21" i="10" s="1"/>
  <c r="U21" i="10" s="1"/>
  <c r="U61" i="10"/>
  <c r="T22" i="10"/>
  <c r="T11" i="10"/>
  <c r="U11" i="10" s="1"/>
  <c r="T26" i="10"/>
  <c r="U26" i="10" s="1"/>
  <c r="G31" i="10"/>
  <c r="T31" i="10" s="1"/>
  <c r="U31" i="10" s="1"/>
  <c r="T27" i="10"/>
  <c r="T42" i="10"/>
  <c r="F46" i="10"/>
  <c r="T46" i="10" s="1"/>
  <c r="T12" i="10"/>
  <c r="F16" i="10"/>
  <c r="T16" i="10" s="1"/>
  <c r="U16" i="10" s="1"/>
  <c r="T32" i="10"/>
  <c r="F71" i="10"/>
  <c r="T71" i="10" s="1"/>
  <c r="T67" i="10"/>
  <c r="T7" i="10"/>
  <c r="F36" i="10"/>
  <c r="T36" i="10" s="1"/>
  <c r="U36" i="10" s="1"/>
  <c r="T57" i="10"/>
  <c r="F51" i="10"/>
  <c r="T51" i="10" s="1"/>
  <c r="U51" i="10" s="1"/>
  <c r="S12" i="9"/>
  <c r="H16" i="9"/>
  <c r="S47" i="9"/>
  <c r="F51" i="9"/>
  <c r="S51" i="9" s="1"/>
  <c r="T51" i="9" s="1"/>
  <c r="S67" i="9"/>
  <c r="F71" i="9"/>
  <c r="S71" i="9" s="1"/>
  <c r="T71" i="9" s="1"/>
  <c r="S17" i="9"/>
  <c r="F21" i="9"/>
  <c r="S21" i="9" s="1"/>
  <c r="T21" i="9" s="1"/>
  <c r="S62" i="9"/>
  <c r="H36" i="9"/>
  <c r="S32" i="9"/>
  <c r="S46" i="9"/>
  <c r="T46" i="9" s="1"/>
  <c r="S52" i="9"/>
  <c r="G56" i="9"/>
  <c r="S56" i="9" s="1"/>
  <c r="T56" i="9" s="1"/>
  <c r="S16" i="9"/>
  <c r="T16" i="9" s="1"/>
  <c r="S27" i="9"/>
  <c r="F31" i="9"/>
  <c r="S31" i="9" s="1"/>
  <c r="S57" i="9"/>
  <c r="F61" i="9"/>
  <c r="S61" i="9" s="1"/>
  <c r="T61" i="9" s="1"/>
  <c r="S37" i="9"/>
  <c r="F41" i="9"/>
  <c r="S41" i="9" s="1"/>
  <c r="T41" i="9" s="1"/>
  <c r="S7" i="9"/>
  <c r="F11" i="9"/>
  <c r="S11" i="9" s="1"/>
  <c r="T11" i="9" s="1"/>
  <c r="S22" i="9"/>
  <c r="S36" i="9"/>
  <c r="S42" i="9"/>
  <c r="F26" i="9"/>
  <c r="S26" i="9" s="1"/>
  <c r="T26" i="9" s="1"/>
  <c r="F66" i="9"/>
  <c r="S66" i="9" s="1"/>
  <c r="T66" i="9" s="1"/>
  <c r="T67" i="8"/>
  <c r="F71" i="8"/>
  <c r="T71" i="8" s="1"/>
  <c r="T7" i="8"/>
  <c r="T57" i="8"/>
  <c r="F61" i="8"/>
  <c r="T61" i="8" s="1"/>
  <c r="U61" i="8" s="1"/>
  <c r="T32" i="8"/>
  <c r="F36" i="8"/>
  <c r="T36" i="8" s="1"/>
  <c r="U36" i="8" s="1"/>
  <c r="T51" i="8"/>
  <c r="U51" i="8" s="1"/>
  <c r="F46" i="8"/>
  <c r="T46" i="8" s="1"/>
  <c r="U46" i="8" s="1"/>
  <c r="T42" i="8"/>
  <c r="T52" i="8"/>
  <c r="F16" i="8"/>
  <c r="T16" i="8" s="1"/>
  <c r="U16" i="8" s="1"/>
  <c r="T12" i="8"/>
  <c r="T62" i="8"/>
  <c r="F66" i="8"/>
  <c r="T66" i="8" s="1"/>
  <c r="U66" i="8" s="1"/>
  <c r="T22" i="8"/>
  <c r="F26" i="8"/>
  <c r="T26" i="8" s="1"/>
  <c r="F41" i="8"/>
  <c r="T41" i="8" s="1"/>
  <c r="T37" i="8"/>
  <c r="F11" i="8"/>
  <c r="T11" i="8" s="1"/>
  <c r="U11" i="8" s="1"/>
  <c r="F31" i="8"/>
  <c r="T31" i="8" s="1"/>
  <c r="U31" i="8" s="1"/>
  <c r="F56" i="8"/>
  <c r="T56" i="8" s="1"/>
  <c r="T47" i="8"/>
  <c r="F21" i="8"/>
  <c r="T21" i="8" s="1"/>
  <c r="U21" i="8" s="1"/>
  <c r="N16" i="7"/>
  <c r="F20" i="7"/>
  <c r="N20" i="7" s="1"/>
  <c r="O20" i="7" s="1"/>
  <c r="O35" i="7"/>
  <c r="F10" i="7"/>
  <c r="F70" i="7"/>
  <c r="N70" i="7" s="1"/>
  <c r="N66" i="7"/>
  <c r="F90" i="7"/>
  <c r="N90" i="7" s="1"/>
  <c r="N86" i="7"/>
  <c r="F40" i="7"/>
  <c r="N40" i="7" s="1"/>
  <c r="O40" i="7" s="1"/>
  <c r="N36" i="7"/>
  <c r="F60" i="7"/>
  <c r="F85" i="7"/>
  <c r="N85" i="7" s="1"/>
  <c r="O85" i="7" s="1"/>
  <c r="N81" i="7"/>
  <c r="N91" i="7"/>
  <c r="F105" i="7"/>
  <c r="N105" i="7" s="1"/>
  <c r="N101" i="7"/>
  <c r="N11" i="7"/>
  <c r="F25" i="7"/>
  <c r="N25" i="7" s="1"/>
  <c r="N21" i="7"/>
  <c r="F75" i="7"/>
  <c r="F55" i="7"/>
  <c r="N55" i="7" s="1"/>
  <c r="N51" i="7"/>
  <c r="N96" i="7"/>
  <c r="F100" i="7"/>
  <c r="N100" i="7" s="1"/>
  <c r="O100" i="7" s="1"/>
  <c r="F50" i="7"/>
  <c r="N50" i="7" s="1"/>
  <c r="O50" i="7" s="1"/>
  <c r="M6" i="7"/>
  <c r="M10" i="7" s="1"/>
  <c r="M86" i="7"/>
  <c r="M90" i="7" s="1"/>
  <c r="F80" i="7"/>
  <c r="N80" i="7" s="1"/>
  <c r="O80" i="7" s="1"/>
  <c r="F65" i="7"/>
  <c r="N65" i="7" s="1"/>
  <c r="O65" i="7" s="1"/>
  <c r="F15" i="7"/>
  <c r="N15" i="7" s="1"/>
  <c r="F95" i="7"/>
  <c r="N95" i="7" s="1"/>
  <c r="O95" i="7" s="1"/>
  <c r="G56" i="7"/>
  <c r="G60" i="7" s="1"/>
  <c r="F45" i="7"/>
  <c r="G71" i="7"/>
  <c r="G75" i="7" s="1"/>
  <c r="G6" i="7"/>
  <c r="G10" i="7" s="1"/>
  <c r="G86" i="7"/>
  <c r="G90" i="7" s="1"/>
  <c r="L106" i="7"/>
  <c r="L110" i="7" s="1"/>
  <c r="N110" i="7" s="1"/>
  <c r="L41" i="7"/>
  <c r="L45" i="7" s="1"/>
  <c r="G41" i="7"/>
  <c r="G45" i="7" s="1"/>
  <c r="L56" i="7"/>
  <c r="L60" i="7" s="1"/>
  <c r="L71" i="7"/>
  <c r="L75" i="7" s="1"/>
  <c r="U71" i="10" l="1"/>
  <c r="U46" i="10"/>
  <c r="U41" i="10"/>
  <c r="T36" i="9"/>
  <c r="T31" i="9"/>
  <c r="U56" i="8"/>
  <c r="U41" i="8"/>
  <c r="U71" i="8"/>
  <c r="U26" i="8"/>
  <c r="N71" i="7"/>
  <c r="N75" i="7"/>
  <c r="O75" i="7" s="1"/>
  <c r="O25" i="7"/>
  <c r="N10" i="7"/>
  <c r="N41" i="7"/>
  <c r="N60" i="7"/>
  <c r="O55" i="7"/>
  <c r="N106" i="7"/>
  <c r="O110" i="7" s="1"/>
  <c r="N45" i="7"/>
  <c r="O45" i="7" s="1"/>
  <c r="O70" i="7"/>
  <c r="N6" i="7"/>
  <c r="N56" i="7"/>
  <c r="O90" i="7"/>
  <c r="O15" i="7"/>
  <c r="O105" i="7"/>
  <c r="O60" i="7" l="1"/>
  <c r="O1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B96D613B-963F-4F68-A5CD-EF21CD372CCD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824C331F-5A51-4CC4-B657-7B23B516E293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25FB0F22-A663-4230-AB80-FA4A87BC9797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E5" authorId="0" shapeId="0" xr:uid="{C051C337-D98F-4173-8CB7-AA43E88FD055}">
      <text>
        <r>
          <rPr>
            <b/>
            <sz val="8"/>
            <color indexed="81"/>
            <rFont val="Tahoma"/>
            <family val="2"/>
          </rPr>
          <t>USER: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<sst xmlns="http://schemas.openxmlformats.org/spreadsheetml/2006/main" count="538" uniqueCount="154">
  <si>
    <t>رقم تسلسل</t>
  </si>
  <si>
    <t>رقم القيد</t>
  </si>
  <si>
    <t>التقييم</t>
  </si>
  <si>
    <t>الأمتحان النهائي</t>
  </si>
  <si>
    <t>المجموع</t>
  </si>
  <si>
    <t>مبادئ برمجة</t>
  </si>
  <si>
    <t>عدد الوحدات</t>
  </si>
  <si>
    <t>التقييم النهائي</t>
  </si>
  <si>
    <t>اســــــم الطالـــــب</t>
  </si>
  <si>
    <t>معدل الفصل</t>
  </si>
  <si>
    <t>لغة انجليزية2</t>
  </si>
  <si>
    <t>صحة وسلامة مهنية</t>
  </si>
  <si>
    <t>لغـــة انجليزيـــــة 1</t>
  </si>
  <si>
    <t>تحليل وتصميم نظم</t>
  </si>
  <si>
    <t>مواد مطالب بها من الفصل الاول</t>
  </si>
  <si>
    <t>رياضة1</t>
  </si>
  <si>
    <t>فيزياء</t>
  </si>
  <si>
    <t>لغة عربية</t>
  </si>
  <si>
    <t>اساسيات الحاسوب</t>
  </si>
  <si>
    <t>اسس هندسة مهربائية</t>
  </si>
  <si>
    <t>اساسيات برمجة</t>
  </si>
  <si>
    <t>ريان عاشور عبدالقادر</t>
  </si>
  <si>
    <t>سندس زين العابدين مازن</t>
  </si>
  <si>
    <t>رياضة 2</t>
  </si>
  <si>
    <t>البرمجة بلغة ++c</t>
  </si>
  <si>
    <t>قواعد بيانات 1</t>
  </si>
  <si>
    <t>انظمة رقمية</t>
  </si>
  <si>
    <t>اسس هندسة كهربائية</t>
  </si>
  <si>
    <t>هويدا محمد قدافي</t>
  </si>
  <si>
    <t>متطلبات حماية الشبكات</t>
  </si>
  <si>
    <t>البرمجة المرئية 2</t>
  </si>
  <si>
    <t>هندسة برمجيات</t>
  </si>
  <si>
    <t>بدر عثمان مهدي بلامة</t>
  </si>
  <si>
    <t>رياضة 1</t>
  </si>
  <si>
    <t xml:space="preserve">اتصالات البيانات والشبكات  </t>
  </si>
  <si>
    <t>خلود السنوسي مصباح</t>
  </si>
  <si>
    <t>امينة عبدالسلام السالمي</t>
  </si>
  <si>
    <t>البرمجة الشيئية</t>
  </si>
  <si>
    <t>مواد مطالب بها من الفصل الرابع</t>
  </si>
  <si>
    <t>منهجية البحث</t>
  </si>
  <si>
    <t>مـــــواد الفصــــــــــــــل الثانــــــــــــــــي</t>
  </si>
  <si>
    <t>التقديـــر</t>
  </si>
  <si>
    <t>نتيجــة الطالــب</t>
  </si>
  <si>
    <t>مــلا حظات</t>
  </si>
  <si>
    <t xml:space="preserve"> لغة انجليزية 1 </t>
  </si>
  <si>
    <t xml:space="preserve">لغة عربية </t>
  </si>
  <si>
    <t>اساسيات الحاسب الآلى</t>
  </si>
  <si>
    <t xml:space="preserve"> صحة وسلامة مهنية</t>
  </si>
  <si>
    <t>مـــــواد الفصــــــــــــــل الثااـــث</t>
  </si>
  <si>
    <t>مواد مطالب بها من الفصل الثاني</t>
  </si>
  <si>
    <t>قواعد بيانات2</t>
  </si>
  <si>
    <t xml:space="preserve">البرمجة المرئية1 </t>
  </si>
  <si>
    <t>تطبيقات حاسوب2</t>
  </si>
  <si>
    <t>لغة انجليزية4</t>
  </si>
  <si>
    <t>لغة انجليزية3</t>
  </si>
  <si>
    <t>ADO.NET</t>
  </si>
  <si>
    <t xml:space="preserve">مقدمة في برمجة الأنترنت </t>
  </si>
  <si>
    <t>تراكيب بيانات و خوارزميات</t>
  </si>
  <si>
    <t>مواضيع محتارة 1</t>
  </si>
  <si>
    <t>مواد مطالب بها من الفصل الثالــث</t>
  </si>
  <si>
    <t>مـــــواد الفصــــــــــــــل الرابـــع</t>
  </si>
  <si>
    <t>إدارة مشاريع</t>
  </si>
  <si>
    <t>الدعم الفني المعلومات</t>
  </si>
  <si>
    <t>Xml Programming</t>
  </si>
  <si>
    <t>مصطلحات فنيــة</t>
  </si>
  <si>
    <t>مواضيع محتارة 2</t>
  </si>
  <si>
    <t>وسائط متعددة</t>
  </si>
  <si>
    <t>مـــــواد الفصــــــــــــــل الخامس</t>
  </si>
  <si>
    <t>فاطمة محمد ابوطريف</t>
  </si>
  <si>
    <t>رغد احمد مصباح</t>
  </si>
  <si>
    <t>خديجة مفتاح عمر</t>
  </si>
  <si>
    <t>سلمى اغلس اكناس</t>
  </si>
  <si>
    <t>مبروكة صالح إبراهيم</t>
  </si>
  <si>
    <t>موسى كالو موسى</t>
  </si>
  <si>
    <t>رجعة ميهوب احمد</t>
  </si>
  <si>
    <t>فاطمة إبراهيم ميلاد</t>
  </si>
  <si>
    <t>فاطمة علي محمد جداد</t>
  </si>
  <si>
    <t>امباركة محمد كريم</t>
  </si>
  <si>
    <t>وعد ابوعجيلة خليفة</t>
  </si>
  <si>
    <t>امال احمد عمر</t>
  </si>
  <si>
    <t>فاطمة امحمد عبدالقادر</t>
  </si>
  <si>
    <t>مريم حسين الهادي</t>
  </si>
  <si>
    <t>ليلى حسين الهادي</t>
  </si>
  <si>
    <t>منى صابر سالم</t>
  </si>
  <si>
    <t>ملاك ناصر رجب</t>
  </si>
  <si>
    <t>زينب حسين صالح</t>
  </si>
  <si>
    <t>رؤية فتحي شنتال</t>
  </si>
  <si>
    <t>رغد جاب الله بشير</t>
  </si>
  <si>
    <t>منية عامر مصباح</t>
  </si>
  <si>
    <t>هنادي عبدالسلام سالم</t>
  </si>
  <si>
    <t>جيدة عبدالله السيد</t>
  </si>
  <si>
    <t>سالمة فتحي كالو</t>
  </si>
  <si>
    <t>وئام مصباح غيث</t>
  </si>
  <si>
    <t>نجوى عبدالله رحيل</t>
  </si>
  <si>
    <t>خديجة عبدالسلام كعبري</t>
  </si>
  <si>
    <t>رواسي محمد محمد حسن</t>
  </si>
  <si>
    <t>محمد بشير ابوالعيون</t>
  </si>
  <si>
    <t>اشرف علي السنوسي</t>
  </si>
  <si>
    <t>صالح الصغير ابوشعوة</t>
  </si>
  <si>
    <t>عبدالعزيز امحمد عبدالعزيز</t>
  </si>
  <si>
    <t>علاء الدين إبراهيم</t>
  </si>
  <si>
    <t>فاطمة عبدالقادر علي</t>
  </si>
  <si>
    <t>مبروكة يوسف احميدة غرياني</t>
  </si>
  <si>
    <t>تبرة علي محمد بوكريع</t>
  </si>
  <si>
    <t>فاطمة محمد دنده</t>
  </si>
  <si>
    <t>سجود محمد علي عجيلي</t>
  </si>
  <si>
    <t>خديجة امحمد عبدالسلام</t>
  </si>
  <si>
    <t>بابه عياد علي شكوة</t>
  </si>
  <si>
    <t>أعمال الفصل</t>
  </si>
  <si>
    <t>CO231004</t>
  </si>
  <si>
    <t>CO252001</t>
  </si>
  <si>
    <t>CO252002</t>
  </si>
  <si>
    <t>CO252003</t>
  </si>
  <si>
    <t>CO252004</t>
  </si>
  <si>
    <t>CO252005</t>
  </si>
  <si>
    <t>CO252006</t>
  </si>
  <si>
    <t>CO252007</t>
  </si>
  <si>
    <t>CO252008</t>
  </si>
  <si>
    <t>CO252009</t>
  </si>
  <si>
    <t>CO252010</t>
  </si>
  <si>
    <t>CO252011</t>
  </si>
  <si>
    <t>CO252012</t>
  </si>
  <si>
    <t>CO252014</t>
  </si>
  <si>
    <t>CO252015</t>
  </si>
  <si>
    <t>CO252016</t>
  </si>
  <si>
    <t>CO252017</t>
  </si>
  <si>
    <t>CO252018</t>
  </si>
  <si>
    <t>CO252019</t>
  </si>
  <si>
    <t>CO252020</t>
  </si>
  <si>
    <t>CO252021</t>
  </si>
  <si>
    <t>CO222008</t>
  </si>
  <si>
    <t>CO231003</t>
  </si>
  <si>
    <t>CO231008</t>
  </si>
  <si>
    <t>CO231010</t>
  </si>
  <si>
    <t>CO232016</t>
  </si>
  <si>
    <t>CO232018</t>
  </si>
  <si>
    <t>CO232008</t>
  </si>
  <si>
    <t>CO241001</t>
  </si>
  <si>
    <t>CO251001</t>
  </si>
  <si>
    <t>CO251002</t>
  </si>
  <si>
    <t>CO251003</t>
  </si>
  <si>
    <t>CO252013</t>
  </si>
  <si>
    <t>اعمال الفصل</t>
  </si>
  <si>
    <t>CO231017</t>
  </si>
  <si>
    <t>CO231009</t>
  </si>
  <si>
    <t>CO232005</t>
  </si>
  <si>
    <t>CO232017</t>
  </si>
  <si>
    <t>CO231001</t>
  </si>
  <si>
    <t>CO231013</t>
  </si>
  <si>
    <t>CO232007</t>
  </si>
  <si>
    <t>CO232029</t>
  </si>
  <si>
    <t>CO231016</t>
  </si>
  <si>
    <t>CO242002</t>
  </si>
  <si>
    <t>CO242007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</si>
</sst>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i/>
      <sz val="2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4"/>
      <name val="Arial"/>
      <family val="2"/>
    </font>
    <font>
      <b/>
      <i/>
      <sz val="1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7FBD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44">
    <border>
      <left/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1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thick">
        <color indexed="10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 style="double">
        <color indexed="64"/>
      </top>
      <bottom style="thick">
        <color indexed="10"/>
      </bottom>
      <diagonal/>
    </border>
    <border>
      <left style="double">
        <color indexed="64"/>
      </left>
      <right/>
      <top style="double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10"/>
      </top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thick">
        <color indexed="10"/>
      </bottom>
      <diagonal/>
    </border>
    <border>
      <left style="double">
        <color indexed="64"/>
      </left>
      <right style="double">
        <color indexed="64"/>
      </right>
      <top/>
      <bottom style="thick">
        <color indexed="10"/>
      </bottom>
      <diagonal/>
    </border>
    <border>
      <left style="thick">
        <color indexed="64"/>
      </left>
      <right style="double">
        <color indexed="64"/>
      </right>
      <top style="thick">
        <color indexed="10"/>
      </top>
      <bottom/>
      <diagonal/>
    </border>
    <border>
      <left style="double">
        <color indexed="64"/>
      </left>
      <right/>
      <top style="thick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5">
    <xf numFmtId="0" fontId="0" fillId="0" borderId="0" xfId="0"/>
    <xf numFmtId="0" fontId="6" fillId="0" borderId="1" xfId="0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/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2" borderId="7" xfId="0" applyFont="1" applyFill="1" applyBorder="1" applyAlignment="1">
      <alignment wrapText="1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6" fillId="2" borderId="8" xfId="0" applyFont="1" applyFill="1" applyBorder="1" applyAlignment="1">
      <alignment wrapText="1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5" borderId="15" xfId="0" applyFont="1" applyFill="1" applyBorder="1"/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 textRotation="90"/>
    </xf>
    <xf numFmtId="0" fontId="7" fillId="3" borderId="12" xfId="0" applyFont="1" applyFill="1" applyBorder="1" applyAlignment="1">
      <alignment horizontal="center" vertical="center" textRotation="90"/>
    </xf>
    <xf numFmtId="0" fontId="7" fillId="3" borderId="16" xfId="0" applyFont="1" applyFill="1" applyBorder="1" applyAlignment="1">
      <alignment horizontal="center" vertical="center" textRotation="90"/>
    </xf>
    <xf numFmtId="0" fontId="7" fillId="3" borderId="17" xfId="0" applyFont="1" applyFill="1" applyBorder="1" applyAlignment="1">
      <alignment horizontal="center" vertical="center" textRotation="90"/>
    </xf>
    <xf numFmtId="0" fontId="8" fillId="0" borderId="4" xfId="0" applyFont="1" applyBorder="1"/>
    <xf numFmtId="0" fontId="8" fillId="0" borderId="1" xfId="0" applyFont="1" applyBorder="1"/>
    <xf numFmtId="0" fontId="8" fillId="0" borderId="15" xfId="0" applyFont="1" applyBorder="1"/>
    <xf numFmtId="0" fontId="8" fillId="0" borderId="19" xfId="0" applyFont="1" applyBorder="1" applyAlignment="1">
      <alignment wrapText="1"/>
    </xf>
    <xf numFmtId="0" fontId="8" fillId="0" borderId="2" xfId="0" applyFont="1" applyBorder="1"/>
    <xf numFmtId="0" fontId="8" fillId="0" borderId="8" xfId="0" applyFont="1" applyBorder="1" applyAlignment="1">
      <alignment wrapText="1"/>
    </xf>
    <xf numFmtId="0" fontId="8" fillId="0" borderId="7" xfId="0" applyFont="1" applyBorder="1" applyAlignment="1">
      <alignment wrapText="1"/>
    </xf>
    <xf numFmtId="0" fontId="8" fillId="0" borderId="8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7" xfId="0" applyFont="1" applyBorder="1" applyAlignment="1">
      <alignment vertical="center" wrapText="1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9" xfId="0" applyFont="1" applyBorder="1" applyAlignment="1">
      <alignment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textRotation="90"/>
    </xf>
    <xf numFmtId="0" fontId="4" fillId="3" borderId="22" xfId="0" applyFont="1" applyFill="1" applyBorder="1" applyAlignment="1">
      <alignment horizontal="center" textRotation="90"/>
    </xf>
    <xf numFmtId="0" fontId="4" fillId="4" borderId="23" xfId="0" applyFont="1" applyFill="1" applyBorder="1" applyAlignment="1">
      <alignment horizontal="center"/>
    </xf>
    <xf numFmtId="0" fontId="4" fillId="4" borderId="24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/>
    </xf>
    <xf numFmtId="0" fontId="4" fillId="4" borderId="25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 vertical="center" textRotation="90"/>
    </xf>
    <xf numFmtId="0" fontId="4" fillId="3" borderId="22" xfId="0" applyFont="1" applyFill="1" applyBorder="1" applyAlignment="1">
      <alignment horizontal="center" vertical="center" textRotation="90"/>
    </xf>
    <xf numFmtId="0" fontId="4" fillId="3" borderId="17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4" fillId="3" borderId="22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wrapText="1"/>
    </xf>
    <xf numFmtId="0" fontId="6" fillId="2" borderId="19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/>
    </xf>
    <xf numFmtId="0" fontId="8" fillId="6" borderId="5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6" borderId="19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7" borderId="19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19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4" fillId="0" borderId="28" xfId="0" applyFont="1" applyBorder="1" applyAlignment="1">
      <alignment horizontal="center" vertical="center" textRotation="90"/>
    </xf>
    <xf numFmtId="0" fontId="4" fillId="0" borderId="29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22" xfId="0" applyFont="1" applyBorder="1" applyAlignment="1">
      <alignment horizontal="center" vertical="center" textRotation="90"/>
    </xf>
    <xf numFmtId="0" fontId="7" fillId="0" borderId="8" xfId="0" applyFont="1" applyBorder="1" applyAlignment="1">
      <alignment horizontal="center" vertical="center" textRotation="90"/>
    </xf>
    <xf numFmtId="0" fontId="7" fillId="0" borderId="28" xfId="0" applyFont="1" applyBorder="1" applyAlignment="1">
      <alignment horizontal="center" vertical="center" textRotation="90"/>
    </xf>
    <xf numFmtId="0" fontId="7" fillId="0" borderId="29" xfId="0" applyFont="1" applyBorder="1" applyAlignment="1">
      <alignment horizontal="center" vertical="center" textRotation="90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0" fontId="4" fillId="0" borderId="38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 textRotation="90"/>
    </xf>
    <xf numFmtId="0" fontId="7" fillId="3" borderId="5" xfId="0" applyFont="1" applyFill="1" applyBorder="1" applyAlignment="1">
      <alignment horizontal="center" vertical="center" textRotation="90"/>
    </xf>
    <xf numFmtId="0" fontId="7" fillId="10" borderId="41" xfId="0" applyFont="1" applyFill="1" applyBorder="1" applyAlignment="1">
      <alignment horizontal="center" vertical="center"/>
    </xf>
    <xf numFmtId="0" fontId="7" fillId="10" borderId="42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9" fillId="0" borderId="5" xfId="0" applyFont="1" applyBorder="1" applyAlignment="1">
      <alignment textRotation="90"/>
    </xf>
    <xf numFmtId="0" fontId="9" fillId="0" borderId="5" xfId="0" applyFont="1" applyBorder="1" applyAlignment="1">
      <alignment vertical="center"/>
    </xf>
    <xf numFmtId="0" fontId="7" fillId="3" borderId="27" xfId="0" applyFont="1" applyFill="1" applyBorder="1" applyAlignment="1">
      <alignment horizontal="center" vertical="center" textRotation="90"/>
    </xf>
    <xf numFmtId="0" fontId="7" fillId="3" borderId="36" xfId="0" applyFont="1" applyFill="1" applyBorder="1" applyAlignment="1">
      <alignment horizontal="center" vertical="center" textRotation="90"/>
    </xf>
    <xf numFmtId="0" fontId="7" fillId="11" borderId="41" xfId="0" applyFont="1" applyFill="1" applyBorder="1" applyAlignment="1">
      <alignment horizontal="center" vertical="center"/>
    </xf>
    <xf numFmtId="0" fontId="7" fillId="11" borderId="42" xfId="0" applyFont="1" applyFill="1" applyBorder="1" applyAlignment="1">
      <alignment horizontal="center" vertical="center"/>
    </xf>
    <xf numFmtId="0" fontId="7" fillId="11" borderId="1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9" fillId="0" borderId="5" xfId="0" applyFont="1" applyBorder="1"/>
    <xf numFmtId="0" fontId="7" fillId="3" borderId="43" xfId="0" applyFont="1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2AF4F-95E1-4F46-85FF-D865CBCAF5F7}">
  <dimension ref="B4:R111"/>
  <sheetViews>
    <sheetView rightToLeft="1" topLeftCell="J53" workbookViewId="0">
      <selection activeCell="U69" sqref="U69"/>
    </sheetView>
  </sheetViews>
  <sheetFormatPr defaultRowHeight="12.75" x14ac:dyDescent="0.2"/>
  <cols>
    <col min="3" max="3" width="25.28515625" customWidth="1"/>
    <col min="5" max="5" width="24.28515625" customWidth="1"/>
    <col min="18" max="18" width="22.85546875" customWidth="1"/>
  </cols>
  <sheetData>
    <row r="4" spans="2:18" ht="13.5" thickBot="1" x14ac:dyDescent="0.25"/>
    <row r="5" spans="2:18" ht="108" thickTop="1" thickBot="1" x14ac:dyDescent="0.25">
      <c r="B5" s="86" t="s">
        <v>0</v>
      </c>
      <c r="C5" s="65" t="s">
        <v>8</v>
      </c>
      <c r="D5" s="64" t="s">
        <v>1</v>
      </c>
      <c r="E5" s="65" t="s">
        <v>2</v>
      </c>
      <c r="F5" s="62" t="s">
        <v>15</v>
      </c>
      <c r="G5" s="62" t="s">
        <v>16</v>
      </c>
      <c r="H5" s="62" t="s">
        <v>12</v>
      </c>
      <c r="I5" s="62" t="s">
        <v>17</v>
      </c>
      <c r="J5" s="62" t="s">
        <v>18</v>
      </c>
      <c r="K5" s="62" t="s">
        <v>11</v>
      </c>
      <c r="L5" s="56" t="s">
        <v>19</v>
      </c>
      <c r="M5" s="62" t="s">
        <v>20</v>
      </c>
      <c r="N5" s="62" t="s">
        <v>4</v>
      </c>
      <c r="O5" s="63" t="s">
        <v>9</v>
      </c>
      <c r="P5" s="61" t="s">
        <v>41</v>
      </c>
      <c r="Q5" s="55" t="s">
        <v>42</v>
      </c>
      <c r="R5" s="144" t="s">
        <v>43</v>
      </c>
    </row>
    <row r="6" spans="2:18" ht="20.25" thickTop="1" thickBot="1" x14ac:dyDescent="0.35">
      <c r="B6" s="98">
        <v>-1</v>
      </c>
      <c r="C6" s="94" t="s">
        <v>71</v>
      </c>
      <c r="D6" s="88" t="s">
        <v>109</v>
      </c>
      <c r="E6" s="57" t="s">
        <v>6</v>
      </c>
      <c r="F6" s="58">
        <f>IF(IF(F9=0,0,3),3,0)</f>
        <v>0</v>
      </c>
      <c r="G6" s="58">
        <f>IF(IF(G9=0,0,4),4,0)</f>
        <v>0</v>
      </c>
      <c r="H6" s="58">
        <f>IF(IF(H9=0,0,2),2,0)</f>
        <v>0</v>
      </c>
      <c r="I6" s="58">
        <f>IF(IF(I9=0,0,2),2,0)</f>
        <v>2</v>
      </c>
      <c r="J6" s="58">
        <f>IF(IF(J9=0,0,3),3,0)</f>
        <v>0</v>
      </c>
      <c r="K6" s="58">
        <f>IF(IF(K9=0,0,2),2,0)</f>
        <v>0</v>
      </c>
      <c r="L6" s="59">
        <f>IF(IF(G9=0,0,4),4,0)</f>
        <v>0</v>
      </c>
      <c r="M6" s="59">
        <f>IF(IF(G9=0,0,3),3,0)</f>
        <v>0</v>
      </c>
      <c r="N6" s="59">
        <f>SUM(F6:M6)</f>
        <v>2</v>
      </c>
      <c r="O6" s="60"/>
      <c r="P6" s="87"/>
      <c r="Q6" s="87"/>
      <c r="R6" s="90"/>
    </row>
    <row r="7" spans="2:18" ht="19.5" thickTop="1" thickBot="1" x14ac:dyDescent="0.3">
      <c r="B7" s="99"/>
      <c r="C7" s="95"/>
      <c r="D7" s="88"/>
      <c r="E7" s="5" t="s">
        <v>108</v>
      </c>
      <c r="F7" s="6">
        <v>0</v>
      </c>
      <c r="G7" s="6">
        <v>0</v>
      </c>
      <c r="H7" s="6">
        <v>0</v>
      </c>
      <c r="I7" s="7">
        <v>0</v>
      </c>
      <c r="J7" s="7">
        <v>0</v>
      </c>
      <c r="K7" s="7">
        <v>0</v>
      </c>
      <c r="L7" s="7">
        <v>0</v>
      </c>
      <c r="M7" s="3">
        <v>0</v>
      </c>
      <c r="N7" s="4"/>
      <c r="O7" s="16"/>
      <c r="P7" s="88"/>
      <c r="Q7" s="88"/>
      <c r="R7" s="91"/>
    </row>
    <row r="8" spans="2:18" ht="19.5" thickTop="1" thickBot="1" x14ac:dyDescent="0.3">
      <c r="B8" s="99"/>
      <c r="C8" s="95"/>
      <c r="D8" s="88"/>
      <c r="E8" s="1" t="s">
        <v>3</v>
      </c>
      <c r="F8" s="3">
        <v>0</v>
      </c>
      <c r="G8" s="3">
        <v>0</v>
      </c>
      <c r="H8" s="3">
        <v>0</v>
      </c>
      <c r="I8" s="3">
        <v>65</v>
      </c>
      <c r="J8" s="72">
        <v>0</v>
      </c>
      <c r="K8" s="3">
        <v>0</v>
      </c>
      <c r="L8" s="3">
        <v>0</v>
      </c>
      <c r="M8" s="72">
        <v>62</v>
      </c>
      <c r="N8" s="4"/>
      <c r="O8" s="16"/>
      <c r="P8" s="88"/>
      <c r="Q8" s="88"/>
      <c r="R8" s="91"/>
    </row>
    <row r="9" spans="2:18" ht="19.5" thickTop="1" thickBot="1" x14ac:dyDescent="0.3">
      <c r="B9" s="99"/>
      <c r="C9" s="95"/>
      <c r="D9" s="88"/>
      <c r="E9" s="21" t="s">
        <v>4</v>
      </c>
      <c r="F9" s="22">
        <f t="shared" ref="F9:M9" si="0">IF(F8&lt;30,F7,F7+F8)</f>
        <v>0</v>
      </c>
      <c r="G9" s="22">
        <f t="shared" si="0"/>
        <v>0</v>
      </c>
      <c r="H9" s="22">
        <f t="shared" si="0"/>
        <v>0</v>
      </c>
      <c r="I9" s="22">
        <f t="shared" si="0"/>
        <v>65</v>
      </c>
      <c r="J9" s="22">
        <f t="shared" si="0"/>
        <v>0</v>
      </c>
      <c r="K9" s="22">
        <f t="shared" si="0"/>
        <v>0</v>
      </c>
      <c r="L9" s="22">
        <f t="shared" si="0"/>
        <v>0</v>
      </c>
      <c r="M9" s="22">
        <f t="shared" si="0"/>
        <v>62</v>
      </c>
      <c r="N9" s="23"/>
      <c r="O9" s="24"/>
      <c r="P9" s="88"/>
      <c r="Q9" s="88"/>
      <c r="R9" s="91"/>
    </row>
    <row r="10" spans="2:18" ht="18" customHeight="1" thickTop="1" thickBot="1" x14ac:dyDescent="0.3">
      <c r="B10" s="100"/>
      <c r="C10" s="96"/>
      <c r="D10" s="89"/>
      <c r="E10" s="12" t="s">
        <v>7</v>
      </c>
      <c r="F10" s="13">
        <f t="shared" ref="F10:M10" si="1">SUM(F6*F9)</f>
        <v>0</v>
      </c>
      <c r="G10" s="13">
        <f t="shared" si="1"/>
        <v>0</v>
      </c>
      <c r="H10" s="13">
        <f t="shared" si="1"/>
        <v>0</v>
      </c>
      <c r="I10" s="13">
        <f t="shared" si="1"/>
        <v>130</v>
      </c>
      <c r="J10" s="13">
        <f t="shared" si="1"/>
        <v>0</v>
      </c>
      <c r="K10" s="13">
        <f t="shared" si="1"/>
        <v>0</v>
      </c>
      <c r="L10" s="13">
        <f t="shared" si="1"/>
        <v>0</v>
      </c>
      <c r="M10" s="13">
        <f t="shared" si="1"/>
        <v>0</v>
      </c>
      <c r="N10" s="14">
        <f>SUM(F10:M10)</f>
        <v>130</v>
      </c>
      <c r="O10" s="19">
        <f>SUM(N10/N6)</f>
        <v>65</v>
      </c>
      <c r="P10" s="89"/>
      <c r="Q10" s="89"/>
      <c r="R10" s="92"/>
    </row>
    <row r="11" spans="2:18" ht="20.25" thickTop="1" thickBot="1" x14ac:dyDescent="0.35">
      <c r="B11" s="111">
        <v>-2</v>
      </c>
      <c r="C11" s="97" t="s">
        <v>77</v>
      </c>
      <c r="D11" s="88" t="s">
        <v>110</v>
      </c>
      <c r="E11" s="15" t="s">
        <v>6</v>
      </c>
      <c r="F11" s="38">
        <f>IF(IF(F14=0,0,3),3,0)</f>
        <v>3</v>
      </c>
      <c r="G11" s="38">
        <f>IF(IF(G14=0,0,4),4,0)</f>
        <v>4</v>
      </c>
      <c r="H11" s="38">
        <f>IF(IF(H14=0,0,2),2,0)</f>
        <v>0</v>
      </c>
      <c r="I11" s="38">
        <f>IF(IF(I14=0,0,2),2,0)</f>
        <v>0</v>
      </c>
      <c r="J11" s="38">
        <f>IF(IF(J14=0,0,3),3,0)</f>
        <v>0</v>
      </c>
      <c r="K11" s="38">
        <f>IF(IF(K14=0,0,2),2,0)</f>
        <v>2</v>
      </c>
      <c r="L11" s="11">
        <f>IF(IF(G14=0,0,4),4,0)</f>
        <v>4</v>
      </c>
      <c r="M11" s="11">
        <f>IF(IF(G14=0,0,3),3,0)</f>
        <v>3</v>
      </c>
      <c r="N11" s="11">
        <f>SUM(F11:M11)</f>
        <v>16</v>
      </c>
      <c r="O11" s="17"/>
      <c r="P11" s="87"/>
      <c r="Q11" s="87"/>
      <c r="R11" s="90"/>
    </row>
    <row r="12" spans="2:18" ht="19.5" thickTop="1" thickBot="1" x14ac:dyDescent="0.3">
      <c r="B12" s="99"/>
      <c r="C12" s="95"/>
      <c r="D12" s="88"/>
      <c r="E12" s="5" t="s">
        <v>108</v>
      </c>
      <c r="F12" s="6">
        <v>30</v>
      </c>
      <c r="G12" s="6">
        <v>40</v>
      </c>
      <c r="H12" s="6">
        <v>0</v>
      </c>
      <c r="I12" s="7">
        <v>0</v>
      </c>
      <c r="J12" s="7">
        <v>0</v>
      </c>
      <c r="K12" s="7">
        <v>27</v>
      </c>
      <c r="L12" s="7">
        <v>26</v>
      </c>
      <c r="M12" s="7">
        <v>0</v>
      </c>
      <c r="N12" s="7"/>
      <c r="O12" s="18"/>
      <c r="P12" s="88"/>
      <c r="Q12" s="88"/>
      <c r="R12" s="91"/>
    </row>
    <row r="13" spans="2:18" ht="19.5" thickTop="1" thickBot="1" x14ac:dyDescent="0.3">
      <c r="B13" s="99"/>
      <c r="C13" s="95"/>
      <c r="D13" s="88"/>
      <c r="E13" s="1" t="s">
        <v>3</v>
      </c>
      <c r="F13" s="3">
        <v>0</v>
      </c>
      <c r="G13" s="3">
        <v>0</v>
      </c>
      <c r="H13" s="3">
        <v>0</v>
      </c>
      <c r="I13" s="3">
        <v>0</v>
      </c>
      <c r="J13" s="72">
        <v>0</v>
      </c>
      <c r="K13" s="3">
        <v>0</v>
      </c>
      <c r="L13" s="3">
        <v>0</v>
      </c>
      <c r="M13" s="72">
        <v>0</v>
      </c>
      <c r="N13" s="4"/>
      <c r="O13" s="16"/>
      <c r="P13" s="88"/>
      <c r="Q13" s="88"/>
      <c r="R13" s="91"/>
    </row>
    <row r="14" spans="2:18" ht="19.5" thickTop="1" thickBot="1" x14ac:dyDescent="0.3">
      <c r="B14" s="99"/>
      <c r="C14" s="95"/>
      <c r="D14" s="88"/>
      <c r="E14" s="21" t="s">
        <v>4</v>
      </c>
      <c r="F14" s="22">
        <f t="shared" ref="F14:M14" si="2">IF(F13&lt;30,F12,F12+F13)</f>
        <v>30</v>
      </c>
      <c r="G14" s="22">
        <f t="shared" si="2"/>
        <v>40</v>
      </c>
      <c r="H14" s="22">
        <f t="shared" si="2"/>
        <v>0</v>
      </c>
      <c r="I14" s="22">
        <f t="shared" si="2"/>
        <v>0</v>
      </c>
      <c r="J14" s="22">
        <f t="shared" si="2"/>
        <v>0</v>
      </c>
      <c r="K14" s="22">
        <f t="shared" si="2"/>
        <v>27</v>
      </c>
      <c r="L14" s="22">
        <f t="shared" si="2"/>
        <v>26</v>
      </c>
      <c r="M14" s="22">
        <f t="shared" si="2"/>
        <v>0</v>
      </c>
      <c r="N14" s="23"/>
      <c r="O14" s="24"/>
      <c r="P14" s="88"/>
      <c r="Q14" s="88"/>
      <c r="R14" s="91"/>
    </row>
    <row r="15" spans="2:18" ht="23.25" customHeight="1" thickTop="1" thickBot="1" x14ac:dyDescent="0.3">
      <c r="B15" s="100"/>
      <c r="C15" s="96"/>
      <c r="D15" s="89"/>
      <c r="E15" s="12" t="s">
        <v>7</v>
      </c>
      <c r="F15" s="13">
        <f t="shared" ref="F15:M15" si="3">SUM(F11*F14)</f>
        <v>90</v>
      </c>
      <c r="G15" s="13">
        <f t="shared" si="3"/>
        <v>160</v>
      </c>
      <c r="H15" s="13">
        <f t="shared" si="3"/>
        <v>0</v>
      </c>
      <c r="I15" s="13">
        <f t="shared" si="3"/>
        <v>0</v>
      </c>
      <c r="J15" s="13">
        <f t="shared" si="3"/>
        <v>0</v>
      </c>
      <c r="K15" s="13">
        <f t="shared" si="3"/>
        <v>54</v>
      </c>
      <c r="L15" s="13">
        <f t="shared" si="3"/>
        <v>104</v>
      </c>
      <c r="M15" s="13">
        <f t="shared" si="3"/>
        <v>0</v>
      </c>
      <c r="N15" s="14">
        <f>SUM(F15:M15)</f>
        <v>408</v>
      </c>
      <c r="O15" s="20">
        <f>SUM(N15/N11)</f>
        <v>25.5</v>
      </c>
      <c r="P15" s="89"/>
      <c r="Q15" s="89"/>
      <c r="R15" s="92"/>
    </row>
    <row r="16" spans="2:18" ht="20.25" thickTop="1" thickBot="1" x14ac:dyDescent="0.35">
      <c r="B16" s="99">
        <v>-3</v>
      </c>
      <c r="C16" s="97" t="s">
        <v>78</v>
      </c>
      <c r="D16" s="88" t="s">
        <v>111</v>
      </c>
      <c r="E16" s="15" t="s">
        <v>6</v>
      </c>
      <c r="F16" s="58">
        <f>IF(IF(F19=0,0,3),3,0)</f>
        <v>0</v>
      </c>
      <c r="G16" s="58">
        <f>IF(IF(G19=0,0,4),4,0)</f>
        <v>0</v>
      </c>
      <c r="H16" s="58">
        <f>IF(IF(H19=0,0,2),2,0)</f>
        <v>0</v>
      </c>
      <c r="I16" s="58">
        <f>IF(IF(I19=0,0,2),2,0)</f>
        <v>0</v>
      </c>
      <c r="J16" s="58">
        <f>IF(IF(J19=0,0,3),3,0)</f>
        <v>0</v>
      </c>
      <c r="K16" s="58">
        <f>IF(IF(K19=0,0,2),2,0)</f>
        <v>0</v>
      </c>
      <c r="L16" s="59">
        <f>IF(IF(G19=0,0,4),4,0)</f>
        <v>0</v>
      </c>
      <c r="M16" s="59">
        <f>IF(IF(G19=0,0,3),3,0)</f>
        <v>0</v>
      </c>
      <c r="N16" s="59">
        <f>SUM(F16:M16)</f>
        <v>0</v>
      </c>
      <c r="O16" s="60"/>
      <c r="P16" s="87"/>
      <c r="Q16" s="87"/>
      <c r="R16" s="90"/>
    </row>
    <row r="17" spans="2:18" ht="19.5" thickTop="1" thickBot="1" x14ac:dyDescent="0.3">
      <c r="B17" s="99"/>
      <c r="C17" s="95"/>
      <c r="D17" s="88"/>
      <c r="E17" s="5" t="s">
        <v>108</v>
      </c>
      <c r="F17" s="6">
        <v>0</v>
      </c>
      <c r="G17" s="6">
        <v>0</v>
      </c>
      <c r="H17" s="6">
        <v>0</v>
      </c>
      <c r="I17" s="7">
        <v>0</v>
      </c>
      <c r="J17" s="7">
        <v>0</v>
      </c>
      <c r="K17" s="84">
        <v>0</v>
      </c>
      <c r="L17" s="84">
        <v>0</v>
      </c>
      <c r="M17" s="7">
        <v>0</v>
      </c>
      <c r="N17" s="4"/>
      <c r="O17" s="16"/>
      <c r="P17" s="88"/>
      <c r="Q17" s="88"/>
      <c r="R17" s="91"/>
    </row>
    <row r="18" spans="2:18" ht="19.5" thickTop="1" thickBot="1" x14ac:dyDescent="0.3">
      <c r="B18" s="99"/>
      <c r="C18" s="95"/>
      <c r="D18" s="88"/>
      <c r="E18" s="1" t="s">
        <v>3</v>
      </c>
      <c r="F18" s="3">
        <v>0</v>
      </c>
      <c r="G18" s="3">
        <v>0</v>
      </c>
      <c r="H18" s="3">
        <v>0</v>
      </c>
      <c r="I18" s="3">
        <v>0</v>
      </c>
      <c r="J18" s="72">
        <v>0</v>
      </c>
      <c r="K18" s="3">
        <v>0</v>
      </c>
      <c r="L18" s="3">
        <v>0</v>
      </c>
      <c r="M18" s="72">
        <v>0</v>
      </c>
      <c r="N18" s="4"/>
      <c r="O18" s="16"/>
      <c r="P18" s="88"/>
      <c r="Q18" s="88"/>
      <c r="R18" s="91"/>
    </row>
    <row r="19" spans="2:18" ht="19.5" thickTop="1" thickBot="1" x14ac:dyDescent="0.3">
      <c r="B19" s="99"/>
      <c r="C19" s="95"/>
      <c r="D19" s="88"/>
      <c r="E19" s="21" t="s">
        <v>4</v>
      </c>
      <c r="F19" s="22">
        <f t="shared" ref="F19:M19" si="4">IF(F18&lt;30,F17,F17+F18)</f>
        <v>0</v>
      </c>
      <c r="G19" s="22">
        <f t="shared" si="4"/>
        <v>0</v>
      </c>
      <c r="H19" s="22">
        <f t="shared" si="4"/>
        <v>0</v>
      </c>
      <c r="I19" s="22">
        <f t="shared" si="4"/>
        <v>0</v>
      </c>
      <c r="J19" s="22">
        <f t="shared" si="4"/>
        <v>0</v>
      </c>
      <c r="K19" s="22">
        <f t="shared" si="4"/>
        <v>0</v>
      </c>
      <c r="L19" s="22">
        <f t="shared" si="4"/>
        <v>0</v>
      </c>
      <c r="M19" s="22">
        <f t="shared" si="4"/>
        <v>0</v>
      </c>
      <c r="N19" s="23"/>
      <c r="O19" s="24"/>
      <c r="P19" s="88"/>
      <c r="Q19" s="88"/>
      <c r="R19" s="91"/>
    </row>
    <row r="20" spans="2:18" ht="21.75" customHeight="1" thickTop="1" thickBot="1" x14ac:dyDescent="0.3">
      <c r="B20" s="112"/>
      <c r="C20" s="96"/>
      <c r="D20" s="89"/>
      <c r="E20" s="8" t="s">
        <v>7</v>
      </c>
      <c r="F20" s="13">
        <f t="shared" ref="F20:M20" si="5">SUM(F16*F19)</f>
        <v>0</v>
      </c>
      <c r="G20" s="13">
        <f t="shared" si="5"/>
        <v>0</v>
      </c>
      <c r="H20" s="13">
        <f t="shared" si="5"/>
        <v>0</v>
      </c>
      <c r="I20" s="13">
        <f t="shared" si="5"/>
        <v>0</v>
      </c>
      <c r="J20" s="13">
        <f t="shared" si="5"/>
        <v>0</v>
      </c>
      <c r="K20" s="13">
        <f t="shared" si="5"/>
        <v>0</v>
      </c>
      <c r="L20" s="13">
        <f t="shared" si="5"/>
        <v>0</v>
      </c>
      <c r="M20" s="13">
        <f t="shared" si="5"/>
        <v>0</v>
      </c>
      <c r="N20" s="14">
        <f>SUM(F20:M20)</f>
        <v>0</v>
      </c>
      <c r="O20" s="19" t="e">
        <f>SUM(N20/N16)</f>
        <v>#DIV/0!</v>
      </c>
      <c r="P20" s="89"/>
      <c r="Q20" s="89"/>
      <c r="R20" s="92"/>
    </row>
    <row r="21" spans="2:18" ht="20.25" thickTop="1" thickBot="1" x14ac:dyDescent="0.35">
      <c r="B21" s="113">
        <v>-4</v>
      </c>
      <c r="C21" s="97" t="s">
        <v>79</v>
      </c>
      <c r="D21" s="88" t="s">
        <v>112</v>
      </c>
      <c r="E21" s="10" t="s">
        <v>6</v>
      </c>
      <c r="F21" s="58">
        <f>IF(IF(F24=0,0,3),3,0)</f>
        <v>0</v>
      </c>
      <c r="G21" s="58">
        <f>IF(IF(G24=0,0,4),4,0)</f>
        <v>0</v>
      </c>
      <c r="H21" s="58">
        <f>IF(IF(H24=0,0,2),2,0)</f>
        <v>0</v>
      </c>
      <c r="I21" s="58">
        <f>IF(IF(I24=0,0,2),2,0)</f>
        <v>0</v>
      </c>
      <c r="J21" s="58">
        <f>IF(IF(J24=0,0,3),3,0)</f>
        <v>0</v>
      </c>
      <c r="K21" s="58">
        <f>IF(IF(K24=0,0,2),2,0)</f>
        <v>0</v>
      </c>
      <c r="L21" s="59">
        <f>IF(IF(G24=0,0,4),4,0)</f>
        <v>0</v>
      </c>
      <c r="M21" s="59">
        <f>IF(IF(G24=0,0,3),3,0)</f>
        <v>0</v>
      </c>
      <c r="N21" s="59">
        <f>SUM(F21:M21)</f>
        <v>0</v>
      </c>
      <c r="O21" s="60"/>
      <c r="P21" s="87"/>
      <c r="Q21" s="87"/>
      <c r="R21" s="90"/>
    </row>
    <row r="22" spans="2:18" ht="19.5" thickTop="1" thickBot="1" x14ac:dyDescent="0.3">
      <c r="B22" s="99"/>
      <c r="C22" s="95"/>
      <c r="D22" s="88"/>
      <c r="E22" s="5" t="s">
        <v>108</v>
      </c>
      <c r="F22" s="6">
        <v>0</v>
      </c>
      <c r="G22" s="6">
        <v>0</v>
      </c>
      <c r="H22" s="6">
        <v>0</v>
      </c>
      <c r="I22" s="7">
        <v>0</v>
      </c>
      <c r="J22" s="7">
        <v>0</v>
      </c>
      <c r="K22" s="84">
        <v>0</v>
      </c>
      <c r="L22" s="84">
        <v>0</v>
      </c>
      <c r="M22" s="7">
        <v>0</v>
      </c>
      <c r="N22" s="4"/>
      <c r="O22" s="16"/>
      <c r="P22" s="88"/>
      <c r="Q22" s="88"/>
      <c r="R22" s="91"/>
    </row>
    <row r="23" spans="2:18" ht="19.5" thickTop="1" thickBot="1" x14ac:dyDescent="0.3">
      <c r="B23" s="99"/>
      <c r="C23" s="95"/>
      <c r="D23" s="88"/>
      <c r="E23" s="1" t="s">
        <v>3</v>
      </c>
      <c r="F23" s="3">
        <v>0</v>
      </c>
      <c r="G23" s="3">
        <v>0</v>
      </c>
      <c r="H23" s="3">
        <v>0</v>
      </c>
      <c r="I23" s="3">
        <v>0</v>
      </c>
      <c r="J23" s="72">
        <v>0</v>
      </c>
      <c r="K23" s="3">
        <v>0</v>
      </c>
      <c r="L23" s="3">
        <v>0</v>
      </c>
      <c r="M23" s="72">
        <v>0</v>
      </c>
      <c r="N23" s="4"/>
      <c r="O23" s="16"/>
      <c r="P23" s="88"/>
      <c r="Q23" s="88"/>
      <c r="R23" s="91"/>
    </row>
    <row r="24" spans="2:18" ht="19.5" thickTop="1" thickBot="1" x14ac:dyDescent="0.3">
      <c r="B24" s="99"/>
      <c r="C24" s="95"/>
      <c r="D24" s="88"/>
      <c r="E24" s="21" t="s">
        <v>4</v>
      </c>
      <c r="F24" s="22">
        <f t="shared" ref="F24:M24" si="6">IF(F23&lt;30,F22,F22+F23)</f>
        <v>0</v>
      </c>
      <c r="G24" s="22">
        <f t="shared" si="6"/>
        <v>0</v>
      </c>
      <c r="H24" s="22">
        <f t="shared" si="6"/>
        <v>0</v>
      </c>
      <c r="I24" s="22">
        <f t="shared" si="6"/>
        <v>0</v>
      </c>
      <c r="J24" s="22">
        <f t="shared" si="6"/>
        <v>0</v>
      </c>
      <c r="K24" s="22">
        <f t="shared" si="6"/>
        <v>0</v>
      </c>
      <c r="L24" s="22">
        <f t="shared" si="6"/>
        <v>0</v>
      </c>
      <c r="M24" s="22">
        <f t="shared" si="6"/>
        <v>0</v>
      </c>
      <c r="N24" s="23"/>
      <c r="O24" s="24"/>
      <c r="P24" s="88"/>
      <c r="Q24" s="88"/>
      <c r="R24" s="91"/>
    </row>
    <row r="25" spans="2:18" ht="19.5" customHeight="1" thickTop="1" thickBot="1" x14ac:dyDescent="0.3">
      <c r="B25" s="112"/>
      <c r="C25" s="110"/>
      <c r="D25" s="89"/>
      <c r="E25" s="8" t="s">
        <v>7</v>
      </c>
      <c r="F25" s="13">
        <f t="shared" ref="F25:M25" si="7">SUM(F21*F24)</f>
        <v>0</v>
      </c>
      <c r="G25" s="13">
        <f t="shared" si="7"/>
        <v>0</v>
      </c>
      <c r="H25" s="13">
        <f t="shared" si="7"/>
        <v>0</v>
      </c>
      <c r="I25" s="13">
        <f t="shared" si="7"/>
        <v>0</v>
      </c>
      <c r="J25" s="13">
        <f t="shared" si="7"/>
        <v>0</v>
      </c>
      <c r="K25" s="13">
        <f t="shared" si="7"/>
        <v>0</v>
      </c>
      <c r="L25" s="13">
        <f t="shared" si="7"/>
        <v>0</v>
      </c>
      <c r="M25" s="13">
        <f t="shared" si="7"/>
        <v>0</v>
      </c>
      <c r="N25" s="14">
        <f>SUM(F25:M25)</f>
        <v>0</v>
      </c>
      <c r="O25" s="19" t="e">
        <f>SUM(N25/N21)</f>
        <v>#DIV/0!</v>
      </c>
      <c r="P25" s="89"/>
      <c r="Q25" s="89"/>
      <c r="R25" s="92"/>
    </row>
    <row r="26" spans="2:18" ht="20.25" thickTop="1" thickBot="1" x14ac:dyDescent="0.35">
      <c r="B26" s="113">
        <v>-5</v>
      </c>
      <c r="C26" s="109" t="s">
        <v>80</v>
      </c>
      <c r="D26" s="104" t="s">
        <v>113</v>
      </c>
      <c r="E26" s="10" t="s">
        <v>6</v>
      </c>
      <c r="F26" s="58">
        <f>IF(IF(F29=0,0,3),3,0)</f>
        <v>3</v>
      </c>
      <c r="G26" s="58">
        <f>IF(IF(G29=0,0,4),4,0)</f>
        <v>4</v>
      </c>
      <c r="H26" s="58">
        <f>IF(IF(H29=0,0,2),2,0)</f>
        <v>0</v>
      </c>
      <c r="I26" s="58">
        <f>IF(IF(I29=0,0,2),2,0)</f>
        <v>0</v>
      </c>
      <c r="J26" s="58">
        <f>IF(IF(J29=0,0,3),3,0)</f>
        <v>0</v>
      </c>
      <c r="K26" s="58">
        <f>IF(IF(K29=0,0,2),2,0)</f>
        <v>2</v>
      </c>
      <c r="L26" s="59">
        <f>IF(IF(G29=0,0,4),4,0)</f>
        <v>4</v>
      </c>
      <c r="M26" s="59">
        <f>IF(IF(G29=0,0,3),3,0)</f>
        <v>3</v>
      </c>
      <c r="N26" s="59">
        <f>SUM(F26:M26)</f>
        <v>16</v>
      </c>
      <c r="O26" s="60"/>
      <c r="P26" s="87"/>
      <c r="Q26" s="87"/>
      <c r="R26" s="90"/>
    </row>
    <row r="27" spans="2:18" ht="19.5" thickTop="1" thickBot="1" x14ac:dyDescent="0.3">
      <c r="B27" s="99"/>
      <c r="C27" s="95"/>
      <c r="D27" s="88"/>
      <c r="E27" s="2" t="s">
        <v>142</v>
      </c>
      <c r="F27" s="6">
        <v>40</v>
      </c>
      <c r="G27" s="6">
        <v>40</v>
      </c>
      <c r="H27" s="6">
        <v>0</v>
      </c>
      <c r="I27" s="7">
        <v>0</v>
      </c>
      <c r="J27" s="7">
        <v>0</v>
      </c>
      <c r="K27" s="7">
        <v>34</v>
      </c>
      <c r="L27" s="7">
        <v>40</v>
      </c>
      <c r="M27" s="7">
        <v>0</v>
      </c>
      <c r="N27" s="4"/>
      <c r="O27" s="16"/>
      <c r="P27" s="88"/>
      <c r="Q27" s="88"/>
      <c r="R27" s="91"/>
    </row>
    <row r="28" spans="2:18" ht="19.5" thickTop="1" thickBot="1" x14ac:dyDescent="0.3">
      <c r="B28" s="99"/>
      <c r="C28" s="95"/>
      <c r="D28" s="88"/>
      <c r="E28" s="1" t="s">
        <v>3</v>
      </c>
      <c r="F28" s="3">
        <v>0</v>
      </c>
      <c r="G28" s="3">
        <v>0</v>
      </c>
      <c r="H28" s="3">
        <v>0</v>
      </c>
      <c r="I28" s="3">
        <v>0</v>
      </c>
      <c r="J28" s="72">
        <v>0</v>
      </c>
      <c r="K28" s="3">
        <v>0</v>
      </c>
      <c r="L28" s="3">
        <v>0</v>
      </c>
      <c r="M28" s="72">
        <v>0</v>
      </c>
      <c r="N28" s="4"/>
      <c r="O28" s="16"/>
      <c r="P28" s="88"/>
      <c r="Q28" s="88"/>
      <c r="R28" s="91"/>
    </row>
    <row r="29" spans="2:18" ht="19.5" thickTop="1" thickBot="1" x14ac:dyDescent="0.3">
      <c r="B29" s="99"/>
      <c r="C29" s="95"/>
      <c r="D29" s="88"/>
      <c r="E29" s="21" t="s">
        <v>4</v>
      </c>
      <c r="F29" s="22">
        <f t="shared" ref="F29:M29" si="8">IF(F28&lt;30,F27,F27+F28)</f>
        <v>40</v>
      </c>
      <c r="G29" s="22">
        <f t="shared" si="8"/>
        <v>40</v>
      </c>
      <c r="H29" s="22">
        <f t="shared" si="8"/>
        <v>0</v>
      </c>
      <c r="I29" s="22">
        <f t="shared" si="8"/>
        <v>0</v>
      </c>
      <c r="J29" s="22">
        <f t="shared" si="8"/>
        <v>0</v>
      </c>
      <c r="K29" s="22">
        <f t="shared" si="8"/>
        <v>34</v>
      </c>
      <c r="L29" s="22">
        <f t="shared" si="8"/>
        <v>40</v>
      </c>
      <c r="M29" s="22">
        <f t="shared" si="8"/>
        <v>0</v>
      </c>
      <c r="N29" s="23"/>
      <c r="O29" s="24"/>
      <c r="P29" s="88"/>
      <c r="Q29" s="88"/>
      <c r="R29" s="91"/>
    </row>
    <row r="30" spans="2:18" ht="21" customHeight="1" thickTop="1" thickBot="1" x14ac:dyDescent="0.3">
      <c r="B30" s="112"/>
      <c r="C30" s="110"/>
      <c r="D30" s="89"/>
      <c r="E30" s="8" t="s">
        <v>7</v>
      </c>
      <c r="F30" s="13">
        <f t="shared" ref="F30:M30" si="9">SUM(F26*F29)</f>
        <v>120</v>
      </c>
      <c r="G30" s="13">
        <f t="shared" si="9"/>
        <v>160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68</v>
      </c>
      <c r="L30" s="13">
        <f t="shared" si="9"/>
        <v>160</v>
      </c>
      <c r="M30" s="13">
        <f t="shared" si="9"/>
        <v>0</v>
      </c>
      <c r="N30" s="14">
        <f>SUM(F30:M30)</f>
        <v>508</v>
      </c>
      <c r="O30" s="19">
        <f>SUM(N30/N26)</f>
        <v>31.75</v>
      </c>
      <c r="P30" s="89"/>
      <c r="Q30" s="89"/>
      <c r="R30" s="92"/>
    </row>
    <row r="31" spans="2:18" ht="20.25" thickTop="1" thickBot="1" x14ac:dyDescent="0.35">
      <c r="B31" s="113">
        <v>-6</v>
      </c>
      <c r="C31" s="109" t="s">
        <v>81</v>
      </c>
      <c r="D31" s="104" t="s">
        <v>114</v>
      </c>
      <c r="E31" s="10" t="s">
        <v>6</v>
      </c>
      <c r="F31" s="58">
        <f>IF(IF(F34=0,0,3),3,0)</f>
        <v>3</v>
      </c>
      <c r="G31" s="58">
        <f>IF(IF(G34=0,0,4),4,0)</f>
        <v>4</v>
      </c>
      <c r="H31" s="58">
        <f>IF(IF(H34=0,0,2),2,0)</f>
        <v>0</v>
      </c>
      <c r="I31" s="58">
        <f>IF(IF(I34=0,0,2),2,0)</f>
        <v>0</v>
      </c>
      <c r="J31" s="58">
        <f>IF(IF(J34=0,0,3),3,0)</f>
        <v>0</v>
      </c>
      <c r="K31" s="58">
        <f>IF(IF(K34=0,0,2),2,0)</f>
        <v>2</v>
      </c>
      <c r="L31" s="59">
        <f>IF(IF(G34=0,0,4),4,0)</f>
        <v>4</v>
      </c>
      <c r="M31" s="59">
        <f>IF(IF(G34=0,0,3),3,0)</f>
        <v>3</v>
      </c>
      <c r="N31" s="59">
        <f>SUM(F31:M31)</f>
        <v>16</v>
      </c>
      <c r="O31" s="60"/>
      <c r="P31" s="87"/>
      <c r="Q31" s="87"/>
      <c r="R31" s="90"/>
    </row>
    <row r="32" spans="2:18" ht="19.5" thickTop="1" thickBot="1" x14ac:dyDescent="0.3">
      <c r="B32" s="99"/>
      <c r="C32" s="95"/>
      <c r="D32" s="88"/>
      <c r="E32" s="2" t="s">
        <v>142</v>
      </c>
      <c r="F32" s="6">
        <v>26</v>
      </c>
      <c r="G32" s="6">
        <v>30</v>
      </c>
      <c r="H32" s="6">
        <v>0</v>
      </c>
      <c r="I32" s="7">
        <v>0</v>
      </c>
      <c r="J32" s="7">
        <v>0</v>
      </c>
      <c r="K32" s="7">
        <v>26</v>
      </c>
      <c r="L32" s="7">
        <v>27</v>
      </c>
      <c r="M32" s="7">
        <v>0</v>
      </c>
      <c r="N32" s="4"/>
      <c r="O32" s="16"/>
      <c r="P32" s="88"/>
      <c r="Q32" s="88"/>
      <c r="R32" s="91"/>
    </row>
    <row r="33" spans="2:18" ht="19.5" thickTop="1" thickBot="1" x14ac:dyDescent="0.3">
      <c r="B33" s="99"/>
      <c r="C33" s="95"/>
      <c r="D33" s="88"/>
      <c r="E33" s="1" t="s">
        <v>3</v>
      </c>
      <c r="F33" s="3">
        <v>0</v>
      </c>
      <c r="G33" s="3">
        <v>0</v>
      </c>
      <c r="H33" s="3">
        <v>0</v>
      </c>
      <c r="I33" s="3">
        <v>0</v>
      </c>
      <c r="J33" s="72">
        <v>0</v>
      </c>
      <c r="K33" s="3">
        <v>0</v>
      </c>
      <c r="L33" s="3">
        <v>0</v>
      </c>
      <c r="M33" s="72">
        <v>0</v>
      </c>
      <c r="N33" s="4"/>
      <c r="O33" s="16"/>
      <c r="P33" s="88"/>
      <c r="Q33" s="88"/>
      <c r="R33" s="91"/>
    </row>
    <row r="34" spans="2:18" ht="19.5" thickTop="1" thickBot="1" x14ac:dyDescent="0.3">
      <c r="B34" s="99"/>
      <c r="C34" s="95"/>
      <c r="D34" s="88"/>
      <c r="E34" s="21" t="s">
        <v>4</v>
      </c>
      <c r="F34" s="22">
        <f t="shared" ref="F34:M34" si="10">IF(F33&lt;30,F32,F32+F33)</f>
        <v>26</v>
      </c>
      <c r="G34" s="22">
        <f t="shared" si="10"/>
        <v>30</v>
      </c>
      <c r="H34" s="22">
        <f t="shared" si="10"/>
        <v>0</v>
      </c>
      <c r="I34" s="22">
        <f t="shared" si="10"/>
        <v>0</v>
      </c>
      <c r="J34" s="22">
        <f t="shared" si="10"/>
        <v>0</v>
      </c>
      <c r="K34" s="22">
        <f t="shared" si="10"/>
        <v>26</v>
      </c>
      <c r="L34" s="22">
        <f t="shared" si="10"/>
        <v>27</v>
      </c>
      <c r="M34" s="22">
        <f t="shared" si="10"/>
        <v>0</v>
      </c>
      <c r="N34" s="23"/>
      <c r="O34" s="24"/>
      <c r="P34" s="88"/>
      <c r="Q34" s="88"/>
      <c r="R34" s="91"/>
    </row>
    <row r="35" spans="2:18" ht="24" customHeight="1" thickTop="1" thickBot="1" x14ac:dyDescent="0.3">
      <c r="B35" s="100"/>
      <c r="C35" s="95"/>
      <c r="D35" s="89"/>
      <c r="E35" s="12" t="s">
        <v>7</v>
      </c>
      <c r="F35" s="13">
        <f t="shared" ref="F35:M35" si="11">SUM(F31*F34)</f>
        <v>78</v>
      </c>
      <c r="G35" s="13">
        <f t="shared" si="11"/>
        <v>120</v>
      </c>
      <c r="H35" s="13">
        <f t="shared" si="11"/>
        <v>0</v>
      </c>
      <c r="I35" s="13">
        <f t="shared" si="11"/>
        <v>0</v>
      </c>
      <c r="J35" s="13">
        <f t="shared" si="11"/>
        <v>0</v>
      </c>
      <c r="K35" s="13">
        <f t="shared" si="11"/>
        <v>52</v>
      </c>
      <c r="L35" s="13">
        <f t="shared" si="11"/>
        <v>108</v>
      </c>
      <c r="M35" s="13">
        <f t="shared" si="11"/>
        <v>0</v>
      </c>
      <c r="N35" s="14">
        <f>SUM(F35:M35)</f>
        <v>358</v>
      </c>
      <c r="O35" s="19">
        <f>SUM(N35/N31)</f>
        <v>22.375</v>
      </c>
      <c r="P35" s="89"/>
      <c r="Q35" s="89"/>
      <c r="R35" s="92"/>
    </row>
    <row r="36" spans="2:18" ht="20.25" thickTop="1" thickBot="1" x14ac:dyDescent="0.35">
      <c r="B36" s="99">
        <v>-7</v>
      </c>
      <c r="C36" s="94" t="s">
        <v>82</v>
      </c>
      <c r="D36" s="104" t="s">
        <v>115</v>
      </c>
      <c r="E36" s="10" t="s">
        <v>6</v>
      </c>
      <c r="F36" s="58">
        <f>IF(IF(F39=0,0,3),3,0)</f>
        <v>3</v>
      </c>
      <c r="G36" s="58">
        <f>IF(IF(G39=0,0,4),4,0)</f>
        <v>4</v>
      </c>
      <c r="H36" s="58">
        <f>IF(IF(H39=0,0,2),2,0)</f>
        <v>0</v>
      </c>
      <c r="I36" s="58">
        <f>IF(IF(I39=0,0,2),2,0)</f>
        <v>0</v>
      </c>
      <c r="J36" s="58">
        <f>IF(IF(J39=0,0,3),3,0)</f>
        <v>0</v>
      </c>
      <c r="K36" s="58">
        <f>IF(IF(K39=0,0,2),2,0)</f>
        <v>2</v>
      </c>
      <c r="L36" s="59">
        <f>IF(IF(G39=0,0,4),4,0)</f>
        <v>4</v>
      </c>
      <c r="M36" s="59">
        <f>IF(IF(G39=0,0,3),3,0)</f>
        <v>3</v>
      </c>
      <c r="N36" s="59">
        <f>SUM(F36:M36)</f>
        <v>16</v>
      </c>
      <c r="O36" s="60"/>
      <c r="P36" s="87"/>
      <c r="Q36" s="87"/>
      <c r="R36" s="90"/>
    </row>
    <row r="37" spans="2:18" ht="19.5" thickTop="1" thickBot="1" x14ac:dyDescent="0.3">
      <c r="B37" s="99"/>
      <c r="C37" s="95"/>
      <c r="D37" s="88"/>
      <c r="E37" s="2" t="s">
        <v>142</v>
      </c>
      <c r="F37" s="6">
        <v>33</v>
      </c>
      <c r="G37" s="6">
        <v>19</v>
      </c>
      <c r="H37" s="6">
        <v>0</v>
      </c>
      <c r="I37" s="7">
        <v>0</v>
      </c>
      <c r="J37" s="7">
        <v>0</v>
      </c>
      <c r="K37" s="7">
        <v>25</v>
      </c>
      <c r="L37" s="7">
        <v>27</v>
      </c>
      <c r="M37" s="7">
        <v>0</v>
      </c>
      <c r="N37" s="4"/>
      <c r="O37" s="16"/>
      <c r="P37" s="88"/>
      <c r="Q37" s="88"/>
      <c r="R37" s="91"/>
    </row>
    <row r="38" spans="2:18" ht="19.5" thickTop="1" thickBot="1" x14ac:dyDescent="0.3">
      <c r="B38" s="99"/>
      <c r="C38" s="95"/>
      <c r="D38" s="88"/>
      <c r="E38" s="1" t="s">
        <v>3</v>
      </c>
      <c r="F38" s="3">
        <v>0</v>
      </c>
      <c r="G38" s="3">
        <v>0</v>
      </c>
      <c r="H38" s="3">
        <v>0</v>
      </c>
      <c r="I38" s="3">
        <v>0</v>
      </c>
      <c r="J38" s="72">
        <v>0</v>
      </c>
      <c r="K38" s="3">
        <v>0</v>
      </c>
      <c r="L38" s="3">
        <v>0</v>
      </c>
      <c r="M38" s="72">
        <v>0</v>
      </c>
      <c r="N38" s="4"/>
      <c r="O38" s="16"/>
      <c r="P38" s="88"/>
      <c r="Q38" s="88"/>
      <c r="R38" s="91"/>
    </row>
    <row r="39" spans="2:18" ht="19.5" thickTop="1" thickBot="1" x14ac:dyDescent="0.3">
      <c r="B39" s="99"/>
      <c r="C39" s="95"/>
      <c r="D39" s="88"/>
      <c r="E39" s="21" t="s">
        <v>4</v>
      </c>
      <c r="F39" s="22">
        <f t="shared" ref="F39:M39" si="12">IF(F38&lt;30,F37,F37+F38)</f>
        <v>33</v>
      </c>
      <c r="G39" s="22">
        <f t="shared" si="12"/>
        <v>19</v>
      </c>
      <c r="H39" s="22">
        <f t="shared" si="12"/>
        <v>0</v>
      </c>
      <c r="I39" s="22">
        <f t="shared" si="12"/>
        <v>0</v>
      </c>
      <c r="J39" s="22">
        <f t="shared" si="12"/>
        <v>0</v>
      </c>
      <c r="K39" s="22">
        <f t="shared" si="12"/>
        <v>25</v>
      </c>
      <c r="L39" s="22">
        <f t="shared" si="12"/>
        <v>27</v>
      </c>
      <c r="M39" s="22">
        <f t="shared" si="12"/>
        <v>0</v>
      </c>
      <c r="N39" s="23"/>
      <c r="O39" s="24"/>
      <c r="P39" s="88"/>
      <c r="Q39" s="88"/>
      <c r="R39" s="91"/>
    </row>
    <row r="40" spans="2:18" ht="18.75" customHeight="1" thickTop="1" thickBot="1" x14ac:dyDescent="0.3">
      <c r="B40" s="108"/>
      <c r="C40" s="96"/>
      <c r="D40" s="89"/>
      <c r="E40" s="66" t="s">
        <v>7</v>
      </c>
      <c r="F40" s="13">
        <f t="shared" ref="F40:M40" si="13">SUM(F36*F39)</f>
        <v>99</v>
      </c>
      <c r="G40" s="13">
        <f t="shared" si="13"/>
        <v>76</v>
      </c>
      <c r="H40" s="13">
        <f t="shared" si="13"/>
        <v>0</v>
      </c>
      <c r="I40" s="13">
        <f t="shared" si="13"/>
        <v>0</v>
      </c>
      <c r="J40" s="13">
        <f t="shared" si="13"/>
        <v>0</v>
      </c>
      <c r="K40" s="13">
        <f t="shared" si="13"/>
        <v>50</v>
      </c>
      <c r="L40" s="13">
        <f t="shared" si="13"/>
        <v>108</v>
      </c>
      <c r="M40" s="13">
        <f t="shared" si="13"/>
        <v>0</v>
      </c>
      <c r="N40" s="14">
        <f>SUM(F40:M40)</f>
        <v>333</v>
      </c>
      <c r="O40" s="19">
        <f>SUM(N40/N36)</f>
        <v>20.8125</v>
      </c>
      <c r="P40" s="89"/>
      <c r="Q40" s="89"/>
      <c r="R40" s="92"/>
    </row>
    <row r="41" spans="2:18" ht="20.25" thickTop="1" thickBot="1" x14ac:dyDescent="0.35">
      <c r="B41" s="99">
        <v>-8</v>
      </c>
      <c r="C41" s="97" t="s">
        <v>89</v>
      </c>
      <c r="D41" s="88" t="s">
        <v>116</v>
      </c>
      <c r="E41" s="57" t="s">
        <v>6</v>
      </c>
      <c r="F41" s="58">
        <f>IF(IF(F44=0,0,3),3,0)</f>
        <v>3</v>
      </c>
      <c r="G41" s="58">
        <f>IF(IF(G44=0,0,4),4,0)</f>
        <v>4</v>
      </c>
      <c r="H41" s="58">
        <f>IF(IF(H44=0,0,2),2,0)</f>
        <v>0</v>
      </c>
      <c r="I41" s="58">
        <f>IF(IF(I44=0,0,2),2,0)</f>
        <v>0</v>
      </c>
      <c r="J41" s="58">
        <f>IF(IF(J44=0,0,3),3,0)</f>
        <v>0</v>
      </c>
      <c r="K41" s="58">
        <f>IF(IF(K44=0,0,2),2,0)</f>
        <v>2</v>
      </c>
      <c r="L41" s="59">
        <f>IF(IF(G44=0,0,4),4,0)</f>
        <v>4</v>
      </c>
      <c r="M41" s="59">
        <f>IF(IF(G44=0,0,3),3,0)</f>
        <v>3</v>
      </c>
      <c r="N41" s="59">
        <f>SUM(F41:M41)</f>
        <v>16</v>
      </c>
      <c r="O41" s="60"/>
      <c r="P41" s="87"/>
      <c r="Q41" s="87"/>
      <c r="R41" s="90"/>
    </row>
    <row r="42" spans="2:18" ht="19.5" thickTop="1" thickBot="1" x14ac:dyDescent="0.3">
      <c r="B42" s="99"/>
      <c r="C42" s="95"/>
      <c r="D42" s="88"/>
      <c r="E42" s="5" t="s">
        <v>142</v>
      </c>
      <c r="F42" s="6">
        <v>27</v>
      </c>
      <c r="G42" s="6">
        <v>11</v>
      </c>
      <c r="H42" s="6">
        <v>0</v>
      </c>
      <c r="I42" s="7">
        <v>0</v>
      </c>
      <c r="J42" s="7">
        <v>0</v>
      </c>
      <c r="K42" s="7">
        <v>22</v>
      </c>
      <c r="L42" s="7">
        <v>19</v>
      </c>
      <c r="M42" s="7">
        <v>0</v>
      </c>
      <c r="N42" s="4"/>
      <c r="O42" s="16"/>
      <c r="P42" s="88"/>
      <c r="Q42" s="88"/>
      <c r="R42" s="91"/>
    </row>
    <row r="43" spans="2:18" ht="19.5" thickTop="1" thickBot="1" x14ac:dyDescent="0.3">
      <c r="B43" s="99"/>
      <c r="C43" s="95"/>
      <c r="D43" s="88"/>
      <c r="E43" s="1" t="s">
        <v>3</v>
      </c>
      <c r="F43" s="3">
        <v>0</v>
      </c>
      <c r="G43" s="3">
        <v>0</v>
      </c>
      <c r="H43" s="3">
        <v>0</v>
      </c>
      <c r="I43" s="3">
        <v>0</v>
      </c>
      <c r="J43" s="72">
        <v>0</v>
      </c>
      <c r="K43" s="3">
        <v>0</v>
      </c>
      <c r="L43" s="3">
        <v>0</v>
      </c>
      <c r="M43" s="72">
        <v>0</v>
      </c>
      <c r="N43" s="4"/>
      <c r="O43" s="16"/>
      <c r="P43" s="88"/>
      <c r="Q43" s="88"/>
      <c r="R43" s="91"/>
    </row>
    <row r="44" spans="2:18" ht="19.5" thickTop="1" thickBot="1" x14ac:dyDescent="0.3">
      <c r="B44" s="99"/>
      <c r="C44" s="95"/>
      <c r="D44" s="88"/>
      <c r="E44" s="21" t="s">
        <v>4</v>
      </c>
      <c r="F44" s="22">
        <f t="shared" ref="F44:M44" si="14">IF(F43&lt;30,F42,F42+F43)</f>
        <v>27</v>
      </c>
      <c r="G44" s="22">
        <f t="shared" si="14"/>
        <v>11</v>
      </c>
      <c r="H44" s="22">
        <f t="shared" si="14"/>
        <v>0</v>
      </c>
      <c r="I44" s="22">
        <f t="shared" si="14"/>
        <v>0</v>
      </c>
      <c r="J44" s="22">
        <f t="shared" si="14"/>
        <v>0</v>
      </c>
      <c r="K44" s="22">
        <f t="shared" si="14"/>
        <v>22</v>
      </c>
      <c r="L44" s="22">
        <f t="shared" si="14"/>
        <v>19</v>
      </c>
      <c r="M44" s="22">
        <f t="shared" si="14"/>
        <v>0</v>
      </c>
      <c r="N44" s="23"/>
      <c r="O44" s="24"/>
      <c r="P44" s="88"/>
      <c r="Q44" s="88"/>
      <c r="R44" s="91"/>
    </row>
    <row r="45" spans="2:18" ht="24.75" customHeight="1" thickTop="1" thickBot="1" x14ac:dyDescent="0.3">
      <c r="B45" s="108"/>
      <c r="C45" s="95"/>
      <c r="D45" s="89"/>
      <c r="E45" s="12" t="s">
        <v>7</v>
      </c>
      <c r="F45" s="13">
        <f t="shared" ref="F45:M45" si="15">SUM(F41*F44)</f>
        <v>81</v>
      </c>
      <c r="G45" s="13">
        <f t="shared" si="15"/>
        <v>44</v>
      </c>
      <c r="H45" s="13">
        <f t="shared" si="15"/>
        <v>0</v>
      </c>
      <c r="I45" s="13">
        <f t="shared" si="15"/>
        <v>0</v>
      </c>
      <c r="J45" s="13">
        <f t="shared" si="15"/>
        <v>0</v>
      </c>
      <c r="K45" s="13">
        <f t="shared" si="15"/>
        <v>44</v>
      </c>
      <c r="L45" s="13">
        <f t="shared" si="15"/>
        <v>76</v>
      </c>
      <c r="M45" s="13">
        <f t="shared" si="15"/>
        <v>0</v>
      </c>
      <c r="N45" s="14">
        <f>SUM(F45:M45)</f>
        <v>245</v>
      </c>
      <c r="O45" s="19">
        <f>SUM(N45/N41)</f>
        <v>15.3125</v>
      </c>
      <c r="P45" s="89"/>
      <c r="Q45" s="89"/>
      <c r="R45" s="92"/>
    </row>
    <row r="46" spans="2:18" ht="20.25" thickTop="1" thickBot="1" x14ac:dyDescent="0.35">
      <c r="B46" s="99">
        <v>-9</v>
      </c>
      <c r="C46" s="94" t="s">
        <v>83</v>
      </c>
      <c r="D46" s="88" t="s">
        <v>117</v>
      </c>
      <c r="E46" s="15" t="s">
        <v>6</v>
      </c>
      <c r="F46" s="58">
        <f>IF(IF(F49=0,0,3),3,0)</f>
        <v>3</v>
      </c>
      <c r="G46" s="58">
        <f>IF(IF(G49=0,0,4),4,0)</f>
        <v>4</v>
      </c>
      <c r="H46" s="58">
        <f>IF(IF(H49=0,0,2),2,0)</f>
        <v>0</v>
      </c>
      <c r="I46" s="58">
        <f>IF(IF(I49=0,0,2),2,0)</f>
        <v>0</v>
      </c>
      <c r="J46" s="58">
        <f>IF(IF(J49=0,0,3),3,0)</f>
        <v>0</v>
      </c>
      <c r="K46" s="58">
        <f>IF(IF(K49=0,0,2),2,0)</f>
        <v>2</v>
      </c>
      <c r="L46" s="59">
        <f>IF(IF(G49=0,0,4),4,0)</f>
        <v>4</v>
      </c>
      <c r="M46" s="59">
        <f>IF(IF(G49=0,0,3),3,0)</f>
        <v>3</v>
      </c>
      <c r="N46" s="59">
        <f>SUM(F46:M46)</f>
        <v>16</v>
      </c>
      <c r="O46" s="60"/>
      <c r="P46" s="87"/>
      <c r="Q46" s="87"/>
      <c r="R46" s="90"/>
    </row>
    <row r="47" spans="2:18" ht="19.5" thickTop="1" thickBot="1" x14ac:dyDescent="0.3">
      <c r="B47" s="99"/>
      <c r="C47" s="95"/>
      <c r="D47" s="88"/>
      <c r="E47" s="2" t="s">
        <v>142</v>
      </c>
      <c r="F47" s="6">
        <v>40</v>
      </c>
      <c r="G47" s="6">
        <v>34</v>
      </c>
      <c r="H47" s="6">
        <v>0</v>
      </c>
      <c r="I47" s="7">
        <v>0</v>
      </c>
      <c r="J47" s="7">
        <v>0</v>
      </c>
      <c r="K47" s="7">
        <v>35</v>
      </c>
      <c r="L47" s="7">
        <v>40</v>
      </c>
      <c r="M47" s="7">
        <v>0</v>
      </c>
      <c r="N47" s="4"/>
      <c r="O47" s="16"/>
      <c r="P47" s="88"/>
      <c r="Q47" s="88"/>
      <c r="R47" s="91"/>
    </row>
    <row r="48" spans="2:18" ht="19.5" thickTop="1" thickBot="1" x14ac:dyDescent="0.3">
      <c r="B48" s="99"/>
      <c r="C48" s="95"/>
      <c r="D48" s="88"/>
      <c r="E48" s="1" t="s">
        <v>3</v>
      </c>
      <c r="F48" s="3"/>
      <c r="G48" s="3">
        <v>0</v>
      </c>
      <c r="H48" s="3">
        <v>0</v>
      </c>
      <c r="I48" s="3">
        <v>0</v>
      </c>
      <c r="J48" s="72">
        <v>0</v>
      </c>
      <c r="K48" s="3">
        <v>0</v>
      </c>
      <c r="L48" s="3">
        <v>0</v>
      </c>
      <c r="M48" s="72">
        <v>0</v>
      </c>
      <c r="N48" s="4"/>
      <c r="O48" s="16"/>
      <c r="P48" s="88"/>
      <c r="Q48" s="88"/>
      <c r="R48" s="91"/>
    </row>
    <row r="49" spans="2:18" ht="19.5" thickTop="1" thickBot="1" x14ac:dyDescent="0.3">
      <c r="B49" s="99"/>
      <c r="C49" s="95"/>
      <c r="D49" s="88"/>
      <c r="E49" s="21" t="s">
        <v>4</v>
      </c>
      <c r="F49" s="22">
        <f t="shared" ref="F49:M49" si="16">IF(F48&lt;30,F47,F47+F48)</f>
        <v>40</v>
      </c>
      <c r="G49" s="22">
        <f t="shared" si="16"/>
        <v>34</v>
      </c>
      <c r="H49" s="22">
        <f t="shared" si="16"/>
        <v>0</v>
      </c>
      <c r="I49" s="22">
        <f t="shared" si="16"/>
        <v>0</v>
      </c>
      <c r="J49" s="22">
        <f t="shared" si="16"/>
        <v>0</v>
      </c>
      <c r="K49" s="22">
        <f t="shared" si="16"/>
        <v>35</v>
      </c>
      <c r="L49" s="22">
        <f t="shared" si="16"/>
        <v>40</v>
      </c>
      <c r="M49" s="22">
        <f t="shared" si="16"/>
        <v>0</v>
      </c>
      <c r="N49" s="23"/>
      <c r="O49" s="24"/>
      <c r="P49" s="88"/>
      <c r="Q49" s="88"/>
      <c r="R49" s="91"/>
    </row>
    <row r="50" spans="2:18" ht="25.5" customHeight="1" thickTop="1" thickBot="1" x14ac:dyDescent="0.3">
      <c r="B50" s="108"/>
      <c r="C50" s="114"/>
      <c r="D50" s="89"/>
      <c r="E50" s="12" t="s">
        <v>7</v>
      </c>
      <c r="F50" s="13">
        <f t="shared" ref="F50:M50" si="17">SUM(F46*F49)</f>
        <v>120</v>
      </c>
      <c r="G50" s="13">
        <f t="shared" si="17"/>
        <v>136</v>
      </c>
      <c r="H50" s="13">
        <f t="shared" si="17"/>
        <v>0</v>
      </c>
      <c r="I50" s="13">
        <f t="shared" si="17"/>
        <v>0</v>
      </c>
      <c r="J50" s="13">
        <f t="shared" si="17"/>
        <v>0</v>
      </c>
      <c r="K50" s="13">
        <f t="shared" si="17"/>
        <v>70</v>
      </c>
      <c r="L50" s="13">
        <f t="shared" si="17"/>
        <v>160</v>
      </c>
      <c r="M50" s="13">
        <f t="shared" si="17"/>
        <v>0</v>
      </c>
      <c r="N50" s="14">
        <f>SUM(F50:M50)</f>
        <v>486</v>
      </c>
      <c r="O50" s="19">
        <f>SUM(N50/N46)</f>
        <v>30.375</v>
      </c>
      <c r="P50" s="89"/>
      <c r="Q50" s="89"/>
      <c r="R50" s="92"/>
    </row>
    <row r="51" spans="2:18" ht="20.25" thickTop="1" thickBot="1" x14ac:dyDescent="0.35">
      <c r="B51" s="99">
        <v>-10</v>
      </c>
      <c r="C51" s="95" t="s">
        <v>84</v>
      </c>
      <c r="D51" s="88" t="s">
        <v>118</v>
      </c>
      <c r="E51" s="15" t="s">
        <v>6</v>
      </c>
      <c r="F51" s="58">
        <f>IF(IF(F54=0,0,3),3,0)</f>
        <v>3</v>
      </c>
      <c r="G51" s="58">
        <f>IF(IF(G54=0,0,4),4,0)</f>
        <v>4</v>
      </c>
      <c r="H51" s="58">
        <f>IF(IF(H54=0,0,2),2,0)</f>
        <v>0</v>
      </c>
      <c r="I51" s="58">
        <f>IF(IF(I54=0,0,2),2,0)</f>
        <v>0</v>
      </c>
      <c r="J51" s="58">
        <f>IF(IF(J54=0,0,3),3,0)</f>
        <v>0</v>
      </c>
      <c r="K51" s="58">
        <f>IF(IF(K54=0,0,2),2,0)</f>
        <v>2</v>
      </c>
      <c r="L51" s="59">
        <f>IF(IF(G54=0,0,4),4,0)</f>
        <v>4</v>
      </c>
      <c r="M51" s="59">
        <f>IF(IF(G54=0,0,3),3,0)</f>
        <v>3</v>
      </c>
      <c r="N51" s="59">
        <f>SUM(F51:M51)</f>
        <v>16</v>
      </c>
      <c r="O51" s="60"/>
      <c r="P51" s="87"/>
      <c r="Q51" s="87"/>
      <c r="R51" s="90"/>
    </row>
    <row r="52" spans="2:18" ht="19.5" thickTop="1" thickBot="1" x14ac:dyDescent="0.3">
      <c r="B52" s="99"/>
      <c r="C52" s="95"/>
      <c r="D52" s="88"/>
      <c r="E52" s="2" t="s">
        <v>142</v>
      </c>
      <c r="F52" s="6">
        <v>34</v>
      </c>
      <c r="G52" s="6">
        <v>32</v>
      </c>
      <c r="H52" s="6">
        <v>0</v>
      </c>
      <c r="I52" s="7">
        <v>0</v>
      </c>
      <c r="J52" s="7">
        <v>0</v>
      </c>
      <c r="K52" s="7">
        <v>32</v>
      </c>
      <c r="L52" s="7">
        <v>29</v>
      </c>
      <c r="M52" s="7">
        <v>0</v>
      </c>
      <c r="N52" s="4"/>
      <c r="O52" s="16"/>
      <c r="P52" s="88"/>
      <c r="Q52" s="88"/>
      <c r="R52" s="91"/>
    </row>
    <row r="53" spans="2:18" ht="19.5" thickTop="1" thickBot="1" x14ac:dyDescent="0.3">
      <c r="B53" s="99"/>
      <c r="C53" s="95"/>
      <c r="D53" s="88"/>
      <c r="E53" s="1" t="s">
        <v>3</v>
      </c>
      <c r="F53" s="3">
        <v>0</v>
      </c>
      <c r="G53" s="3">
        <v>0</v>
      </c>
      <c r="H53" s="3">
        <v>0</v>
      </c>
      <c r="I53" s="3">
        <v>0</v>
      </c>
      <c r="J53" s="72">
        <v>0</v>
      </c>
      <c r="K53" s="3">
        <v>0</v>
      </c>
      <c r="L53" s="3">
        <v>0</v>
      </c>
      <c r="M53" s="72">
        <v>0</v>
      </c>
      <c r="N53" s="4"/>
      <c r="O53" s="16"/>
      <c r="P53" s="88"/>
      <c r="Q53" s="88"/>
      <c r="R53" s="91"/>
    </row>
    <row r="54" spans="2:18" ht="19.5" thickTop="1" thickBot="1" x14ac:dyDescent="0.3">
      <c r="B54" s="99"/>
      <c r="C54" s="95"/>
      <c r="D54" s="88"/>
      <c r="E54" s="21" t="s">
        <v>4</v>
      </c>
      <c r="F54" s="22">
        <f t="shared" ref="F54:M54" si="18">IF(F53&lt;30,F52,F52+F53)</f>
        <v>34</v>
      </c>
      <c r="G54" s="22">
        <f t="shared" si="18"/>
        <v>32</v>
      </c>
      <c r="H54" s="22">
        <f t="shared" si="18"/>
        <v>0</v>
      </c>
      <c r="I54" s="22">
        <f t="shared" si="18"/>
        <v>0</v>
      </c>
      <c r="J54" s="22">
        <f t="shared" si="18"/>
        <v>0</v>
      </c>
      <c r="K54" s="22">
        <f t="shared" si="18"/>
        <v>32</v>
      </c>
      <c r="L54" s="22">
        <f t="shared" si="18"/>
        <v>29</v>
      </c>
      <c r="M54" s="22">
        <f t="shared" si="18"/>
        <v>0</v>
      </c>
      <c r="N54" s="23"/>
      <c r="O54" s="24"/>
      <c r="P54" s="88"/>
      <c r="Q54" s="88"/>
      <c r="R54" s="91"/>
    </row>
    <row r="55" spans="2:18" ht="21.75" customHeight="1" thickTop="1" thickBot="1" x14ac:dyDescent="0.3">
      <c r="B55" s="108"/>
      <c r="C55" s="110"/>
      <c r="D55" s="89"/>
      <c r="E55" s="8" t="s">
        <v>7</v>
      </c>
      <c r="F55" s="13">
        <f t="shared" ref="F55:M55" si="19">SUM(F51*F54)</f>
        <v>102</v>
      </c>
      <c r="G55" s="13">
        <f t="shared" si="19"/>
        <v>128</v>
      </c>
      <c r="H55" s="13">
        <f t="shared" si="19"/>
        <v>0</v>
      </c>
      <c r="I55" s="13">
        <f t="shared" si="19"/>
        <v>0</v>
      </c>
      <c r="J55" s="13">
        <f t="shared" si="19"/>
        <v>0</v>
      </c>
      <c r="K55" s="13">
        <f t="shared" si="19"/>
        <v>64</v>
      </c>
      <c r="L55" s="13">
        <f t="shared" si="19"/>
        <v>116</v>
      </c>
      <c r="M55" s="13">
        <f t="shared" si="19"/>
        <v>0</v>
      </c>
      <c r="N55" s="14">
        <f>SUM(F55:M55)</f>
        <v>410</v>
      </c>
      <c r="O55" s="19">
        <f>SUM(N55/N51)</f>
        <v>25.625</v>
      </c>
      <c r="P55" s="89"/>
      <c r="Q55" s="89"/>
      <c r="R55" s="92"/>
    </row>
    <row r="56" spans="2:18" ht="20.25" thickTop="1" thickBot="1" x14ac:dyDescent="0.35">
      <c r="B56" s="99">
        <v>-11</v>
      </c>
      <c r="C56" s="109" t="s">
        <v>85</v>
      </c>
      <c r="D56" s="88" t="s">
        <v>119</v>
      </c>
      <c r="E56" s="10" t="s">
        <v>6</v>
      </c>
      <c r="F56" s="58">
        <f>IF(IF(F59=0,0,3),3,0)</f>
        <v>3</v>
      </c>
      <c r="G56" s="58">
        <f>IF(IF(G59=0,0,4),4,0)</f>
        <v>4</v>
      </c>
      <c r="H56" s="58">
        <f>IF(IF(H59=0,0,2),2,0)</f>
        <v>0</v>
      </c>
      <c r="I56" s="58">
        <f>IF(IF(I59=0,0,2),2,0)</f>
        <v>0</v>
      </c>
      <c r="J56" s="58">
        <f>IF(IF(J59=0,0,3),3,0)</f>
        <v>0</v>
      </c>
      <c r="K56" s="58">
        <f>IF(IF(K59=0,0,2),2,0)</f>
        <v>2</v>
      </c>
      <c r="L56" s="59">
        <f>IF(IF(G59=0,0,4),4,0)</f>
        <v>4</v>
      </c>
      <c r="M56" s="59">
        <f>IF(IF(G59=0,0,3),3,0)</f>
        <v>3</v>
      </c>
      <c r="N56" s="59">
        <f>SUM(F56:M56)</f>
        <v>16</v>
      </c>
      <c r="O56" s="60"/>
      <c r="P56" s="87"/>
      <c r="Q56" s="87"/>
      <c r="R56" s="90"/>
    </row>
    <row r="57" spans="2:18" ht="19.5" thickTop="1" thickBot="1" x14ac:dyDescent="0.3">
      <c r="B57" s="99"/>
      <c r="C57" s="95"/>
      <c r="D57" s="88"/>
      <c r="E57" s="2" t="s">
        <v>142</v>
      </c>
      <c r="F57" s="6">
        <v>24</v>
      </c>
      <c r="G57" s="6">
        <v>10</v>
      </c>
      <c r="H57" s="6">
        <v>0</v>
      </c>
      <c r="I57" s="7">
        <v>0</v>
      </c>
      <c r="J57" s="7">
        <v>0</v>
      </c>
      <c r="K57" s="7">
        <v>21</v>
      </c>
      <c r="L57" s="7">
        <v>22</v>
      </c>
      <c r="M57" s="7">
        <v>0</v>
      </c>
      <c r="N57" s="4"/>
      <c r="O57" s="16"/>
      <c r="P57" s="88"/>
      <c r="Q57" s="88"/>
      <c r="R57" s="91"/>
    </row>
    <row r="58" spans="2:18" ht="19.5" thickTop="1" thickBot="1" x14ac:dyDescent="0.3">
      <c r="B58" s="99"/>
      <c r="C58" s="95"/>
      <c r="D58" s="88"/>
      <c r="E58" s="1" t="s">
        <v>3</v>
      </c>
      <c r="F58" s="3">
        <v>0</v>
      </c>
      <c r="G58" s="3">
        <v>0</v>
      </c>
      <c r="H58" s="3">
        <v>0</v>
      </c>
      <c r="I58" s="3">
        <v>0</v>
      </c>
      <c r="J58" s="72">
        <v>0</v>
      </c>
      <c r="K58" s="3">
        <v>0</v>
      </c>
      <c r="L58" s="3">
        <v>0</v>
      </c>
      <c r="M58" s="72">
        <v>0</v>
      </c>
      <c r="N58" s="4"/>
      <c r="O58" s="16"/>
      <c r="P58" s="88"/>
      <c r="Q58" s="88"/>
      <c r="R58" s="91"/>
    </row>
    <row r="59" spans="2:18" ht="19.5" thickTop="1" thickBot="1" x14ac:dyDescent="0.3">
      <c r="B59" s="99"/>
      <c r="C59" s="95"/>
      <c r="D59" s="88"/>
      <c r="E59" s="21" t="s">
        <v>4</v>
      </c>
      <c r="F59" s="22">
        <f t="shared" ref="F59:M59" si="20">IF(F58&lt;30,F57,F57+F58)</f>
        <v>24</v>
      </c>
      <c r="G59" s="22">
        <f t="shared" si="20"/>
        <v>10</v>
      </c>
      <c r="H59" s="22">
        <f t="shared" si="20"/>
        <v>0</v>
      </c>
      <c r="I59" s="22">
        <f t="shared" si="20"/>
        <v>0</v>
      </c>
      <c r="J59" s="22">
        <f t="shared" si="20"/>
        <v>0</v>
      </c>
      <c r="K59" s="22">
        <f t="shared" si="20"/>
        <v>21</v>
      </c>
      <c r="L59" s="22">
        <f t="shared" si="20"/>
        <v>22</v>
      </c>
      <c r="M59" s="22">
        <f t="shared" si="20"/>
        <v>0</v>
      </c>
      <c r="N59" s="23"/>
      <c r="O59" s="24"/>
      <c r="P59" s="88"/>
      <c r="Q59" s="88"/>
      <c r="R59" s="91"/>
    </row>
    <row r="60" spans="2:18" ht="25.5" customHeight="1" thickTop="1" thickBot="1" x14ac:dyDescent="0.3">
      <c r="B60" s="108"/>
      <c r="C60" s="110"/>
      <c r="D60" s="89"/>
      <c r="E60" s="8" t="s">
        <v>7</v>
      </c>
      <c r="F60" s="13">
        <f t="shared" ref="F60:M60" si="21">SUM(F56*F59)</f>
        <v>72</v>
      </c>
      <c r="G60" s="13">
        <f t="shared" si="21"/>
        <v>40</v>
      </c>
      <c r="H60" s="13">
        <f t="shared" si="21"/>
        <v>0</v>
      </c>
      <c r="I60" s="13">
        <f t="shared" si="21"/>
        <v>0</v>
      </c>
      <c r="J60" s="13">
        <f t="shared" si="21"/>
        <v>0</v>
      </c>
      <c r="K60" s="13">
        <f t="shared" si="21"/>
        <v>42</v>
      </c>
      <c r="L60" s="13">
        <f t="shared" si="21"/>
        <v>88</v>
      </c>
      <c r="M60" s="13">
        <f t="shared" si="21"/>
        <v>0</v>
      </c>
      <c r="N60" s="14">
        <f>SUM(F60:M60)</f>
        <v>242</v>
      </c>
      <c r="O60" s="19">
        <f>SUM(N60/N56)</f>
        <v>15.125</v>
      </c>
      <c r="P60" s="89"/>
      <c r="Q60" s="89"/>
      <c r="R60" s="93"/>
    </row>
    <row r="61" spans="2:18" ht="20.25" thickTop="1" thickBot="1" x14ac:dyDescent="0.35">
      <c r="B61" s="99">
        <v>-12</v>
      </c>
      <c r="C61" s="109" t="s">
        <v>86</v>
      </c>
      <c r="D61" s="104" t="s">
        <v>120</v>
      </c>
      <c r="E61" s="10" t="s">
        <v>6</v>
      </c>
      <c r="F61" s="38">
        <f>IF(IF(F64=0,0,3),3,0)</f>
        <v>3</v>
      </c>
      <c r="G61" s="38">
        <f>IF(IF(G64=0,0,4),4,0)</f>
        <v>4</v>
      </c>
      <c r="H61" s="38">
        <f>IF(IF(H64=0,0,2),2,0)</f>
        <v>0</v>
      </c>
      <c r="I61" s="38">
        <f>IF(IF(I64=0,0,2),2,0)</f>
        <v>0</v>
      </c>
      <c r="J61" s="38">
        <f>IF(IF(J64=0,0,3),3,0)</f>
        <v>0</v>
      </c>
      <c r="K61" s="38">
        <f>IF(IF(K64=0,0,2),2,0)</f>
        <v>2</v>
      </c>
      <c r="L61" s="11">
        <f>IF(IF(G64=0,0,4),4,0)</f>
        <v>4</v>
      </c>
      <c r="M61" s="11">
        <f>IF(IF(G64=0,0,3),3,0)</f>
        <v>3</v>
      </c>
      <c r="N61" s="11">
        <f>SUM(F61:M61)</f>
        <v>16</v>
      </c>
      <c r="O61" s="17"/>
      <c r="P61" s="101"/>
      <c r="Q61" s="101"/>
      <c r="R61" s="115"/>
    </row>
    <row r="62" spans="2:18" ht="19.5" thickTop="1" thickBot="1" x14ac:dyDescent="0.3">
      <c r="B62" s="99"/>
      <c r="C62" s="95"/>
      <c r="D62" s="88"/>
      <c r="E62" s="2" t="s">
        <v>142</v>
      </c>
      <c r="F62" s="6">
        <v>32</v>
      </c>
      <c r="G62" s="6">
        <v>27</v>
      </c>
      <c r="H62" s="6">
        <v>0</v>
      </c>
      <c r="I62" s="7">
        <v>0</v>
      </c>
      <c r="J62" s="7">
        <v>0</v>
      </c>
      <c r="K62" s="7">
        <v>19</v>
      </c>
      <c r="L62" s="7">
        <v>39</v>
      </c>
      <c r="M62" s="7">
        <v>0</v>
      </c>
      <c r="N62" s="7"/>
      <c r="O62" s="18"/>
      <c r="P62" s="102"/>
      <c r="Q62" s="102"/>
      <c r="R62" s="115"/>
    </row>
    <row r="63" spans="2:18" ht="19.5" thickTop="1" thickBot="1" x14ac:dyDescent="0.3">
      <c r="B63" s="99"/>
      <c r="C63" s="95"/>
      <c r="D63" s="88"/>
      <c r="E63" s="1" t="s">
        <v>3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4"/>
      <c r="O63" s="16"/>
      <c r="P63" s="102"/>
      <c r="Q63" s="102"/>
      <c r="R63" s="115"/>
    </row>
    <row r="64" spans="2:18" ht="19.5" thickTop="1" thickBot="1" x14ac:dyDescent="0.3">
      <c r="B64" s="99"/>
      <c r="C64" s="95"/>
      <c r="D64" s="88"/>
      <c r="E64" s="21" t="s">
        <v>4</v>
      </c>
      <c r="F64" s="22">
        <f t="shared" ref="F64:M64" si="22">IF(F63&lt;30,F62,F62+F63)</f>
        <v>32</v>
      </c>
      <c r="G64" s="22">
        <f t="shared" si="22"/>
        <v>27</v>
      </c>
      <c r="H64" s="22">
        <f t="shared" si="22"/>
        <v>0</v>
      </c>
      <c r="I64" s="22">
        <f t="shared" si="22"/>
        <v>0</v>
      </c>
      <c r="J64" s="22">
        <f t="shared" si="22"/>
        <v>0</v>
      </c>
      <c r="K64" s="22">
        <f t="shared" si="22"/>
        <v>19</v>
      </c>
      <c r="L64" s="22">
        <f t="shared" si="22"/>
        <v>39</v>
      </c>
      <c r="M64" s="22">
        <f t="shared" si="22"/>
        <v>0</v>
      </c>
      <c r="N64" s="23"/>
      <c r="O64" s="24"/>
      <c r="P64" s="102"/>
      <c r="Q64" s="102"/>
      <c r="R64" s="115"/>
    </row>
    <row r="65" spans="2:18" ht="24" customHeight="1" thickTop="1" thickBot="1" x14ac:dyDescent="0.3">
      <c r="B65" s="108"/>
      <c r="C65" s="110"/>
      <c r="D65" s="89"/>
      <c r="E65" s="8" t="s">
        <v>7</v>
      </c>
      <c r="F65" s="13">
        <f t="shared" ref="F65:M65" si="23">SUM(F61*F64)</f>
        <v>96</v>
      </c>
      <c r="G65" s="13">
        <f t="shared" si="23"/>
        <v>108</v>
      </c>
      <c r="H65" s="13">
        <f t="shared" si="23"/>
        <v>0</v>
      </c>
      <c r="I65" s="13">
        <f t="shared" si="23"/>
        <v>0</v>
      </c>
      <c r="J65" s="13">
        <f t="shared" si="23"/>
        <v>0</v>
      </c>
      <c r="K65" s="13">
        <f t="shared" si="23"/>
        <v>38</v>
      </c>
      <c r="L65" s="13">
        <f t="shared" si="23"/>
        <v>156</v>
      </c>
      <c r="M65" s="13">
        <f t="shared" si="23"/>
        <v>0</v>
      </c>
      <c r="N65" s="14">
        <f>SUM(F65:M65)</f>
        <v>398</v>
      </c>
      <c r="O65" s="20">
        <f>SUM(N65/N61)</f>
        <v>24.875</v>
      </c>
      <c r="P65" s="103"/>
      <c r="Q65" s="103"/>
      <c r="R65" s="116"/>
    </row>
    <row r="66" spans="2:18" ht="20.25" thickTop="1" thickBot="1" x14ac:dyDescent="0.35">
      <c r="B66" s="99">
        <v>-13</v>
      </c>
      <c r="C66" s="109" t="s">
        <v>87</v>
      </c>
      <c r="D66" s="104" t="s">
        <v>121</v>
      </c>
      <c r="E66" s="10" t="s">
        <v>6</v>
      </c>
      <c r="F66" s="38">
        <f>IF(IF(F69=0,0,3),3,0)</f>
        <v>3</v>
      </c>
      <c r="G66" s="38">
        <f>IF(IF(G69=0,0,4),4,0)</f>
        <v>4</v>
      </c>
      <c r="H66" s="38">
        <f>IF(IF(H69=0,0,2),2,0)</f>
        <v>0</v>
      </c>
      <c r="I66" s="38">
        <f>IF(IF(I69=0,0,2),2,0)</f>
        <v>0</v>
      </c>
      <c r="J66" s="38">
        <f>IF(IF(J69=0,0,3),3,0)</f>
        <v>0</v>
      </c>
      <c r="K66" s="38">
        <f>IF(IF(K69=0,0,2),2,0)</f>
        <v>2</v>
      </c>
      <c r="L66" s="11">
        <f>IF(IF(G69=0,0,4),4,0)</f>
        <v>4</v>
      </c>
      <c r="M66" s="11">
        <f>IF(IF(G69=0,0,3),3,0)</f>
        <v>3</v>
      </c>
      <c r="N66" s="11">
        <f>SUM(F66:M66)</f>
        <v>16</v>
      </c>
      <c r="O66" s="17"/>
      <c r="P66" s="101"/>
      <c r="Q66" s="101"/>
      <c r="R66" s="117"/>
    </row>
    <row r="67" spans="2:18" ht="19.5" thickTop="1" thickBot="1" x14ac:dyDescent="0.3">
      <c r="B67" s="99"/>
      <c r="C67" s="95"/>
      <c r="D67" s="88"/>
      <c r="E67" s="2" t="s">
        <v>142</v>
      </c>
      <c r="F67" s="6">
        <v>31</v>
      </c>
      <c r="G67" s="6">
        <v>31</v>
      </c>
      <c r="H67" s="6">
        <v>0</v>
      </c>
      <c r="I67" s="7">
        <v>0</v>
      </c>
      <c r="J67" s="7">
        <v>0</v>
      </c>
      <c r="K67" s="7">
        <v>32</v>
      </c>
      <c r="L67" s="7">
        <v>35</v>
      </c>
      <c r="M67" s="7">
        <v>0</v>
      </c>
      <c r="N67" s="7"/>
      <c r="O67" s="18"/>
      <c r="P67" s="102"/>
      <c r="Q67" s="102"/>
      <c r="R67" s="115"/>
    </row>
    <row r="68" spans="2:18" ht="19.5" thickTop="1" thickBot="1" x14ac:dyDescent="0.3">
      <c r="B68" s="99"/>
      <c r="C68" s="95"/>
      <c r="D68" s="88"/>
      <c r="E68" s="1" t="s">
        <v>3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4"/>
      <c r="O68" s="16"/>
      <c r="P68" s="102"/>
      <c r="Q68" s="102"/>
      <c r="R68" s="115"/>
    </row>
    <row r="69" spans="2:18" ht="19.5" thickTop="1" thickBot="1" x14ac:dyDescent="0.3">
      <c r="B69" s="99"/>
      <c r="C69" s="95"/>
      <c r="D69" s="88"/>
      <c r="E69" s="21" t="s">
        <v>4</v>
      </c>
      <c r="F69" s="22">
        <f t="shared" ref="F69:M69" si="24">IF(F68&lt;30,F67,F67+F68)</f>
        <v>31</v>
      </c>
      <c r="G69" s="22">
        <f t="shared" si="24"/>
        <v>31</v>
      </c>
      <c r="H69" s="22">
        <f t="shared" si="24"/>
        <v>0</v>
      </c>
      <c r="I69" s="22">
        <f t="shared" si="24"/>
        <v>0</v>
      </c>
      <c r="J69" s="22">
        <f t="shared" si="24"/>
        <v>0</v>
      </c>
      <c r="K69" s="22">
        <f t="shared" si="24"/>
        <v>32</v>
      </c>
      <c r="L69" s="22">
        <f t="shared" si="24"/>
        <v>35</v>
      </c>
      <c r="M69" s="22">
        <f t="shared" si="24"/>
        <v>0</v>
      </c>
      <c r="N69" s="23"/>
      <c r="O69" s="24"/>
      <c r="P69" s="102"/>
      <c r="Q69" s="102"/>
      <c r="R69" s="115"/>
    </row>
    <row r="70" spans="2:18" ht="21" customHeight="1" thickTop="1" thickBot="1" x14ac:dyDescent="0.3">
      <c r="B70" s="108"/>
      <c r="C70" s="110"/>
      <c r="D70" s="89"/>
      <c r="E70" s="12" t="s">
        <v>7</v>
      </c>
      <c r="F70" s="13">
        <f t="shared" ref="F70:M70" si="25">SUM(F66*F69)</f>
        <v>93</v>
      </c>
      <c r="G70" s="13">
        <f t="shared" si="25"/>
        <v>124</v>
      </c>
      <c r="H70" s="13">
        <f t="shared" si="25"/>
        <v>0</v>
      </c>
      <c r="I70" s="13">
        <f t="shared" si="25"/>
        <v>0</v>
      </c>
      <c r="J70" s="13">
        <f t="shared" si="25"/>
        <v>0</v>
      </c>
      <c r="K70" s="13">
        <f t="shared" si="25"/>
        <v>64</v>
      </c>
      <c r="L70" s="13">
        <f t="shared" si="25"/>
        <v>140</v>
      </c>
      <c r="M70" s="13">
        <f t="shared" si="25"/>
        <v>0</v>
      </c>
      <c r="N70" s="14">
        <f>SUM(F70:M70)</f>
        <v>421</v>
      </c>
      <c r="O70" s="20">
        <f>SUM(N70/N66)</f>
        <v>26.3125</v>
      </c>
      <c r="P70" s="103"/>
      <c r="Q70" s="103"/>
      <c r="R70" s="116"/>
    </row>
    <row r="71" spans="2:18" ht="20.25" thickTop="1" thickBot="1" x14ac:dyDescent="0.35">
      <c r="B71" s="99">
        <v>-14</v>
      </c>
      <c r="C71" s="109" t="s">
        <v>88</v>
      </c>
      <c r="D71" s="104" t="s">
        <v>122</v>
      </c>
      <c r="E71" s="10" t="s">
        <v>6</v>
      </c>
      <c r="F71" s="38">
        <f>IF(IF(F74=0,0,3),3,0)</f>
        <v>3</v>
      </c>
      <c r="G71" s="38">
        <f>IF(IF(G74=0,0,4),4,0)</f>
        <v>4</v>
      </c>
      <c r="H71" s="38">
        <f>IF(IF(H74=0,0,2),2,0)</f>
        <v>0</v>
      </c>
      <c r="I71" s="38">
        <f>IF(IF(I74=0,0,2),2,0)</f>
        <v>0</v>
      </c>
      <c r="J71" s="38">
        <f>IF(IF(J74=0,0,3),3,0)</f>
        <v>0</v>
      </c>
      <c r="K71" s="38">
        <f>IF(IF(K74=0,0,2),2,0)</f>
        <v>2</v>
      </c>
      <c r="L71" s="11">
        <f>IF(IF(G74=0,0,4),4,0)</f>
        <v>4</v>
      </c>
      <c r="M71" s="11">
        <f>IF(IF(G74=0,0,3),3,0)</f>
        <v>3</v>
      </c>
      <c r="N71" s="11">
        <f>SUM(F71:M71)</f>
        <v>16</v>
      </c>
      <c r="O71" s="17"/>
      <c r="P71" s="101"/>
      <c r="Q71" s="101"/>
      <c r="R71" s="117"/>
    </row>
    <row r="72" spans="2:18" ht="19.5" thickTop="1" thickBot="1" x14ac:dyDescent="0.3">
      <c r="B72" s="99"/>
      <c r="C72" s="95"/>
      <c r="D72" s="88"/>
      <c r="E72" s="2" t="s">
        <v>142</v>
      </c>
      <c r="F72" s="6">
        <v>31</v>
      </c>
      <c r="G72" s="6">
        <v>10</v>
      </c>
      <c r="H72" s="6">
        <v>0</v>
      </c>
      <c r="I72" s="7">
        <v>0</v>
      </c>
      <c r="J72" s="7">
        <v>0</v>
      </c>
      <c r="K72" s="7">
        <v>13</v>
      </c>
      <c r="L72" s="7">
        <v>18</v>
      </c>
      <c r="M72" s="7">
        <v>0</v>
      </c>
      <c r="N72" s="7"/>
      <c r="O72" s="18"/>
      <c r="P72" s="102"/>
      <c r="Q72" s="102"/>
      <c r="R72" s="115"/>
    </row>
    <row r="73" spans="2:18" ht="19.5" thickTop="1" thickBot="1" x14ac:dyDescent="0.3">
      <c r="B73" s="99"/>
      <c r="C73" s="95"/>
      <c r="D73" s="88"/>
      <c r="E73" s="1" t="s">
        <v>3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4"/>
      <c r="O73" s="16"/>
      <c r="P73" s="102"/>
      <c r="Q73" s="102"/>
      <c r="R73" s="115"/>
    </row>
    <row r="74" spans="2:18" ht="19.5" thickTop="1" thickBot="1" x14ac:dyDescent="0.3">
      <c r="B74" s="99"/>
      <c r="C74" s="95"/>
      <c r="D74" s="88"/>
      <c r="E74" s="21" t="s">
        <v>4</v>
      </c>
      <c r="F74" s="22">
        <f t="shared" ref="F74:M74" si="26">IF(F73&lt;30,F72,F72+F73)</f>
        <v>31</v>
      </c>
      <c r="G74" s="22">
        <f t="shared" si="26"/>
        <v>10</v>
      </c>
      <c r="H74" s="22">
        <f t="shared" si="26"/>
        <v>0</v>
      </c>
      <c r="I74" s="22">
        <f t="shared" si="26"/>
        <v>0</v>
      </c>
      <c r="J74" s="22">
        <f t="shared" si="26"/>
        <v>0</v>
      </c>
      <c r="K74" s="22">
        <f t="shared" si="26"/>
        <v>13</v>
      </c>
      <c r="L74" s="22">
        <f t="shared" si="26"/>
        <v>18</v>
      </c>
      <c r="M74" s="22">
        <f t="shared" si="26"/>
        <v>0</v>
      </c>
      <c r="N74" s="23"/>
      <c r="O74" s="24"/>
      <c r="P74" s="102"/>
      <c r="Q74" s="102"/>
      <c r="R74" s="115"/>
    </row>
    <row r="75" spans="2:18" ht="25.5" customHeight="1" thickTop="1" thickBot="1" x14ac:dyDescent="0.3">
      <c r="B75" s="108"/>
      <c r="C75" s="96"/>
      <c r="D75" s="89"/>
      <c r="E75" s="66" t="s">
        <v>7</v>
      </c>
      <c r="F75" s="67">
        <f t="shared" ref="F75:M75" si="27">SUM(F71*F74)</f>
        <v>93</v>
      </c>
      <c r="G75" s="67">
        <f t="shared" si="27"/>
        <v>40</v>
      </c>
      <c r="H75" s="67">
        <f t="shared" si="27"/>
        <v>0</v>
      </c>
      <c r="I75" s="67">
        <f t="shared" si="27"/>
        <v>0</v>
      </c>
      <c r="J75" s="67">
        <f t="shared" si="27"/>
        <v>0</v>
      </c>
      <c r="K75" s="67">
        <f t="shared" si="27"/>
        <v>26</v>
      </c>
      <c r="L75" s="67">
        <f t="shared" si="27"/>
        <v>72</v>
      </c>
      <c r="M75" s="67">
        <f t="shared" si="27"/>
        <v>0</v>
      </c>
      <c r="N75" s="68">
        <f>SUM(F75:M75)</f>
        <v>231</v>
      </c>
      <c r="O75" s="67">
        <f>SUM(N75/N71)</f>
        <v>14.4375</v>
      </c>
      <c r="P75" s="103"/>
      <c r="Q75" s="103"/>
      <c r="R75" s="118"/>
    </row>
    <row r="76" spans="2:18" ht="20.25" customHeight="1" thickTop="1" thickBot="1" x14ac:dyDescent="0.35">
      <c r="B76" s="99">
        <v>-15</v>
      </c>
      <c r="C76" s="97" t="s">
        <v>90</v>
      </c>
      <c r="D76" s="88" t="s">
        <v>123</v>
      </c>
      <c r="E76" s="57" t="s">
        <v>6</v>
      </c>
      <c r="F76" s="58">
        <f>IF(IF(F79=0,0,3),3,0)</f>
        <v>3</v>
      </c>
      <c r="G76" s="58">
        <f>IF(IF(G79=0,0,4),4,0)</f>
        <v>4</v>
      </c>
      <c r="H76" s="58">
        <f>IF(IF(H79=0,0,2),2,0)</f>
        <v>0</v>
      </c>
      <c r="I76" s="58">
        <f>IF(IF(I79=0,0,2),2,0)</f>
        <v>0</v>
      </c>
      <c r="J76" s="58">
        <f>IF(IF(J79=0,0,3),3,0)</f>
        <v>0</v>
      </c>
      <c r="K76" s="58">
        <f>IF(IF(K79=0,0,2),2,0)</f>
        <v>2</v>
      </c>
      <c r="L76" s="59">
        <f>IF(IF(G79=0,0,4),4,0)</f>
        <v>4</v>
      </c>
      <c r="M76" s="59">
        <f>IF(IF(G79=0,0,3),3,0)</f>
        <v>3</v>
      </c>
      <c r="N76" s="59">
        <f>SUM(F76:M76)</f>
        <v>16</v>
      </c>
      <c r="O76" s="60"/>
      <c r="P76" s="105"/>
      <c r="Q76" s="105"/>
      <c r="R76" s="117"/>
    </row>
    <row r="77" spans="2:18" ht="19.5" customHeight="1" thickTop="1" thickBot="1" x14ac:dyDescent="0.3">
      <c r="B77" s="99"/>
      <c r="C77" s="95"/>
      <c r="D77" s="88"/>
      <c r="E77" s="5" t="s">
        <v>108</v>
      </c>
      <c r="F77" s="6">
        <v>23</v>
      </c>
      <c r="G77" s="6">
        <v>14</v>
      </c>
      <c r="H77" s="6">
        <v>0</v>
      </c>
      <c r="I77" s="7">
        <v>0</v>
      </c>
      <c r="J77" s="7">
        <v>0</v>
      </c>
      <c r="K77" s="7">
        <v>18</v>
      </c>
      <c r="L77" s="7">
        <v>22</v>
      </c>
      <c r="M77" s="7">
        <v>0</v>
      </c>
      <c r="N77" s="4"/>
      <c r="O77" s="16"/>
      <c r="P77" s="106"/>
      <c r="Q77" s="106"/>
      <c r="R77" s="115"/>
    </row>
    <row r="78" spans="2:18" ht="19.5" customHeight="1" thickTop="1" thickBot="1" x14ac:dyDescent="0.3">
      <c r="B78" s="99"/>
      <c r="C78" s="95"/>
      <c r="D78" s="88"/>
      <c r="E78" s="1" t="s">
        <v>3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4"/>
      <c r="O78" s="16"/>
      <c r="P78" s="106"/>
      <c r="Q78" s="106"/>
      <c r="R78" s="115"/>
    </row>
    <row r="79" spans="2:18" ht="19.5" customHeight="1" thickTop="1" thickBot="1" x14ac:dyDescent="0.3">
      <c r="B79" s="99"/>
      <c r="C79" s="95"/>
      <c r="D79" s="88"/>
      <c r="E79" s="21" t="s">
        <v>4</v>
      </c>
      <c r="F79" s="22">
        <f t="shared" ref="F79:M79" si="28">IF(F78&lt;30,F77,F77+F78)</f>
        <v>23</v>
      </c>
      <c r="G79" s="22">
        <f t="shared" si="28"/>
        <v>14</v>
      </c>
      <c r="H79" s="22">
        <f t="shared" si="28"/>
        <v>0</v>
      </c>
      <c r="I79" s="22">
        <f t="shared" si="28"/>
        <v>0</v>
      </c>
      <c r="J79" s="22">
        <f t="shared" si="28"/>
        <v>0</v>
      </c>
      <c r="K79" s="22">
        <f t="shared" si="28"/>
        <v>18</v>
      </c>
      <c r="L79" s="22">
        <f t="shared" si="28"/>
        <v>22</v>
      </c>
      <c r="M79" s="22">
        <f t="shared" si="28"/>
        <v>0</v>
      </c>
      <c r="N79" s="23"/>
      <c r="O79" s="24"/>
      <c r="P79" s="106"/>
      <c r="Q79" s="106"/>
      <c r="R79" s="115"/>
    </row>
    <row r="80" spans="2:18" ht="27" customHeight="1" thickTop="1" thickBot="1" x14ac:dyDescent="0.3">
      <c r="B80" s="108"/>
      <c r="C80" s="95"/>
      <c r="D80" s="89"/>
      <c r="E80" s="12" t="s">
        <v>7</v>
      </c>
      <c r="F80" s="13">
        <f t="shared" ref="F80:M80" si="29">SUM(F76*F79)</f>
        <v>69</v>
      </c>
      <c r="G80" s="13">
        <f t="shared" si="29"/>
        <v>56</v>
      </c>
      <c r="H80" s="13">
        <f t="shared" si="29"/>
        <v>0</v>
      </c>
      <c r="I80" s="13">
        <f t="shared" si="29"/>
        <v>0</v>
      </c>
      <c r="J80" s="13">
        <f t="shared" si="29"/>
        <v>0</v>
      </c>
      <c r="K80" s="13">
        <f t="shared" si="29"/>
        <v>36</v>
      </c>
      <c r="L80" s="13">
        <f t="shared" si="29"/>
        <v>88</v>
      </c>
      <c r="M80" s="13">
        <f t="shared" si="29"/>
        <v>0</v>
      </c>
      <c r="N80" s="14">
        <f>SUM(F80:M80)</f>
        <v>249</v>
      </c>
      <c r="O80" s="19">
        <f>SUM(N80/N76)</f>
        <v>15.5625</v>
      </c>
      <c r="P80" s="107"/>
      <c r="Q80" s="107"/>
      <c r="R80" s="116"/>
    </row>
    <row r="81" spans="2:18" ht="20.25" thickTop="1" thickBot="1" x14ac:dyDescent="0.35">
      <c r="B81" s="99">
        <v>-16</v>
      </c>
      <c r="C81" s="94" t="s">
        <v>91</v>
      </c>
      <c r="D81" s="88" t="s">
        <v>124</v>
      </c>
      <c r="E81" s="15" t="s">
        <v>6</v>
      </c>
      <c r="F81" s="38">
        <f>IF(IF(F84=0,0,3),3,0)</f>
        <v>3</v>
      </c>
      <c r="G81" s="38">
        <f>IF(IF(G84=0,0,4),4,0)</f>
        <v>4</v>
      </c>
      <c r="H81" s="38">
        <f>IF(IF(H84=0,0,2),2,0)</f>
        <v>0</v>
      </c>
      <c r="I81" s="38">
        <f>IF(IF(I84=0,0,2),2,0)</f>
        <v>0</v>
      </c>
      <c r="J81" s="38">
        <f>IF(IF(J84=0,0,3),3,0)</f>
        <v>0</v>
      </c>
      <c r="K81" s="38">
        <f>IF(IF(K84=0,0,2),2,0)</f>
        <v>2</v>
      </c>
      <c r="L81" s="11">
        <f>IF(IF(G84=0,0,4),4,0)</f>
        <v>4</v>
      </c>
      <c r="M81" s="11">
        <f>IF(IF(G84=0,0,3),3,0)</f>
        <v>3</v>
      </c>
      <c r="N81" s="11">
        <f>SUM(F81:M81)</f>
        <v>16</v>
      </c>
      <c r="O81" s="17"/>
      <c r="P81" s="101"/>
      <c r="Q81" s="101"/>
      <c r="R81" s="117"/>
    </row>
    <row r="82" spans="2:18" ht="19.5" customHeight="1" thickTop="1" thickBot="1" x14ac:dyDescent="0.3">
      <c r="B82" s="99"/>
      <c r="C82" s="95"/>
      <c r="D82" s="88"/>
      <c r="E82" s="2" t="s">
        <v>142</v>
      </c>
      <c r="F82" s="6">
        <v>27</v>
      </c>
      <c r="G82" s="6">
        <v>25</v>
      </c>
      <c r="H82" s="6">
        <v>0</v>
      </c>
      <c r="I82" s="7">
        <v>0</v>
      </c>
      <c r="J82" s="7">
        <v>0</v>
      </c>
      <c r="K82" s="7">
        <v>19</v>
      </c>
      <c r="L82" s="7">
        <v>13</v>
      </c>
      <c r="M82" s="7">
        <v>0</v>
      </c>
      <c r="N82" s="7"/>
      <c r="O82" s="18"/>
      <c r="P82" s="102"/>
      <c r="Q82" s="102"/>
      <c r="R82" s="115"/>
    </row>
    <row r="83" spans="2:18" ht="19.5" customHeight="1" thickTop="1" thickBot="1" x14ac:dyDescent="0.3">
      <c r="B83" s="99"/>
      <c r="C83" s="95"/>
      <c r="D83" s="88"/>
      <c r="E83" s="1" t="s">
        <v>3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4"/>
      <c r="O83" s="16"/>
      <c r="P83" s="102"/>
      <c r="Q83" s="102"/>
      <c r="R83" s="115"/>
    </row>
    <row r="84" spans="2:18" ht="19.5" customHeight="1" thickTop="1" thickBot="1" x14ac:dyDescent="0.3">
      <c r="B84" s="99"/>
      <c r="C84" s="95"/>
      <c r="D84" s="88"/>
      <c r="E84" s="21" t="s">
        <v>4</v>
      </c>
      <c r="F84" s="22">
        <f t="shared" ref="F84:M84" si="30">IF(F83&lt;30,F82,F82+F83)</f>
        <v>27</v>
      </c>
      <c r="G84" s="22">
        <f t="shared" si="30"/>
        <v>25</v>
      </c>
      <c r="H84" s="22">
        <f t="shared" si="30"/>
        <v>0</v>
      </c>
      <c r="I84" s="22">
        <f t="shared" si="30"/>
        <v>0</v>
      </c>
      <c r="J84" s="22">
        <f t="shared" si="30"/>
        <v>0</v>
      </c>
      <c r="K84" s="22">
        <f t="shared" si="30"/>
        <v>19</v>
      </c>
      <c r="L84" s="22">
        <f t="shared" si="30"/>
        <v>13</v>
      </c>
      <c r="M84" s="22">
        <f t="shared" si="30"/>
        <v>0</v>
      </c>
      <c r="N84" s="23"/>
      <c r="O84" s="24"/>
      <c r="P84" s="102"/>
      <c r="Q84" s="102"/>
      <c r="R84" s="115"/>
    </row>
    <row r="85" spans="2:18" ht="21" customHeight="1" thickTop="1" thickBot="1" x14ac:dyDescent="0.3">
      <c r="B85" s="108"/>
      <c r="C85" s="114"/>
      <c r="D85" s="89"/>
      <c r="E85" s="12" t="s">
        <v>7</v>
      </c>
      <c r="F85" s="13">
        <f t="shared" ref="F85:M85" si="31">SUM(F81*F84)</f>
        <v>81</v>
      </c>
      <c r="G85" s="13">
        <f t="shared" si="31"/>
        <v>100</v>
      </c>
      <c r="H85" s="13">
        <f t="shared" si="31"/>
        <v>0</v>
      </c>
      <c r="I85" s="13">
        <f t="shared" si="31"/>
        <v>0</v>
      </c>
      <c r="J85" s="13">
        <f t="shared" si="31"/>
        <v>0</v>
      </c>
      <c r="K85" s="13">
        <f t="shared" si="31"/>
        <v>38</v>
      </c>
      <c r="L85" s="13">
        <f t="shared" si="31"/>
        <v>52</v>
      </c>
      <c r="M85" s="13">
        <f t="shared" si="31"/>
        <v>0</v>
      </c>
      <c r="N85" s="14">
        <f>SUM(F85:M85)</f>
        <v>271</v>
      </c>
      <c r="O85" s="20">
        <f>SUM(N85/N81)</f>
        <v>16.9375</v>
      </c>
      <c r="P85" s="103"/>
      <c r="Q85" s="103"/>
      <c r="R85" s="116"/>
    </row>
    <row r="86" spans="2:18" ht="20.25" thickTop="1" thickBot="1" x14ac:dyDescent="0.35">
      <c r="B86" s="99">
        <v>-17</v>
      </c>
      <c r="C86" s="95" t="s">
        <v>92</v>
      </c>
      <c r="D86" s="88" t="s">
        <v>125</v>
      </c>
      <c r="E86" s="15" t="s">
        <v>6</v>
      </c>
      <c r="F86" s="38">
        <f>IF(IF(F89=0,0,3),3,0)</f>
        <v>3</v>
      </c>
      <c r="G86" s="38">
        <f>IF(IF(G89=0,0,4),4,0)</f>
        <v>4</v>
      </c>
      <c r="H86" s="38">
        <f>IF(IF(H89=0,0,2),2,0)</f>
        <v>0</v>
      </c>
      <c r="I86" s="38">
        <f>IF(IF(I89=0,0,2),2,0)</f>
        <v>0</v>
      </c>
      <c r="J86" s="38">
        <f>IF(IF(J89=0,0,3),3,0)</f>
        <v>0</v>
      </c>
      <c r="K86" s="38">
        <f>IF(IF(K89=0,0,2),2,0)</f>
        <v>2</v>
      </c>
      <c r="L86" s="11">
        <f>IF(IF(G89=0,0,4),4,0)</f>
        <v>4</v>
      </c>
      <c r="M86" s="11">
        <f>IF(IF(G89=0,0,3),3,0)</f>
        <v>3</v>
      </c>
      <c r="N86" s="11">
        <f>SUM(F86:M86)</f>
        <v>16</v>
      </c>
      <c r="O86" s="17"/>
      <c r="P86" s="101"/>
      <c r="Q86" s="101"/>
      <c r="R86" s="117"/>
    </row>
    <row r="87" spans="2:18" ht="19.5" customHeight="1" thickTop="1" thickBot="1" x14ac:dyDescent="0.3">
      <c r="B87" s="99"/>
      <c r="C87" s="95"/>
      <c r="D87" s="88"/>
      <c r="E87" s="2" t="s">
        <v>142</v>
      </c>
      <c r="F87" s="6">
        <v>40</v>
      </c>
      <c r="G87" s="6">
        <v>38</v>
      </c>
      <c r="H87" s="6">
        <v>0</v>
      </c>
      <c r="I87" s="7">
        <v>0</v>
      </c>
      <c r="J87" s="7">
        <v>0</v>
      </c>
      <c r="K87" s="7">
        <v>40</v>
      </c>
      <c r="L87" s="7">
        <v>38</v>
      </c>
      <c r="M87" s="7">
        <v>0</v>
      </c>
      <c r="N87" s="7"/>
      <c r="O87" s="18"/>
      <c r="P87" s="102"/>
      <c r="Q87" s="102"/>
      <c r="R87" s="115"/>
    </row>
    <row r="88" spans="2:18" ht="19.5" customHeight="1" thickTop="1" thickBot="1" x14ac:dyDescent="0.3">
      <c r="B88" s="99"/>
      <c r="C88" s="95"/>
      <c r="D88" s="88"/>
      <c r="E88" s="1" t="s">
        <v>3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4"/>
      <c r="O88" s="16"/>
      <c r="P88" s="102"/>
      <c r="Q88" s="102"/>
      <c r="R88" s="115"/>
    </row>
    <row r="89" spans="2:18" ht="19.5" customHeight="1" thickTop="1" thickBot="1" x14ac:dyDescent="0.3">
      <c r="B89" s="99"/>
      <c r="C89" s="95"/>
      <c r="D89" s="88"/>
      <c r="E89" s="21" t="s">
        <v>4</v>
      </c>
      <c r="F89" s="22">
        <f t="shared" ref="F89:M89" si="32">IF(F88&lt;30,F87,F87+F88)</f>
        <v>40</v>
      </c>
      <c r="G89" s="22">
        <f t="shared" si="32"/>
        <v>38</v>
      </c>
      <c r="H89" s="22">
        <f t="shared" si="32"/>
        <v>0</v>
      </c>
      <c r="I89" s="22">
        <f t="shared" si="32"/>
        <v>0</v>
      </c>
      <c r="J89" s="22">
        <f t="shared" si="32"/>
        <v>0</v>
      </c>
      <c r="K89" s="22">
        <f t="shared" si="32"/>
        <v>40</v>
      </c>
      <c r="L89" s="22">
        <f t="shared" si="32"/>
        <v>38</v>
      </c>
      <c r="M89" s="22">
        <f t="shared" si="32"/>
        <v>0</v>
      </c>
      <c r="N89" s="23"/>
      <c r="O89" s="24"/>
      <c r="P89" s="102"/>
      <c r="Q89" s="102"/>
      <c r="R89" s="115"/>
    </row>
    <row r="90" spans="2:18" ht="22.5" customHeight="1" thickTop="1" thickBot="1" x14ac:dyDescent="0.3">
      <c r="B90" s="108"/>
      <c r="C90" s="110"/>
      <c r="D90" s="89"/>
      <c r="E90" s="8" t="s">
        <v>7</v>
      </c>
      <c r="F90" s="13">
        <f t="shared" ref="F90:M90" si="33">SUM(F86*F89)</f>
        <v>120</v>
      </c>
      <c r="G90" s="13">
        <f t="shared" si="33"/>
        <v>152</v>
      </c>
      <c r="H90" s="13">
        <f t="shared" si="33"/>
        <v>0</v>
      </c>
      <c r="I90" s="13">
        <f t="shared" si="33"/>
        <v>0</v>
      </c>
      <c r="J90" s="13">
        <f t="shared" si="33"/>
        <v>0</v>
      </c>
      <c r="K90" s="13">
        <f t="shared" si="33"/>
        <v>80</v>
      </c>
      <c r="L90" s="13">
        <f t="shared" si="33"/>
        <v>152</v>
      </c>
      <c r="M90" s="13">
        <f t="shared" si="33"/>
        <v>0</v>
      </c>
      <c r="N90" s="14">
        <f>SUM(F90:M90)</f>
        <v>504</v>
      </c>
      <c r="O90" s="20">
        <f>SUM(N90/N86)</f>
        <v>31.5</v>
      </c>
      <c r="P90" s="103"/>
      <c r="Q90" s="103"/>
      <c r="R90" s="116"/>
    </row>
    <row r="91" spans="2:18" ht="20.25" thickTop="1" thickBot="1" x14ac:dyDescent="0.35">
      <c r="B91" s="99">
        <v>-18</v>
      </c>
      <c r="C91" s="109" t="s">
        <v>93</v>
      </c>
      <c r="D91" s="88" t="s">
        <v>126</v>
      </c>
      <c r="E91" s="10" t="s">
        <v>6</v>
      </c>
      <c r="F91" s="38">
        <f>IF(IF(F94=0,0,3),3,0)</f>
        <v>0</v>
      </c>
      <c r="G91" s="38">
        <f>IF(IF(G94=0,0,4),4,0)</f>
        <v>0</v>
      </c>
      <c r="H91" s="38">
        <f>IF(IF(H94=0,0,2),2,0)</f>
        <v>0</v>
      </c>
      <c r="I91" s="38">
        <f>IF(IF(I94=0,0,2),2,0)</f>
        <v>0</v>
      </c>
      <c r="J91" s="38">
        <f>IF(IF(J94=0,0,3),3,0)</f>
        <v>0</v>
      </c>
      <c r="K91" s="38">
        <f>IF(IF(K94=0,0,2),2,0)</f>
        <v>0</v>
      </c>
      <c r="L91" s="11">
        <f>IF(IF(G94=0,0,4),4,0)</f>
        <v>0</v>
      </c>
      <c r="M91" s="11">
        <f>IF(IF(G94=0,0,3),3,0)</f>
        <v>0</v>
      </c>
      <c r="N91" s="11">
        <f>SUM(F91:M91)</f>
        <v>0</v>
      </c>
      <c r="O91" s="17"/>
      <c r="P91" s="101"/>
      <c r="Q91" s="101"/>
      <c r="R91" s="117"/>
    </row>
    <row r="92" spans="2:18" ht="19.5" customHeight="1" thickTop="1" thickBot="1" x14ac:dyDescent="0.3">
      <c r="B92" s="99"/>
      <c r="C92" s="95"/>
      <c r="D92" s="88"/>
      <c r="E92" s="2" t="s">
        <v>142</v>
      </c>
      <c r="F92" s="6">
        <v>0</v>
      </c>
      <c r="G92" s="84">
        <v>0</v>
      </c>
      <c r="H92" s="6">
        <v>0</v>
      </c>
      <c r="I92" s="7">
        <v>0</v>
      </c>
      <c r="J92" s="7">
        <v>0</v>
      </c>
      <c r="K92" s="84">
        <v>0</v>
      </c>
      <c r="L92" s="84">
        <v>0</v>
      </c>
      <c r="M92" s="7">
        <v>0</v>
      </c>
      <c r="N92" s="7"/>
      <c r="O92" s="18"/>
      <c r="P92" s="102"/>
      <c r="Q92" s="102"/>
      <c r="R92" s="115"/>
    </row>
    <row r="93" spans="2:18" ht="19.5" customHeight="1" thickTop="1" thickBot="1" x14ac:dyDescent="0.3">
      <c r="B93" s="99"/>
      <c r="C93" s="95"/>
      <c r="D93" s="88"/>
      <c r="E93" s="1" t="s">
        <v>3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4"/>
      <c r="O93" s="16"/>
      <c r="P93" s="102"/>
      <c r="Q93" s="102"/>
      <c r="R93" s="115"/>
    </row>
    <row r="94" spans="2:18" ht="19.5" customHeight="1" thickTop="1" thickBot="1" x14ac:dyDescent="0.3">
      <c r="B94" s="99"/>
      <c r="C94" s="95"/>
      <c r="D94" s="88"/>
      <c r="E94" s="21" t="s">
        <v>4</v>
      </c>
      <c r="F94" s="22">
        <f t="shared" ref="F94:M94" si="34">IF(F93&lt;30,F92,F92+F93)</f>
        <v>0</v>
      </c>
      <c r="G94" s="22">
        <f t="shared" si="34"/>
        <v>0</v>
      </c>
      <c r="H94" s="22">
        <f t="shared" si="34"/>
        <v>0</v>
      </c>
      <c r="I94" s="22">
        <f t="shared" si="34"/>
        <v>0</v>
      </c>
      <c r="J94" s="22">
        <f t="shared" si="34"/>
        <v>0</v>
      </c>
      <c r="K94" s="22">
        <f t="shared" si="34"/>
        <v>0</v>
      </c>
      <c r="L94" s="22">
        <f t="shared" si="34"/>
        <v>0</v>
      </c>
      <c r="M94" s="22">
        <f t="shared" si="34"/>
        <v>0</v>
      </c>
      <c r="N94" s="23"/>
      <c r="O94" s="24"/>
      <c r="P94" s="102"/>
      <c r="Q94" s="102"/>
      <c r="R94" s="115"/>
    </row>
    <row r="95" spans="2:18" ht="21" customHeight="1" thickTop="1" thickBot="1" x14ac:dyDescent="0.3">
      <c r="B95" s="108"/>
      <c r="C95" s="110"/>
      <c r="D95" s="89"/>
      <c r="E95" s="8" t="s">
        <v>7</v>
      </c>
      <c r="F95" s="13">
        <f t="shared" ref="F95:M95" si="35">SUM(F91*F94)</f>
        <v>0</v>
      </c>
      <c r="G95" s="13">
        <f t="shared" si="35"/>
        <v>0</v>
      </c>
      <c r="H95" s="13">
        <f t="shared" si="35"/>
        <v>0</v>
      </c>
      <c r="I95" s="13">
        <f t="shared" si="35"/>
        <v>0</v>
      </c>
      <c r="J95" s="13">
        <f t="shared" si="35"/>
        <v>0</v>
      </c>
      <c r="K95" s="13">
        <f t="shared" si="35"/>
        <v>0</v>
      </c>
      <c r="L95" s="13">
        <f t="shared" si="35"/>
        <v>0</v>
      </c>
      <c r="M95" s="13">
        <f t="shared" si="35"/>
        <v>0</v>
      </c>
      <c r="N95" s="14">
        <f>SUM(F95:M95)</f>
        <v>0</v>
      </c>
      <c r="O95" s="20" t="e">
        <f>SUM(N95/N91)</f>
        <v>#DIV/0!</v>
      </c>
      <c r="P95" s="103"/>
      <c r="Q95" s="103"/>
      <c r="R95" s="116"/>
    </row>
    <row r="96" spans="2:18" ht="20.25" thickTop="1" thickBot="1" x14ac:dyDescent="0.35">
      <c r="B96" s="99">
        <v>-19</v>
      </c>
      <c r="C96" s="109" t="s">
        <v>94</v>
      </c>
      <c r="D96" s="104" t="s">
        <v>127</v>
      </c>
      <c r="E96" s="10" t="s">
        <v>6</v>
      </c>
      <c r="F96" s="38">
        <f>IF(IF(F99=0,0,3),3,0)</f>
        <v>3</v>
      </c>
      <c r="G96" s="38">
        <f>IF(IF(G99=0,0,4),4,0)</f>
        <v>4</v>
      </c>
      <c r="H96" s="38">
        <f>IF(IF(H99=0,0,2),2,0)</f>
        <v>0</v>
      </c>
      <c r="I96" s="38">
        <f>IF(IF(I99=0,0,2),2,0)</f>
        <v>0</v>
      </c>
      <c r="J96" s="38">
        <f>IF(IF(J99=0,0,3),3,0)</f>
        <v>0</v>
      </c>
      <c r="K96" s="38">
        <f>IF(IF(K99=0,0,2),2,0)</f>
        <v>2</v>
      </c>
      <c r="L96" s="11">
        <f>IF(IF(G99=0,0,4),4,0)</f>
        <v>4</v>
      </c>
      <c r="M96" s="11">
        <f>IF(IF(G99=0,0,3),3,0)</f>
        <v>3</v>
      </c>
      <c r="N96" s="11">
        <f>SUM(F96:M96)</f>
        <v>16</v>
      </c>
      <c r="O96" s="17"/>
      <c r="P96" s="101"/>
      <c r="Q96" s="101"/>
      <c r="R96" s="117"/>
    </row>
    <row r="97" spans="2:18" ht="19.5" customHeight="1" thickTop="1" thickBot="1" x14ac:dyDescent="0.3">
      <c r="B97" s="99"/>
      <c r="C97" s="95"/>
      <c r="D97" s="88"/>
      <c r="E97" s="2" t="s">
        <v>142</v>
      </c>
      <c r="F97" s="6">
        <v>40</v>
      </c>
      <c r="G97" s="6">
        <v>32</v>
      </c>
      <c r="H97" s="6">
        <v>0</v>
      </c>
      <c r="I97" s="7">
        <v>0</v>
      </c>
      <c r="J97" s="7">
        <v>0</v>
      </c>
      <c r="K97" s="7">
        <v>26</v>
      </c>
      <c r="L97" s="7">
        <v>38</v>
      </c>
      <c r="M97" s="7">
        <v>0</v>
      </c>
      <c r="N97" s="7"/>
      <c r="O97" s="18"/>
      <c r="P97" s="102"/>
      <c r="Q97" s="102"/>
      <c r="R97" s="115"/>
    </row>
    <row r="98" spans="2:18" ht="19.5" customHeight="1" thickTop="1" thickBot="1" x14ac:dyDescent="0.3">
      <c r="B98" s="99"/>
      <c r="C98" s="95"/>
      <c r="D98" s="88"/>
      <c r="E98" s="1" t="s">
        <v>3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4"/>
      <c r="O98" s="16"/>
      <c r="P98" s="102"/>
      <c r="Q98" s="102"/>
      <c r="R98" s="115"/>
    </row>
    <row r="99" spans="2:18" ht="19.5" customHeight="1" thickTop="1" thickBot="1" x14ac:dyDescent="0.3">
      <c r="B99" s="99"/>
      <c r="C99" s="95"/>
      <c r="D99" s="88"/>
      <c r="E99" s="21" t="s">
        <v>4</v>
      </c>
      <c r="F99" s="22">
        <f t="shared" ref="F99:M99" si="36">IF(F98&lt;30,F97,F97+F98)</f>
        <v>40</v>
      </c>
      <c r="G99" s="22">
        <f t="shared" si="36"/>
        <v>32</v>
      </c>
      <c r="H99" s="22">
        <f t="shared" si="36"/>
        <v>0</v>
      </c>
      <c r="I99" s="22">
        <f t="shared" si="36"/>
        <v>0</v>
      </c>
      <c r="J99" s="22">
        <f t="shared" si="36"/>
        <v>0</v>
      </c>
      <c r="K99" s="22">
        <f t="shared" si="36"/>
        <v>26</v>
      </c>
      <c r="L99" s="22">
        <f t="shared" si="36"/>
        <v>38</v>
      </c>
      <c r="M99" s="22">
        <f t="shared" si="36"/>
        <v>0</v>
      </c>
      <c r="N99" s="23"/>
      <c r="O99" s="24"/>
      <c r="P99" s="102"/>
      <c r="Q99" s="102"/>
      <c r="R99" s="115"/>
    </row>
    <row r="100" spans="2:18" ht="21" customHeight="1" thickTop="1" thickBot="1" x14ac:dyDescent="0.3">
      <c r="B100" s="108"/>
      <c r="C100" s="110"/>
      <c r="D100" s="89"/>
      <c r="E100" s="8" t="s">
        <v>7</v>
      </c>
      <c r="F100" s="13">
        <f t="shared" ref="F100:M100" si="37">SUM(F96*F99)</f>
        <v>120</v>
      </c>
      <c r="G100" s="13">
        <f t="shared" si="37"/>
        <v>128</v>
      </c>
      <c r="H100" s="13">
        <f t="shared" si="37"/>
        <v>0</v>
      </c>
      <c r="I100" s="13">
        <f t="shared" si="37"/>
        <v>0</v>
      </c>
      <c r="J100" s="13">
        <f t="shared" si="37"/>
        <v>0</v>
      </c>
      <c r="K100" s="13">
        <f t="shared" si="37"/>
        <v>52</v>
      </c>
      <c r="L100" s="13">
        <f t="shared" si="37"/>
        <v>152</v>
      </c>
      <c r="M100" s="13">
        <f t="shared" si="37"/>
        <v>0</v>
      </c>
      <c r="N100" s="14">
        <f>SUM(F100:M100)</f>
        <v>452</v>
      </c>
      <c r="O100" s="20">
        <f>SUM(N100/N96)</f>
        <v>28.25</v>
      </c>
      <c r="P100" s="103"/>
      <c r="Q100" s="103"/>
      <c r="R100" s="116"/>
    </row>
    <row r="101" spans="2:18" ht="20.25" thickTop="1" thickBot="1" x14ac:dyDescent="0.35">
      <c r="B101" s="99">
        <v>-20</v>
      </c>
      <c r="C101" s="109" t="s">
        <v>95</v>
      </c>
      <c r="D101" s="104" t="s">
        <v>128</v>
      </c>
      <c r="E101" s="10" t="s">
        <v>6</v>
      </c>
      <c r="F101" s="38">
        <f>IF(IF(F104=0,0,3),3,0)</f>
        <v>0</v>
      </c>
      <c r="G101" s="38">
        <f>IF(IF(G104=0,0,4),4,0)</f>
        <v>0</v>
      </c>
      <c r="H101" s="38">
        <f>IF(IF(H104=0,0,2),2,0)</f>
        <v>0</v>
      </c>
      <c r="I101" s="38">
        <f>IF(IF(I104=0,0,2),2,0)</f>
        <v>0</v>
      </c>
      <c r="J101" s="38">
        <f>IF(IF(J104=0,0,3),3,0)</f>
        <v>0</v>
      </c>
      <c r="K101" s="38">
        <f>IF(IF(K104=0,0,2),2,0)</f>
        <v>0</v>
      </c>
      <c r="L101" s="11">
        <f>IF(IF(G104=0,0,4),4,0)</f>
        <v>0</v>
      </c>
      <c r="M101" s="11">
        <f>IF(IF(G104=0,0,3),3,0)</f>
        <v>0</v>
      </c>
      <c r="N101" s="11">
        <f>SUM(F101:M101)</f>
        <v>0</v>
      </c>
      <c r="O101" s="17"/>
      <c r="P101" s="101"/>
      <c r="Q101" s="101"/>
      <c r="R101" s="117"/>
    </row>
    <row r="102" spans="2:18" ht="19.5" thickTop="1" thickBot="1" x14ac:dyDescent="0.3">
      <c r="B102" s="99"/>
      <c r="C102" s="95"/>
      <c r="D102" s="88"/>
      <c r="E102" s="2" t="s">
        <v>142</v>
      </c>
      <c r="F102" s="6">
        <v>0</v>
      </c>
      <c r="G102" s="84">
        <v>0</v>
      </c>
      <c r="H102" s="6">
        <v>0</v>
      </c>
      <c r="I102" s="7">
        <v>0</v>
      </c>
      <c r="J102" s="7">
        <v>0</v>
      </c>
      <c r="K102" s="84">
        <v>0</v>
      </c>
      <c r="L102" s="84">
        <v>0</v>
      </c>
      <c r="M102" s="7">
        <v>0</v>
      </c>
      <c r="N102" s="7"/>
      <c r="O102" s="18"/>
      <c r="P102" s="102"/>
      <c r="Q102" s="102"/>
      <c r="R102" s="115"/>
    </row>
    <row r="103" spans="2:18" ht="19.5" thickTop="1" thickBot="1" x14ac:dyDescent="0.3">
      <c r="B103" s="99"/>
      <c r="C103" s="95"/>
      <c r="D103" s="88"/>
      <c r="E103" s="1" t="s">
        <v>3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4"/>
      <c r="O103" s="16"/>
      <c r="P103" s="102"/>
      <c r="Q103" s="102"/>
      <c r="R103" s="115"/>
    </row>
    <row r="104" spans="2:18" ht="19.5" thickTop="1" thickBot="1" x14ac:dyDescent="0.3">
      <c r="B104" s="99"/>
      <c r="C104" s="95"/>
      <c r="D104" s="88"/>
      <c r="E104" s="21" t="s">
        <v>4</v>
      </c>
      <c r="F104" s="22">
        <f t="shared" ref="F104:M104" si="38">IF(F103&lt;30,F102,F102+F103)</f>
        <v>0</v>
      </c>
      <c r="G104" s="22">
        <f t="shared" si="38"/>
        <v>0</v>
      </c>
      <c r="H104" s="22">
        <f t="shared" si="38"/>
        <v>0</v>
      </c>
      <c r="I104" s="22">
        <f t="shared" si="38"/>
        <v>0</v>
      </c>
      <c r="J104" s="22">
        <f t="shared" si="38"/>
        <v>0</v>
      </c>
      <c r="K104" s="22">
        <f t="shared" si="38"/>
        <v>0</v>
      </c>
      <c r="L104" s="22">
        <f t="shared" si="38"/>
        <v>0</v>
      </c>
      <c r="M104" s="22">
        <f t="shared" si="38"/>
        <v>0</v>
      </c>
      <c r="N104" s="23"/>
      <c r="O104" s="24"/>
      <c r="P104" s="102"/>
      <c r="Q104" s="102"/>
      <c r="R104" s="115"/>
    </row>
    <row r="105" spans="2:18" ht="18" customHeight="1" thickTop="1" thickBot="1" x14ac:dyDescent="0.3">
      <c r="B105" s="108"/>
      <c r="C105" s="95"/>
      <c r="D105" s="89"/>
      <c r="E105" s="12" t="s">
        <v>7</v>
      </c>
      <c r="F105" s="13">
        <f t="shared" ref="F105:M105" si="39">SUM(F101*F104)</f>
        <v>0</v>
      </c>
      <c r="G105" s="13">
        <f t="shared" si="39"/>
        <v>0</v>
      </c>
      <c r="H105" s="13">
        <f t="shared" si="39"/>
        <v>0</v>
      </c>
      <c r="I105" s="13">
        <f t="shared" si="39"/>
        <v>0</v>
      </c>
      <c r="J105" s="13">
        <f t="shared" si="39"/>
        <v>0</v>
      </c>
      <c r="K105" s="13">
        <f t="shared" si="39"/>
        <v>0</v>
      </c>
      <c r="L105" s="13">
        <f t="shared" si="39"/>
        <v>0</v>
      </c>
      <c r="M105" s="13">
        <f t="shared" si="39"/>
        <v>0</v>
      </c>
      <c r="N105" s="14">
        <f>SUM(F105:M105)</f>
        <v>0</v>
      </c>
      <c r="O105" s="20" t="e">
        <f>SUM(N105/N101)</f>
        <v>#DIV/0!</v>
      </c>
      <c r="P105" s="103"/>
      <c r="Q105" s="103"/>
      <c r="R105" s="116"/>
    </row>
    <row r="106" spans="2:18" ht="20.25" thickTop="1" thickBot="1" x14ac:dyDescent="0.35">
      <c r="B106" s="99">
        <v>-21</v>
      </c>
      <c r="C106" s="94" t="s">
        <v>96</v>
      </c>
      <c r="D106" s="104" t="s">
        <v>129</v>
      </c>
      <c r="E106" s="10" t="s">
        <v>6</v>
      </c>
      <c r="F106" s="38">
        <f>IF(IF(F109=0,0,3),3,0)</f>
        <v>3</v>
      </c>
      <c r="G106" s="38">
        <f>IF(IF(G109=0,0,4),4,0)</f>
        <v>0</v>
      </c>
      <c r="H106" s="38">
        <f>IF(IF(H109=0,0,2),2,0)</f>
        <v>0</v>
      </c>
      <c r="I106" s="38">
        <f>IF(IF(I109=0,0,2),2,0)</f>
        <v>0</v>
      </c>
      <c r="J106" s="38">
        <f>IF(IF(J109=0,0,3),3,0)</f>
        <v>0</v>
      </c>
      <c r="K106" s="38">
        <f>IF(IF(K109=0,0,2),2,0)</f>
        <v>2</v>
      </c>
      <c r="L106" s="11">
        <f>IF(IF(G109=0,0,4),4,0)</f>
        <v>0</v>
      </c>
      <c r="M106" s="11">
        <f>IF(IF(G109=0,0,3),3,0)</f>
        <v>0</v>
      </c>
      <c r="N106" s="11">
        <f>SUM(F106:M106)</f>
        <v>5</v>
      </c>
      <c r="O106" s="17"/>
      <c r="P106" s="101"/>
      <c r="Q106" s="101"/>
      <c r="R106" s="117"/>
    </row>
    <row r="107" spans="2:18" ht="19.5" thickTop="1" thickBot="1" x14ac:dyDescent="0.3">
      <c r="B107" s="99"/>
      <c r="C107" s="95"/>
      <c r="D107" s="88"/>
      <c r="E107" s="2" t="s">
        <v>142</v>
      </c>
      <c r="F107" s="6">
        <v>35</v>
      </c>
      <c r="G107" s="84">
        <v>0</v>
      </c>
      <c r="H107" s="6">
        <v>0</v>
      </c>
      <c r="I107" s="7">
        <v>0</v>
      </c>
      <c r="J107" s="7">
        <v>0</v>
      </c>
      <c r="K107" s="7">
        <v>22</v>
      </c>
      <c r="L107" s="7">
        <v>20</v>
      </c>
      <c r="M107" s="7">
        <v>0</v>
      </c>
      <c r="N107" s="7"/>
      <c r="O107" s="18"/>
      <c r="P107" s="102"/>
      <c r="Q107" s="102"/>
      <c r="R107" s="115"/>
    </row>
    <row r="108" spans="2:18" ht="19.5" thickTop="1" thickBot="1" x14ac:dyDescent="0.3">
      <c r="B108" s="99"/>
      <c r="C108" s="95"/>
      <c r="D108" s="88"/>
      <c r="E108" s="1" t="s">
        <v>3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4"/>
      <c r="O108" s="16"/>
      <c r="P108" s="102"/>
      <c r="Q108" s="102"/>
      <c r="R108" s="115"/>
    </row>
    <row r="109" spans="2:18" ht="19.5" thickTop="1" thickBot="1" x14ac:dyDescent="0.3">
      <c r="B109" s="99"/>
      <c r="C109" s="95"/>
      <c r="D109" s="88"/>
      <c r="E109" s="21" t="s">
        <v>4</v>
      </c>
      <c r="F109" s="22">
        <f t="shared" ref="F109:M109" si="40">IF(F108&lt;30,F107,F107+F108)</f>
        <v>35</v>
      </c>
      <c r="G109" s="22">
        <f t="shared" si="40"/>
        <v>0</v>
      </c>
      <c r="H109" s="22">
        <f t="shared" si="40"/>
        <v>0</v>
      </c>
      <c r="I109" s="22">
        <f t="shared" si="40"/>
        <v>0</v>
      </c>
      <c r="J109" s="22">
        <f t="shared" si="40"/>
        <v>0</v>
      </c>
      <c r="K109" s="22">
        <f t="shared" si="40"/>
        <v>22</v>
      </c>
      <c r="L109" s="22">
        <f t="shared" si="40"/>
        <v>20</v>
      </c>
      <c r="M109" s="22">
        <f t="shared" si="40"/>
        <v>0</v>
      </c>
      <c r="N109" s="23"/>
      <c r="O109" s="24"/>
      <c r="P109" s="102"/>
      <c r="Q109" s="102"/>
      <c r="R109" s="115"/>
    </row>
    <row r="110" spans="2:18" ht="25.5" customHeight="1" thickTop="1" thickBot="1" x14ac:dyDescent="0.3">
      <c r="B110" s="108"/>
      <c r="C110" s="96"/>
      <c r="D110" s="89"/>
      <c r="E110" s="66" t="s">
        <v>7</v>
      </c>
      <c r="F110" s="67">
        <f t="shared" ref="F110:M110" si="41">SUM(F106*F109)</f>
        <v>105</v>
      </c>
      <c r="G110" s="67">
        <f t="shared" si="41"/>
        <v>0</v>
      </c>
      <c r="H110" s="67">
        <f t="shared" si="41"/>
        <v>0</v>
      </c>
      <c r="I110" s="67">
        <f t="shared" si="41"/>
        <v>0</v>
      </c>
      <c r="J110" s="67">
        <f t="shared" si="41"/>
        <v>0</v>
      </c>
      <c r="K110" s="67">
        <f t="shared" si="41"/>
        <v>44</v>
      </c>
      <c r="L110" s="67">
        <f t="shared" si="41"/>
        <v>0</v>
      </c>
      <c r="M110" s="67">
        <f t="shared" si="41"/>
        <v>0</v>
      </c>
      <c r="N110" s="68">
        <f>SUM(F110:M110)</f>
        <v>149</v>
      </c>
      <c r="O110" s="67">
        <f>SUM(N110/N106)</f>
        <v>29.8</v>
      </c>
      <c r="P110" s="103"/>
      <c r="Q110" s="103"/>
      <c r="R110" s="116"/>
    </row>
    <row r="111" spans="2:18" ht="13.5" thickTop="1" x14ac:dyDescent="0.2"/>
  </sheetData>
  <mergeCells count="126">
    <mergeCell ref="B106:B110"/>
    <mergeCell ref="C106:C110"/>
    <mergeCell ref="D106:D110"/>
    <mergeCell ref="P106:P110"/>
    <mergeCell ref="Q106:Q110"/>
    <mergeCell ref="R106:R110"/>
    <mergeCell ref="B101:B105"/>
    <mergeCell ref="C101:C105"/>
    <mergeCell ref="D101:D105"/>
    <mergeCell ref="P101:P105"/>
    <mergeCell ref="Q101:Q105"/>
    <mergeCell ref="R101:R105"/>
    <mergeCell ref="B96:B100"/>
    <mergeCell ref="C96:C100"/>
    <mergeCell ref="D96:D100"/>
    <mergeCell ref="P96:P100"/>
    <mergeCell ref="Q96:Q100"/>
    <mergeCell ref="R96:R100"/>
    <mergeCell ref="B91:B95"/>
    <mergeCell ref="C91:C95"/>
    <mergeCell ref="D91:D95"/>
    <mergeCell ref="P91:P95"/>
    <mergeCell ref="Q91:Q95"/>
    <mergeCell ref="R91:R95"/>
    <mergeCell ref="B86:B90"/>
    <mergeCell ref="C86:C90"/>
    <mergeCell ref="D86:D90"/>
    <mergeCell ref="P86:P90"/>
    <mergeCell ref="Q86:Q90"/>
    <mergeCell ref="R86:R90"/>
    <mergeCell ref="B81:B85"/>
    <mergeCell ref="C81:C85"/>
    <mergeCell ref="D81:D85"/>
    <mergeCell ref="P81:P85"/>
    <mergeCell ref="Q81:Q85"/>
    <mergeCell ref="R81:R85"/>
    <mergeCell ref="B76:B80"/>
    <mergeCell ref="C76:C80"/>
    <mergeCell ref="D76:D80"/>
    <mergeCell ref="P76:P80"/>
    <mergeCell ref="Q76:Q80"/>
    <mergeCell ref="R76:R80"/>
    <mergeCell ref="B71:B75"/>
    <mergeCell ref="C71:C75"/>
    <mergeCell ref="D71:D75"/>
    <mergeCell ref="P71:P75"/>
    <mergeCell ref="Q71:Q75"/>
    <mergeCell ref="R71:R75"/>
    <mergeCell ref="B66:B70"/>
    <mergeCell ref="C66:C70"/>
    <mergeCell ref="D66:D70"/>
    <mergeCell ref="P66:P70"/>
    <mergeCell ref="Q66:Q70"/>
    <mergeCell ref="R66:R70"/>
    <mergeCell ref="B61:B65"/>
    <mergeCell ref="C61:C65"/>
    <mergeCell ref="D61:D65"/>
    <mergeCell ref="P61:P65"/>
    <mergeCell ref="Q61:Q65"/>
    <mergeCell ref="R61:R65"/>
    <mergeCell ref="B56:B60"/>
    <mergeCell ref="C56:C60"/>
    <mergeCell ref="D56:D60"/>
    <mergeCell ref="P56:P60"/>
    <mergeCell ref="Q56:Q60"/>
    <mergeCell ref="R56:R60"/>
    <mergeCell ref="B51:B55"/>
    <mergeCell ref="C51:C55"/>
    <mergeCell ref="D51:D55"/>
    <mergeCell ref="P51:P55"/>
    <mergeCell ref="Q51:Q55"/>
    <mergeCell ref="R51:R55"/>
    <mergeCell ref="B46:B50"/>
    <mergeCell ref="C46:C50"/>
    <mergeCell ref="D46:D50"/>
    <mergeCell ref="P46:P50"/>
    <mergeCell ref="Q46:Q50"/>
    <mergeCell ref="R46:R50"/>
    <mergeCell ref="B41:B45"/>
    <mergeCell ref="C41:C45"/>
    <mergeCell ref="D41:D45"/>
    <mergeCell ref="P41:P45"/>
    <mergeCell ref="Q41:Q45"/>
    <mergeCell ref="R41:R45"/>
    <mergeCell ref="B36:B40"/>
    <mergeCell ref="C36:C40"/>
    <mergeCell ref="D36:D40"/>
    <mergeCell ref="P36:P40"/>
    <mergeCell ref="Q36:Q40"/>
    <mergeCell ref="R36:R40"/>
    <mergeCell ref="B31:B35"/>
    <mergeCell ref="C31:C35"/>
    <mergeCell ref="D31:D35"/>
    <mergeCell ref="P31:P35"/>
    <mergeCell ref="Q31:Q35"/>
    <mergeCell ref="R31:R35"/>
    <mergeCell ref="B26:B30"/>
    <mergeCell ref="C26:C30"/>
    <mergeCell ref="D26:D30"/>
    <mergeCell ref="P26:P30"/>
    <mergeCell ref="Q26:Q30"/>
    <mergeCell ref="R26:R30"/>
    <mergeCell ref="B21:B25"/>
    <mergeCell ref="C21:C25"/>
    <mergeCell ref="D21:D25"/>
    <mergeCell ref="P21:P25"/>
    <mergeCell ref="Q21:Q25"/>
    <mergeCell ref="R21:R25"/>
    <mergeCell ref="B16:B20"/>
    <mergeCell ref="C16:C20"/>
    <mergeCell ref="D16:D20"/>
    <mergeCell ref="P16:P20"/>
    <mergeCell ref="Q16:Q20"/>
    <mergeCell ref="R16:R20"/>
    <mergeCell ref="B11:B15"/>
    <mergeCell ref="C11:C15"/>
    <mergeCell ref="D11:D15"/>
    <mergeCell ref="P11:P15"/>
    <mergeCell ref="Q11:Q15"/>
    <mergeCell ref="R11:R15"/>
    <mergeCell ref="B6:B10"/>
    <mergeCell ref="C6:C10"/>
    <mergeCell ref="D6:D10"/>
    <mergeCell ref="P6:P10"/>
    <mergeCell ref="Q6:Q10"/>
    <mergeCell ref="R6:R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9A2D-8C0D-41A8-861A-6FB9CF7B4901}">
  <dimension ref="B4:X72"/>
  <sheetViews>
    <sheetView rightToLeft="1" topLeftCell="A62" workbookViewId="0">
      <selection activeCell="D81" sqref="D81"/>
    </sheetView>
  </sheetViews>
  <sheetFormatPr defaultRowHeight="12.75" x14ac:dyDescent="0.2"/>
  <cols>
    <col min="3" max="3" width="30.42578125" customWidth="1"/>
    <col min="5" max="5" width="26.28515625" customWidth="1"/>
    <col min="24" max="24" width="18.7109375" customWidth="1"/>
  </cols>
  <sheetData>
    <row r="4" spans="2:24" ht="13.5" thickBot="1" x14ac:dyDescent="0.25"/>
    <row r="5" spans="2:24" ht="16.5" thickTop="1" thickBot="1" x14ac:dyDescent="0.25">
      <c r="B5" s="137" t="s">
        <v>0</v>
      </c>
      <c r="C5" s="133" t="s">
        <v>8</v>
      </c>
      <c r="D5" s="128" t="s">
        <v>1</v>
      </c>
      <c r="E5" s="133" t="s">
        <v>2</v>
      </c>
      <c r="F5" s="130" t="s">
        <v>40</v>
      </c>
      <c r="G5" s="131"/>
      <c r="H5" s="131"/>
      <c r="I5" s="131"/>
      <c r="J5" s="131"/>
      <c r="K5" s="132"/>
      <c r="L5" s="139" t="s">
        <v>14</v>
      </c>
      <c r="M5" s="140"/>
      <c r="N5" s="140"/>
      <c r="O5" s="140"/>
      <c r="P5" s="140"/>
      <c r="Q5" s="140"/>
      <c r="R5" s="140"/>
      <c r="S5" s="141"/>
      <c r="T5" s="128" t="s">
        <v>4</v>
      </c>
      <c r="U5" s="128" t="s">
        <v>9</v>
      </c>
      <c r="V5" s="27"/>
      <c r="W5" s="128" t="s">
        <v>42</v>
      </c>
      <c r="X5" s="28"/>
    </row>
    <row r="6" spans="2:24" ht="120.75" thickTop="1" thickBot="1" x14ac:dyDescent="0.25">
      <c r="B6" s="138"/>
      <c r="C6" s="136"/>
      <c r="D6" s="135"/>
      <c r="E6" s="134"/>
      <c r="F6" s="25" t="s">
        <v>10</v>
      </c>
      <c r="G6" s="25" t="s">
        <v>23</v>
      </c>
      <c r="H6" s="25" t="s">
        <v>24</v>
      </c>
      <c r="I6" s="25" t="s">
        <v>34</v>
      </c>
      <c r="J6" s="25" t="s">
        <v>25</v>
      </c>
      <c r="K6" s="25" t="s">
        <v>26</v>
      </c>
      <c r="L6" s="25" t="s">
        <v>33</v>
      </c>
      <c r="M6" s="25" t="s">
        <v>16</v>
      </c>
      <c r="N6" s="25" t="s">
        <v>44</v>
      </c>
      <c r="O6" s="25" t="s">
        <v>45</v>
      </c>
      <c r="P6" s="25" t="s">
        <v>46</v>
      </c>
      <c r="Q6" s="25" t="s">
        <v>5</v>
      </c>
      <c r="R6" s="25" t="s">
        <v>27</v>
      </c>
      <c r="S6" s="25" t="s">
        <v>47</v>
      </c>
      <c r="T6" s="129"/>
      <c r="U6" s="129"/>
      <c r="V6" s="25" t="s">
        <v>41</v>
      </c>
      <c r="W6" s="129"/>
      <c r="X6" s="26" t="s">
        <v>43</v>
      </c>
    </row>
    <row r="7" spans="2:24" ht="20.25" thickTop="1" thickBot="1" x14ac:dyDescent="0.35">
      <c r="B7" s="126">
        <v>-1</v>
      </c>
      <c r="C7" s="94" t="s">
        <v>68</v>
      </c>
      <c r="D7" s="88" t="s">
        <v>137</v>
      </c>
      <c r="E7" s="9" t="s">
        <v>6</v>
      </c>
      <c r="F7" s="38">
        <f>IF(IF(F10=0,0,2),2,0)</f>
        <v>2</v>
      </c>
      <c r="G7" s="38">
        <f>IF(IF(G10=0,0,3),3,0)</f>
        <v>0</v>
      </c>
      <c r="H7" s="38">
        <f>IF(IF(H10=0,0,4),4,0)</f>
        <v>0</v>
      </c>
      <c r="I7" s="38">
        <f>IF(IF(I10=0,0,4),4,0)</f>
        <v>4</v>
      </c>
      <c r="J7" s="38">
        <f>IF(IF(J10=0,0,4),4,0)</f>
        <v>4</v>
      </c>
      <c r="K7" s="38">
        <f>IF(IF(K10=0,0,4),4,0)</f>
        <v>4</v>
      </c>
      <c r="L7" s="38">
        <f>IF(IF(L10=0,0,3),3,0)</f>
        <v>0</v>
      </c>
      <c r="M7" s="38">
        <f>IF(IF(M10=0,0,4),4,0)</f>
        <v>0</v>
      </c>
      <c r="N7" s="38">
        <f>IF(IF(N10=0,0,2),2,0)</f>
        <v>0</v>
      </c>
      <c r="O7" s="38">
        <f>IF(IF(O10=0,0,2),2,0)</f>
        <v>0</v>
      </c>
      <c r="P7" s="38">
        <f>IF(IF(P10=0,0,3),3,0)</f>
        <v>0</v>
      </c>
      <c r="Q7" s="38">
        <f>IF(IF(Q10=0,0,3),3,0)</f>
        <v>0</v>
      </c>
      <c r="R7" s="38">
        <f>IF(IF(R10=0,0,4),4,0)</f>
        <v>0</v>
      </c>
      <c r="S7" s="38">
        <f>IF(IF(S10=0,0,2),2,0)</f>
        <v>0</v>
      </c>
      <c r="T7" s="38">
        <f>SUM(F7:S7)</f>
        <v>14</v>
      </c>
      <c r="U7" s="39"/>
      <c r="V7" s="87"/>
      <c r="W7" s="87"/>
      <c r="X7" s="124"/>
    </row>
    <row r="8" spans="2:24" ht="19.5" thickTop="1" thickBot="1" x14ac:dyDescent="0.3">
      <c r="B8" s="120"/>
      <c r="C8" s="95"/>
      <c r="D8" s="88"/>
      <c r="E8" s="29" t="s">
        <v>142</v>
      </c>
      <c r="F8" s="69">
        <v>18</v>
      </c>
      <c r="G8" s="85">
        <v>0</v>
      </c>
      <c r="H8" s="69">
        <v>0</v>
      </c>
      <c r="I8" s="76">
        <v>20</v>
      </c>
      <c r="J8" s="73">
        <v>32</v>
      </c>
      <c r="K8" s="78">
        <v>15</v>
      </c>
      <c r="L8" s="41">
        <v>0</v>
      </c>
      <c r="M8" s="41">
        <v>0</v>
      </c>
      <c r="N8" s="41">
        <v>0</v>
      </c>
      <c r="O8" s="41">
        <v>0</v>
      </c>
      <c r="P8" s="41">
        <v>0</v>
      </c>
      <c r="Q8" s="69">
        <v>0</v>
      </c>
      <c r="R8" s="75">
        <v>0</v>
      </c>
      <c r="S8" s="75">
        <v>0</v>
      </c>
      <c r="T8" s="42"/>
      <c r="U8" s="43"/>
      <c r="V8" s="88"/>
      <c r="W8" s="88"/>
      <c r="X8" s="115"/>
    </row>
    <row r="9" spans="2:24" ht="19.5" thickTop="1" thickBot="1" x14ac:dyDescent="0.3">
      <c r="B9" s="120"/>
      <c r="C9" s="95"/>
      <c r="D9" s="88"/>
      <c r="E9" s="30" t="s">
        <v>3</v>
      </c>
      <c r="F9" s="70">
        <v>0</v>
      </c>
      <c r="G9" s="70">
        <v>0</v>
      </c>
      <c r="H9" s="70">
        <v>0</v>
      </c>
      <c r="I9" s="76">
        <v>8</v>
      </c>
      <c r="J9" s="70">
        <v>0</v>
      </c>
      <c r="K9" s="76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70">
        <v>0</v>
      </c>
      <c r="R9" s="76">
        <v>0</v>
      </c>
      <c r="S9" s="76">
        <v>0</v>
      </c>
      <c r="T9" s="46"/>
      <c r="U9" s="47"/>
      <c r="V9" s="88"/>
      <c r="W9" s="88"/>
      <c r="X9" s="115"/>
    </row>
    <row r="10" spans="2:24" ht="19.5" thickTop="1" thickBot="1" x14ac:dyDescent="0.3">
      <c r="B10" s="120"/>
      <c r="C10" s="95"/>
      <c r="D10" s="88"/>
      <c r="E10" s="31" t="s">
        <v>4</v>
      </c>
      <c r="F10" s="70">
        <f t="shared" ref="F10:S10" si="0">IF(F9&lt;30,F8,F8+F9)</f>
        <v>18</v>
      </c>
      <c r="G10" s="70">
        <f t="shared" si="0"/>
        <v>0</v>
      </c>
      <c r="H10" s="70">
        <f t="shared" si="0"/>
        <v>0</v>
      </c>
      <c r="I10" s="76">
        <f t="shared" si="0"/>
        <v>20</v>
      </c>
      <c r="J10" s="70">
        <f t="shared" si="0"/>
        <v>32</v>
      </c>
      <c r="K10" s="76">
        <f t="shared" si="0"/>
        <v>15</v>
      </c>
      <c r="L10" s="45">
        <f t="shared" si="0"/>
        <v>0</v>
      </c>
      <c r="M10" s="45">
        <f t="shared" si="0"/>
        <v>0</v>
      </c>
      <c r="N10" s="45">
        <f t="shared" si="0"/>
        <v>0</v>
      </c>
      <c r="O10" s="45">
        <f t="shared" si="0"/>
        <v>0</v>
      </c>
      <c r="P10" s="45">
        <f t="shared" si="0"/>
        <v>0</v>
      </c>
      <c r="Q10" s="70">
        <f t="shared" si="0"/>
        <v>0</v>
      </c>
      <c r="R10" s="76">
        <f t="shared" si="0"/>
        <v>0</v>
      </c>
      <c r="S10" s="76">
        <f t="shared" si="0"/>
        <v>0</v>
      </c>
      <c r="T10" s="46"/>
      <c r="U10" s="47"/>
      <c r="V10" s="88"/>
      <c r="W10" s="88"/>
      <c r="X10" s="115"/>
    </row>
    <row r="11" spans="2:24" ht="26.25" customHeight="1" thickTop="1" thickBot="1" x14ac:dyDescent="0.3">
      <c r="B11" s="121"/>
      <c r="C11" s="96"/>
      <c r="D11" s="89"/>
      <c r="E11" s="32" t="s">
        <v>7</v>
      </c>
      <c r="F11" s="74">
        <f t="shared" ref="F11:K11" si="1">SUM(F7*F10)</f>
        <v>36</v>
      </c>
      <c r="G11" s="74">
        <f t="shared" si="1"/>
        <v>0</v>
      </c>
      <c r="H11" s="74">
        <f t="shared" si="1"/>
        <v>0</v>
      </c>
      <c r="I11" s="76">
        <f t="shared" si="1"/>
        <v>80</v>
      </c>
      <c r="J11" s="74">
        <f t="shared" si="1"/>
        <v>128</v>
      </c>
      <c r="K11" s="77">
        <f t="shared" si="1"/>
        <v>60</v>
      </c>
      <c r="L11" s="36">
        <f t="shared" ref="L11:S11" si="2">SUM(L7*L10)</f>
        <v>0</v>
      </c>
      <c r="M11" s="36">
        <f t="shared" si="2"/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74">
        <f t="shared" si="2"/>
        <v>0</v>
      </c>
      <c r="R11" s="77">
        <f t="shared" si="2"/>
        <v>0</v>
      </c>
      <c r="S11" s="77">
        <f t="shared" si="2"/>
        <v>0</v>
      </c>
      <c r="T11" s="50">
        <f>SUM(F11:S11)</f>
        <v>304</v>
      </c>
      <c r="U11" s="51">
        <f>SUM(T11/T7)</f>
        <v>21.714285714285715</v>
      </c>
      <c r="V11" s="89"/>
      <c r="W11" s="89"/>
      <c r="X11" s="116"/>
    </row>
    <row r="12" spans="2:24" ht="20.25" thickTop="1" thickBot="1" x14ac:dyDescent="0.35">
      <c r="B12" s="119">
        <v>-2</v>
      </c>
      <c r="C12" s="97" t="s">
        <v>97</v>
      </c>
      <c r="D12" s="88" t="s">
        <v>138</v>
      </c>
      <c r="E12" s="10" t="s">
        <v>6</v>
      </c>
      <c r="F12" s="38">
        <f>IF(IF(F15=0,0,2),2,0)</f>
        <v>2</v>
      </c>
      <c r="G12" s="38">
        <f>IF(IF(G15=0,0,3),3,0)</f>
        <v>3</v>
      </c>
      <c r="H12" s="38">
        <f>IF(IF(H15=0,0,4),4,0)</f>
        <v>0</v>
      </c>
      <c r="I12" s="38">
        <f>IF(IF(I15=0,0,4),4,0)</f>
        <v>4</v>
      </c>
      <c r="J12" s="38">
        <f>IF(IF(J15=0,0,4),4,0)</f>
        <v>4</v>
      </c>
      <c r="K12" s="38">
        <f>IF(IF(K15=0,0,4),4,0)</f>
        <v>4</v>
      </c>
      <c r="L12" s="38">
        <f>IF(IF(L15=0,0,3),3,0)</f>
        <v>0</v>
      </c>
      <c r="M12" s="38">
        <f>IF(IF(M15=0,0,4),4,0)</f>
        <v>0</v>
      </c>
      <c r="N12" s="38">
        <f>IF(IF(N15=0,0,2),2,0)</f>
        <v>0</v>
      </c>
      <c r="O12" s="38">
        <f>IF(IF(O15=0,0,2),2,0)</f>
        <v>0</v>
      </c>
      <c r="P12" s="38">
        <f>IF(IF(P15=0,0,3),3,0)</f>
        <v>0</v>
      </c>
      <c r="Q12" s="38">
        <f>IF(IF(Q15=0,0,3),3,0)</f>
        <v>0</v>
      </c>
      <c r="R12" s="38">
        <f>IF(IF(R15=0,0,4),4,0)</f>
        <v>0</v>
      </c>
      <c r="S12" s="38">
        <f>IF(IF(S15=0,0,2),2,0)</f>
        <v>0</v>
      </c>
      <c r="T12" s="38">
        <f>SUM(F12:S12)</f>
        <v>17</v>
      </c>
      <c r="U12" s="39"/>
      <c r="V12" s="87"/>
      <c r="W12" s="87"/>
      <c r="X12" s="124"/>
    </row>
    <row r="13" spans="2:24" ht="19.5" thickTop="1" thickBot="1" x14ac:dyDescent="0.3">
      <c r="B13" s="120"/>
      <c r="C13" s="95"/>
      <c r="D13" s="88"/>
      <c r="E13" s="33" t="s">
        <v>142</v>
      </c>
      <c r="F13" s="69">
        <v>11</v>
      </c>
      <c r="G13" s="69">
        <v>22</v>
      </c>
      <c r="H13" s="69">
        <v>0</v>
      </c>
      <c r="I13" s="73">
        <v>22</v>
      </c>
      <c r="J13" s="73">
        <v>31</v>
      </c>
      <c r="K13" s="73">
        <v>15</v>
      </c>
      <c r="L13" s="41">
        <v>0</v>
      </c>
      <c r="M13" s="41">
        <v>0</v>
      </c>
      <c r="N13" s="41">
        <v>0</v>
      </c>
      <c r="O13" s="41">
        <v>0</v>
      </c>
      <c r="P13" s="41">
        <v>0</v>
      </c>
      <c r="Q13" s="69">
        <v>0</v>
      </c>
      <c r="R13" s="41">
        <v>0</v>
      </c>
      <c r="S13" s="75">
        <v>0</v>
      </c>
      <c r="T13" s="42"/>
      <c r="U13" s="43"/>
      <c r="V13" s="88"/>
      <c r="W13" s="88"/>
      <c r="X13" s="115"/>
    </row>
    <row r="14" spans="2:24" ht="19.5" thickTop="1" thickBot="1" x14ac:dyDescent="0.3">
      <c r="B14" s="120"/>
      <c r="C14" s="95"/>
      <c r="D14" s="88"/>
      <c r="E14" s="30" t="s">
        <v>3</v>
      </c>
      <c r="F14" s="70">
        <v>0</v>
      </c>
      <c r="G14" s="70">
        <v>0</v>
      </c>
      <c r="H14" s="70">
        <v>0</v>
      </c>
      <c r="I14" s="76">
        <v>25</v>
      </c>
      <c r="J14" s="70">
        <v>0</v>
      </c>
      <c r="K14" s="76">
        <v>30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70">
        <v>0</v>
      </c>
      <c r="R14" s="45">
        <v>0</v>
      </c>
      <c r="S14" s="76">
        <v>0</v>
      </c>
      <c r="T14" s="46"/>
      <c r="U14" s="47"/>
      <c r="V14" s="88"/>
      <c r="W14" s="88"/>
      <c r="X14" s="115"/>
    </row>
    <row r="15" spans="2:24" ht="19.5" thickTop="1" thickBot="1" x14ac:dyDescent="0.3">
      <c r="B15" s="120"/>
      <c r="C15" s="95"/>
      <c r="D15" s="88"/>
      <c r="E15" s="31" t="s">
        <v>4</v>
      </c>
      <c r="F15" s="70">
        <f t="shared" ref="F15:S15" si="3">IF(F14&lt;30,F13,F13+F14)</f>
        <v>11</v>
      </c>
      <c r="G15" s="70">
        <f t="shared" si="3"/>
        <v>22</v>
      </c>
      <c r="H15" s="70">
        <f t="shared" si="3"/>
        <v>0</v>
      </c>
      <c r="I15" s="70">
        <f t="shared" si="3"/>
        <v>22</v>
      </c>
      <c r="J15" s="70">
        <f t="shared" si="3"/>
        <v>31</v>
      </c>
      <c r="K15" s="70">
        <f t="shared" si="3"/>
        <v>45</v>
      </c>
      <c r="L15" s="45">
        <f t="shared" si="3"/>
        <v>0</v>
      </c>
      <c r="M15" s="45">
        <f t="shared" si="3"/>
        <v>0</v>
      </c>
      <c r="N15" s="45">
        <f t="shared" si="3"/>
        <v>0</v>
      </c>
      <c r="O15" s="45">
        <f t="shared" si="3"/>
        <v>0</v>
      </c>
      <c r="P15" s="45">
        <f t="shared" si="3"/>
        <v>0</v>
      </c>
      <c r="Q15" s="70">
        <f t="shared" si="3"/>
        <v>0</v>
      </c>
      <c r="R15" s="45">
        <f t="shared" si="3"/>
        <v>0</v>
      </c>
      <c r="S15" s="76">
        <f t="shared" si="3"/>
        <v>0</v>
      </c>
      <c r="T15" s="46"/>
      <c r="U15" s="47"/>
      <c r="V15" s="88"/>
      <c r="W15" s="88"/>
      <c r="X15" s="115"/>
    </row>
    <row r="16" spans="2:24" ht="24.75" customHeight="1" thickTop="1" thickBot="1" x14ac:dyDescent="0.3">
      <c r="B16" s="127"/>
      <c r="C16" s="114"/>
      <c r="D16" s="89"/>
      <c r="E16" s="34" t="s">
        <v>7</v>
      </c>
      <c r="F16" s="74">
        <f t="shared" ref="F16:K16" si="4">SUM(F12*F15)</f>
        <v>22</v>
      </c>
      <c r="G16" s="74">
        <f t="shared" si="4"/>
        <v>66</v>
      </c>
      <c r="H16" s="74">
        <f t="shared" si="4"/>
        <v>0</v>
      </c>
      <c r="I16" s="74">
        <f t="shared" si="4"/>
        <v>88</v>
      </c>
      <c r="J16" s="74">
        <f t="shared" si="4"/>
        <v>124</v>
      </c>
      <c r="K16" s="74">
        <f t="shared" si="4"/>
        <v>180</v>
      </c>
      <c r="L16" s="36">
        <f t="shared" ref="L16:S16" si="5">SUM(L12*L15)</f>
        <v>0</v>
      </c>
      <c r="M16" s="36">
        <f t="shared" si="5"/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74">
        <f t="shared" si="5"/>
        <v>0</v>
      </c>
      <c r="R16" s="36">
        <f t="shared" si="5"/>
        <v>0</v>
      </c>
      <c r="S16" s="77">
        <f t="shared" si="5"/>
        <v>0</v>
      </c>
      <c r="T16" s="50">
        <f>SUM(F16:S16)</f>
        <v>480</v>
      </c>
      <c r="U16" s="51">
        <f>SUM(T16/T12)</f>
        <v>28.235294117647058</v>
      </c>
      <c r="V16" s="89"/>
      <c r="W16" s="89"/>
      <c r="X16" s="116"/>
    </row>
    <row r="17" spans="2:24" ht="20.25" thickTop="1" thickBot="1" x14ac:dyDescent="0.35">
      <c r="B17" s="120">
        <v>-3</v>
      </c>
      <c r="C17" s="95" t="s">
        <v>98</v>
      </c>
      <c r="D17" s="88" t="s">
        <v>139</v>
      </c>
      <c r="E17" s="10" t="s">
        <v>6</v>
      </c>
      <c r="F17" s="38">
        <f>IF(IF(F20=0,0,2),2,0)</f>
        <v>2</v>
      </c>
      <c r="G17" s="38">
        <f>IF(IF(G20=0,0,3),3,0)</f>
        <v>3</v>
      </c>
      <c r="H17" s="38">
        <f>IF(IF(H20=0,0,4),4,0)</f>
        <v>0</v>
      </c>
      <c r="I17" s="38">
        <f>IF(IF(I20=0,0,4),4,0)</f>
        <v>4</v>
      </c>
      <c r="J17" s="38">
        <f>IF(IF(J20=0,0,4),4,0)</f>
        <v>4</v>
      </c>
      <c r="K17" s="38">
        <f>IF(IF(K20=0,0,4),4,0)</f>
        <v>4</v>
      </c>
      <c r="L17" s="38">
        <f>IF(IF(L20=0,0,3),3,0)</f>
        <v>0</v>
      </c>
      <c r="M17" s="38">
        <f>IF(IF(M20=0,0,4),4,0)</f>
        <v>0</v>
      </c>
      <c r="N17" s="38">
        <f>IF(IF(N20=0,0,2),2,0)</f>
        <v>0</v>
      </c>
      <c r="O17" s="38">
        <f>IF(IF(O20=0,0,2),2,0)</f>
        <v>0</v>
      </c>
      <c r="P17" s="38">
        <f>IF(IF(P20=0,0,3),3,0)</f>
        <v>0</v>
      </c>
      <c r="Q17" s="38">
        <f>IF(IF(Q20=0,0,3),3,0)</f>
        <v>0</v>
      </c>
      <c r="R17" s="38">
        <f>IF(IF(R20=0,0,4),4,0)</f>
        <v>0</v>
      </c>
      <c r="S17" s="38">
        <f>IF(IF(S20=0,0,2),2,0)</f>
        <v>0</v>
      </c>
      <c r="T17" s="38">
        <f>SUM(F17:S17)</f>
        <v>17</v>
      </c>
      <c r="U17" s="39"/>
      <c r="V17" s="87"/>
      <c r="W17" s="87"/>
      <c r="X17" s="124"/>
    </row>
    <row r="18" spans="2:24" ht="19.5" thickTop="1" thickBot="1" x14ac:dyDescent="0.3">
      <c r="B18" s="120"/>
      <c r="C18" s="95"/>
      <c r="D18" s="88"/>
      <c r="E18" s="33" t="s">
        <v>142</v>
      </c>
      <c r="F18" s="69">
        <v>19</v>
      </c>
      <c r="G18" s="69">
        <v>26</v>
      </c>
      <c r="H18" s="69">
        <v>0</v>
      </c>
      <c r="I18" s="73">
        <v>28</v>
      </c>
      <c r="J18" s="73">
        <v>32</v>
      </c>
      <c r="K18" s="78">
        <v>15</v>
      </c>
      <c r="L18" s="41">
        <v>0</v>
      </c>
      <c r="M18" s="41">
        <v>0</v>
      </c>
      <c r="N18" s="41">
        <v>0</v>
      </c>
      <c r="O18" s="41">
        <v>0</v>
      </c>
      <c r="P18" s="41">
        <v>0</v>
      </c>
      <c r="Q18" s="69">
        <v>0</v>
      </c>
      <c r="R18" s="41">
        <v>0</v>
      </c>
      <c r="S18" s="75">
        <v>0</v>
      </c>
      <c r="T18" s="42"/>
      <c r="U18" s="43"/>
      <c r="V18" s="88"/>
      <c r="W18" s="88"/>
      <c r="X18" s="115"/>
    </row>
    <row r="19" spans="2:24" ht="19.5" thickTop="1" thickBot="1" x14ac:dyDescent="0.3">
      <c r="B19" s="120"/>
      <c r="C19" s="95"/>
      <c r="D19" s="88"/>
      <c r="E19" s="30" t="s">
        <v>3</v>
      </c>
      <c r="F19" s="70">
        <v>0</v>
      </c>
      <c r="G19" s="70">
        <v>0</v>
      </c>
      <c r="H19" s="70">
        <v>0</v>
      </c>
      <c r="I19" s="70">
        <v>30</v>
      </c>
      <c r="J19" s="70">
        <v>0</v>
      </c>
      <c r="K19" s="76">
        <v>20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70">
        <v>0</v>
      </c>
      <c r="R19" s="45">
        <v>0</v>
      </c>
      <c r="S19" s="76">
        <v>0</v>
      </c>
      <c r="T19" s="46"/>
      <c r="U19" s="47"/>
      <c r="V19" s="88"/>
      <c r="W19" s="88"/>
      <c r="X19" s="115"/>
    </row>
    <row r="20" spans="2:24" ht="19.5" thickTop="1" thickBot="1" x14ac:dyDescent="0.3">
      <c r="B20" s="120"/>
      <c r="C20" s="95"/>
      <c r="D20" s="88"/>
      <c r="E20" s="31" t="s">
        <v>4</v>
      </c>
      <c r="F20" s="70">
        <f t="shared" ref="F20:S20" si="6">IF(F19&lt;30,F18,F18+F19)</f>
        <v>19</v>
      </c>
      <c r="G20" s="70">
        <f t="shared" si="6"/>
        <v>26</v>
      </c>
      <c r="H20" s="70">
        <f t="shared" si="6"/>
        <v>0</v>
      </c>
      <c r="I20" s="70">
        <f t="shared" si="6"/>
        <v>58</v>
      </c>
      <c r="J20" s="70">
        <f t="shared" si="6"/>
        <v>32</v>
      </c>
      <c r="K20" s="76">
        <f t="shared" si="6"/>
        <v>15</v>
      </c>
      <c r="L20" s="45">
        <f t="shared" si="6"/>
        <v>0</v>
      </c>
      <c r="M20" s="45">
        <f t="shared" si="6"/>
        <v>0</v>
      </c>
      <c r="N20" s="45">
        <f t="shared" si="6"/>
        <v>0</v>
      </c>
      <c r="O20" s="45">
        <f t="shared" si="6"/>
        <v>0</v>
      </c>
      <c r="P20" s="45">
        <f t="shared" si="6"/>
        <v>0</v>
      </c>
      <c r="Q20" s="70">
        <f t="shared" si="6"/>
        <v>0</v>
      </c>
      <c r="R20" s="45">
        <f t="shared" si="6"/>
        <v>0</v>
      </c>
      <c r="S20" s="76">
        <f t="shared" si="6"/>
        <v>0</v>
      </c>
      <c r="T20" s="46"/>
      <c r="U20" s="47"/>
      <c r="V20" s="88"/>
      <c r="W20" s="88"/>
      <c r="X20" s="115"/>
    </row>
    <row r="21" spans="2:24" ht="23.25" customHeight="1" thickTop="1" thickBot="1" x14ac:dyDescent="0.3">
      <c r="B21" s="125"/>
      <c r="C21" s="110"/>
      <c r="D21" s="89"/>
      <c r="E21" s="35" t="s">
        <v>7</v>
      </c>
      <c r="F21" s="74">
        <f t="shared" ref="F21:K21" si="7">SUM(F17*F20)</f>
        <v>38</v>
      </c>
      <c r="G21" s="74">
        <f t="shared" si="7"/>
        <v>78</v>
      </c>
      <c r="H21" s="74">
        <f t="shared" si="7"/>
        <v>0</v>
      </c>
      <c r="I21" s="74">
        <f t="shared" si="7"/>
        <v>232</v>
      </c>
      <c r="J21" s="74">
        <f t="shared" si="7"/>
        <v>128</v>
      </c>
      <c r="K21" s="77">
        <f t="shared" si="7"/>
        <v>60</v>
      </c>
      <c r="L21" s="36">
        <f t="shared" ref="L21:S21" si="8">SUM(L17*L20)</f>
        <v>0</v>
      </c>
      <c r="M21" s="36">
        <f t="shared" si="8"/>
        <v>0</v>
      </c>
      <c r="N21" s="36">
        <f t="shared" si="8"/>
        <v>0</v>
      </c>
      <c r="O21" s="36">
        <f t="shared" si="8"/>
        <v>0</v>
      </c>
      <c r="P21" s="36">
        <f t="shared" si="8"/>
        <v>0</v>
      </c>
      <c r="Q21" s="74">
        <f t="shared" si="8"/>
        <v>0</v>
      </c>
      <c r="R21" s="36">
        <f t="shared" si="8"/>
        <v>0</v>
      </c>
      <c r="S21" s="77">
        <f t="shared" si="8"/>
        <v>0</v>
      </c>
      <c r="T21" s="50">
        <f>SUM(F21:S21)</f>
        <v>536</v>
      </c>
      <c r="U21" s="51">
        <f>SUM(T21/T17)</f>
        <v>31.529411764705884</v>
      </c>
      <c r="V21" s="89"/>
      <c r="W21" s="89"/>
      <c r="X21" s="116"/>
    </row>
    <row r="22" spans="2:24" ht="20.25" thickTop="1" thickBot="1" x14ac:dyDescent="0.35">
      <c r="B22" s="122">
        <v>-4</v>
      </c>
      <c r="C22" s="109" t="s">
        <v>99</v>
      </c>
      <c r="D22" s="88" t="s">
        <v>140</v>
      </c>
      <c r="E22" s="10" t="s">
        <v>6</v>
      </c>
      <c r="F22" s="38">
        <f>IF(IF(F25=0,0,2),2,0)</f>
        <v>2</v>
      </c>
      <c r="G22" s="38">
        <f>IF(IF(G25=0,0,3),3,0)</f>
        <v>3</v>
      </c>
      <c r="H22" s="38">
        <f>IF(IF(H25=0,0,4),4,0)</f>
        <v>0</v>
      </c>
      <c r="I22" s="38">
        <f>IF(IF(I25=0,0,4),4,0)</f>
        <v>4</v>
      </c>
      <c r="J22" s="38">
        <f>IF(IF(J25=0,0,4),4,0)</f>
        <v>4</v>
      </c>
      <c r="K22" s="38">
        <f>IF(IF(K25=0,0,4),4,0)</f>
        <v>4</v>
      </c>
      <c r="L22" s="38">
        <f>IF(IF(L25=0,0,3),3,0)</f>
        <v>0</v>
      </c>
      <c r="M22" s="38">
        <f>IF(IF(M25=0,0,4),4,0)</f>
        <v>0</v>
      </c>
      <c r="N22" s="38">
        <f>IF(IF(N25=0,0,2),2,0)</f>
        <v>0</v>
      </c>
      <c r="O22" s="38">
        <f>IF(IF(O25=0,0,2),2,0)</f>
        <v>0</v>
      </c>
      <c r="P22" s="38">
        <f>IF(IF(P25=0,0,3),3,0)</f>
        <v>0</v>
      </c>
      <c r="Q22" s="38">
        <f>IF(IF(Q25=0,0,3),3,0)</f>
        <v>0</v>
      </c>
      <c r="R22" s="38">
        <f>IF(IF(R25=0,0,4),4,0)</f>
        <v>0</v>
      </c>
      <c r="S22" s="38">
        <f>IF(IF(S25=0,0,2),2,0)</f>
        <v>0</v>
      </c>
      <c r="T22" s="38">
        <f>SUM(F22:S22)</f>
        <v>17</v>
      </c>
      <c r="U22" s="39"/>
      <c r="V22" s="87"/>
      <c r="W22" s="87"/>
      <c r="X22" s="124"/>
    </row>
    <row r="23" spans="2:24" ht="19.5" thickTop="1" thickBot="1" x14ac:dyDescent="0.3">
      <c r="B23" s="120"/>
      <c r="C23" s="95"/>
      <c r="D23" s="88"/>
      <c r="E23" s="33" t="s">
        <v>142</v>
      </c>
      <c r="F23" s="69">
        <v>15</v>
      </c>
      <c r="G23" s="69">
        <v>21</v>
      </c>
      <c r="H23" s="69">
        <v>0</v>
      </c>
      <c r="I23" s="73">
        <v>20</v>
      </c>
      <c r="J23" s="73">
        <v>29</v>
      </c>
      <c r="K23" s="73">
        <v>15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75">
        <v>0</v>
      </c>
      <c r="R23" s="41">
        <v>0</v>
      </c>
      <c r="S23" s="75">
        <v>0</v>
      </c>
      <c r="T23" s="42"/>
      <c r="U23" s="43"/>
      <c r="V23" s="88"/>
      <c r="W23" s="88"/>
      <c r="X23" s="115"/>
    </row>
    <row r="24" spans="2:24" ht="19.5" thickTop="1" thickBot="1" x14ac:dyDescent="0.3">
      <c r="B24" s="120"/>
      <c r="C24" s="95"/>
      <c r="D24" s="88"/>
      <c r="E24" s="30" t="s">
        <v>3</v>
      </c>
      <c r="F24" s="70">
        <v>0</v>
      </c>
      <c r="G24" s="70">
        <v>0</v>
      </c>
      <c r="H24" s="70">
        <v>0</v>
      </c>
      <c r="I24" s="70">
        <v>30</v>
      </c>
      <c r="J24" s="70">
        <v>0</v>
      </c>
      <c r="K24" s="76">
        <v>30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76">
        <v>0</v>
      </c>
      <c r="R24" s="45">
        <v>0</v>
      </c>
      <c r="S24" s="76">
        <v>0</v>
      </c>
      <c r="T24" s="46"/>
      <c r="U24" s="47"/>
      <c r="V24" s="88"/>
      <c r="W24" s="88"/>
      <c r="X24" s="115"/>
    </row>
    <row r="25" spans="2:24" ht="19.5" thickTop="1" thickBot="1" x14ac:dyDescent="0.3">
      <c r="B25" s="120"/>
      <c r="C25" s="95"/>
      <c r="D25" s="88"/>
      <c r="E25" s="31" t="s">
        <v>4</v>
      </c>
      <c r="F25" s="70">
        <f t="shared" ref="F25:S25" si="9">IF(F24&lt;30,F23,F23+F24)</f>
        <v>15</v>
      </c>
      <c r="G25" s="70">
        <f t="shared" si="9"/>
        <v>21</v>
      </c>
      <c r="H25" s="70">
        <f t="shared" si="9"/>
        <v>0</v>
      </c>
      <c r="I25" s="70">
        <f t="shared" si="9"/>
        <v>50</v>
      </c>
      <c r="J25" s="70">
        <f t="shared" si="9"/>
        <v>29</v>
      </c>
      <c r="K25" s="70">
        <f t="shared" si="9"/>
        <v>45</v>
      </c>
      <c r="L25" s="45">
        <f t="shared" si="9"/>
        <v>0</v>
      </c>
      <c r="M25" s="45">
        <f t="shared" si="9"/>
        <v>0</v>
      </c>
      <c r="N25" s="45">
        <f t="shared" si="9"/>
        <v>0</v>
      </c>
      <c r="O25" s="45">
        <f t="shared" si="9"/>
        <v>0</v>
      </c>
      <c r="P25" s="45">
        <f t="shared" si="9"/>
        <v>0</v>
      </c>
      <c r="Q25" s="76">
        <f t="shared" si="9"/>
        <v>0</v>
      </c>
      <c r="R25" s="45">
        <f t="shared" si="9"/>
        <v>0</v>
      </c>
      <c r="S25" s="76">
        <f t="shared" si="9"/>
        <v>0</v>
      </c>
      <c r="T25" s="46"/>
      <c r="U25" s="47"/>
      <c r="V25" s="88"/>
      <c r="W25" s="88"/>
      <c r="X25" s="115"/>
    </row>
    <row r="26" spans="2:24" ht="37.5" thickTop="1" thickBot="1" x14ac:dyDescent="0.3">
      <c r="B26" s="125"/>
      <c r="C26" s="110"/>
      <c r="D26" s="89"/>
      <c r="E26" s="35" t="s">
        <v>7</v>
      </c>
      <c r="F26" s="74">
        <f t="shared" ref="F26:K26" si="10">SUM(F22*F25)</f>
        <v>30</v>
      </c>
      <c r="G26" s="74">
        <f t="shared" si="10"/>
        <v>63</v>
      </c>
      <c r="H26" s="74">
        <f t="shared" si="10"/>
        <v>0</v>
      </c>
      <c r="I26" s="74">
        <f t="shared" si="10"/>
        <v>200</v>
      </c>
      <c r="J26" s="74">
        <f t="shared" si="10"/>
        <v>116</v>
      </c>
      <c r="K26" s="74">
        <f t="shared" si="10"/>
        <v>180</v>
      </c>
      <c r="L26" s="36">
        <f t="shared" ref="L26:S26" si="11">SUM(L22*L25)</f>
        <v>0</v>
      </c>
      <c r="M26" s="36">
        <f t="shared" si="11"/>
        <v>0</v>
      </c>
      <c r="N26" s="36">
        <f t="shared" si="11"/>
        <v>0</v>
      </c>
      <c r="O26" s="36">
        <f t="shared" si="11"/>
        <v>0</v>
      </c>
      <c r="P26" s="36">
        <f t="shared" si="11"/>
        <v>0</v>
      </c>
      <c r="Q26" s="77">
        <f t="shared" si="11"/>
        <v>0</v>
      </c>
      <c r="R26" s="36">
        <f t="shared" si="11"/>
        <v>0</v>
      </c>
      <c r="S26" s="77">
        <f t="shared" si="11"/>
        <v>0</v>
      </c>
      <c r="T26" s="50">
        <f>SUM(F26:S26)</f>
        <v>589</v>
      </c>
      <c r="U26" s="51">
        <f>SUM(T26/T22)</f>
        <v>34.647058823529413</v>
      </c>
      <c r="V26" s="89"/>
      <c r="W26" s="89"/>
      <c r="X26" s="116"/>
    </row>
    <row r="27" spans="2:24" ht="20.25" thickTop="1" thickBot="1" x14ac:dyDescent="0.35">
      <c r="B27" s="122">
        <v>-5</v>
      </c>
      <c r="C27" s="109" t="s">
        <v>100</v>
      </c>
      <c r="D27" s="104" t="s">
        <v>141</v>
      </c>
      <c r="E27" s="10" t="s">
        <v>6</v>
      </c>
      <c r="F27" s="38">
        <f>IF(IF(F30=0,0,2),2,0)</f>
        <v>0</v>
      </c>
      <c r="G27" s="38">
        <f>IF(IF(G30=0,0,3),3,0)</f>
        <v>0</v>
      </c>
      <c r="H27" s="38">
        <f>IF(IF(H30=0,0,4),4,0)</f>
        <v>0</v>
      </c>
      <c r="I27" s="38">
        <f>IF(IF(I30=0,0,4),4,0)</f>
        <v>4</v>
      </c>
      <c r="J27" s="38">
        <f>IF(IF(J30=0,0,4),4,0)</f>
        <v>0</v>
      </c>
      <c r="K27" s="38">
        <f>IF(IF(K30=0,0,4),4,0)</f>
        <v>4</v>
      </c>
      <c r="L27" s="38">
        <f>IF(IF(L30=0,0,3),3,0)</f>
        <v>0</v>
      </c>
      <c r="M27" s="38">
        <f>IF(IF(M30=0,0,4),4,0)</f>
        <v>0</v>
      </c>
      <c r="N27" s="38">
        <f>IF(IF(N30=0,0,2),2,0)</f>
        <v>0</v>
      </c>
      <c r="O27" s="38">
        <f>IF(IF(O30=0,0,2),2,0)</f>
        <v>0</v>
      </c>
      <c r="P27" s="38">
        <f>IF(IF(P30=0,0,3),3,0)</f>
        <v>0</v>
      </c>
      <c r="Q27" s="38">
        <f>IF(IF(Q30=0,0,3),3,0)</f>
        <v>0</v>
      </c>
      <c r="R27" s="38">
        <f>IF(IF(R30=0,0,4),4,0)</f>
        <v>0</v>
      </c>
      <c r="S27" s="38">
        <f>IF(IF(S30=0,0,2),2,0)</f>
        <v>0</v>
      </c>
      <c r="T27" s="38">
        <f>SUM(F27:S27)</f>
        <v>8</v>
      </c>
      <c r="U27" s="39"/>
      <c r="V27" s="87"/>
      <c r="W27" s="87"/>
      <c r="X27" s="124"/>
    </row>
    <row r="28" spans="2:24" ht="19.5" thickTop="1" thickBot="1" x14ac:dyDescent="0.3">
      <c r="B28" s="120"/>
      <c r="C28" s="95"/>
      <c r="D28" s="88"/>
      <c r="E28" s="33" t="s">
        <v>142</v>
      </c>
      <c r="F28" s="69">
        <v>0</v>
      </c>
      <c r="G28" s="85">
        <v>0</v>
      </c>
      <c r="H28" s="69">
        <v>0</v>
      </c>
      <c r="I28" s="73">
        <v>23</v>
      </c>
      <c r="J28" s="73">
        <v>0</v>
      </c>
      <c r="K28" s="78">
        <v>15</v>
      </c>
      <c r="L28" s="41">
        <v>0</v>
      </c>
      <c r="M28" s="75">
        <v>0</v>
      </c>
      <c r="N28" s="41">
        <v>0</v>
      </c>
      <c r="O28" s="41">
        <v>0</v>
      </c>
      <c r="P28" s="41">
        <v>0</v>
      </c>
      <c r="Q28" s="69">
        <v>0</v>
      </c>
      <c r="R28" s="75">
        <v>0</v>
      </c>
      <c r="S28" s="41">
        <v>0</v>
      </c>
      <c r="T28" s="42"/>
      <c r="U28" s="43"/>
      <c r="V28" s="88"/>
      <c r="W28" s="88"/>
      <c r="X28" s="115"/>
    </row>
    <row r="29" spans="2:24" ht="19.5" thickTop="1" thickBot="1" x14ac:dyDescent="0.3">
      <c r="B29" s="120"/>
      <c r="C29" s="95"/>
      <c r="D29" s="88"/>
      <c r="E29" s="30" t="s">
        <v>3</v>
      </c>
      <c r="F29" s="70">
        <v>0</v>
      </c>
      <c r="G29" s="70">
        <v>0</v>
      </c>
      <c r="H29" s="70">
        <v>0</v>
      </c>
      <c r="I29" s="70">
        <v>30</v>
      </c>
      <c r="J29" s="70">
        <v>0</v>
      </c>
      <c r="K29" s="76">
        <v>5</v>
      </c>
      <c r="L29" s="45">
        <v>0</v>
      </c>
      <c r="M29" s="76">
        <v>0</v>
      </c>
      <c r="N29" s="45">
        <v>0</v>
      </c>
      <c r="O29" s="45">
        <v>0</v>
      </c>
      <c r="P29" s="45">
        <v>0</v>
      </c>
      <c r="Q29" s="70">
        <v>0</v>
      </c>
      <c r="R29" s="76">
        <v>0</v>
      </c>
      <c r="S29" s="45">
        <v>0</v>
      </c>
      <c r="T29" s="46"/>
      <c r="U29" s="47"/>
      <c r="V29" s="88"/>
      <c r="W29" s="88"/>
      <c r="X29" s="115"/>
    </row>
    <row r="30" spans="2:24" ht="19.5" thickTop="1" thickBot="1" x14ac:dyDescent="0.3">
      <c r="B30" s="120"/>
      <c r="C30" s="95"/>
      <c r="D30" s="88"/>
      <c r="E30" s="31" t="s">
        <v>4</v>
      </c>
      <c r="F30" s="70">
        <f t="shared" ref="F30:S30" si="12">IF(F29&lt;30,F28,F28+F29)</f>
        <v>0</v>
      </c>
      <c r="G30" s="70">
        <f t="shared" si="12"/>
        <v>0</v>
      </c>
      <c r="H30" s="70">
        <f t="shared" si="12"/>
        <v>0</v>
      </c>
      <c r="I30" s="70">
        <f t="shared" si="12"/>
        <v>53</v>
      </c>
      <c r="J30" s="70">
        <f t="shared" si="12"/>
        <v>0</v>
      </c>
      <c r="K30" s="76">
        <f t="shared" si="12"/>
        <v>15</v>
      </c>
      <c r="L30" s="45">
        <f t="shared" si="12"/>
        <v>0</v>
      </c>
      <c r="M30" s="76">
        <f t="shared" si="12"/>
        <v>0</v>
      </c>
      <c r="N30" s="45">
        <f t="shared" si="12"/>
        <v>0</v>
      </c>
      <c r="O30" s="45">
        <f t="shared" si="12"/>
        <v>0</v>
      </c>
      <c r="P30" s="45">
        <f t="shared" si="12"/>
        <v>0</v>
      </c>
      <c r="Q30" s="70">
        <f t="shared" si="12"/>
        <v>0</v>
      </c>
      <c r="R30" s="76">
        <f t="shared" si="12"/>
        <v>0</v>
      </c>
      <c r="S30" s="45">
        <f t="shared" si="12"/>
        <v>0</v>
      </c>
      <c r="T30" s="46"/>
      <c r="U30" s="47"/>
      <c r="V30" s="88"/>
      <c r="W30" s="88"/>
      <c r="X30" s="115"/>
    </row>
    <row r="31" spans="2:24" ht="37.5" thickTop="1" thickBot="1" x14ac:dyDescent="0.3">
      <c r="B31" s="121"/>
      <c r="C31" s="96"/>
      <c r="D31" s="89"/>
      <c r="E31" s="32" t="s">
        <v>7</v>
      </c>
      <c r="F31" s="74">
        <f t="shared" ref="F31:K31" si="13">SUM(F27*F30)</f>
        <v>0</v>
      </c>
      <c r="G31" s="74">
        <f t="shared" si="13"/>
        <v>0</v>
      </c>
      <c r="H31" s="74">
        <f t="shared" si="13"/>
        <v>0</v>
      </c>
      <c r="I31" s="74">
        <f t="shared" si="13"/>
        <v>212</v>
      </c>
      <c r="J31" s="74">
        <f t="shared" si="13"/>
        <v>0</v>
      </c>
      <c r="K31" s="77">
        <f t="shared" si="13"/>
        <v>60</v>
      </c>
      <c r="L31" s="36">
        <f t="shared" ref="L31:S31" si="14">SUM(L27*L30)</f>
        <v>0</v>
      </c>
      <c r="M31" s="77">
        <f t="shared" si="14"/>
        <v>0</v>
      </c>
      <c r="N31" s="36">
        <f t="shared" si="14"/>
        <v>0</v>
      </c>
      <c r="O31" s="36">
        <f t="shared" si="14"/>
        <v>0</v>
      </c>
      <c r="P31" s="36">
        <f t="shared" si="14"/>
        <v>0</v>
      </c>
      <c r="Q31" s="74">
        <f t="shared" si="14"/>
        <v>0</v>
      </c>
      <c r="R31" s="77">
        <f t="shared" si="14"/>
        <v>0</v>
      </c>
      <c r="S31" s="36">
        <f t="shared" si="14"/>
        <v>0</v>
      </c>
      <c r="T31" s="50">
        <f>SUM(F31:S31)</f>
        <v>272</v>
      </c>
      <c r="U31" s="51">
        <f>SUM(T31/T27)</f>
        <v>34</v>
      </c>
      <c r="V31" s="89"/>
      <c r="W31" s="89"/>
      <c r="X31" s="116"/>
    </row>
    <row r="32" spans="2:24" ht="20.25" thickTop="1" thickBot="1" x14ac:dyDescent="0.35">
      <c r="B32" s="119">
        <v>-6</v>
      </c>
      <c r="C32" s="97"/>
      <c r="D32" s="87"/>
      <c r="E32" s="10" t="s">
        <v>6</v>
      </c>
      <c r="F32" s="38">
        <f>IF(IF(F35=0,0,2),2,0)</f>
        <v>0</v>
      </c>
      <c r="G32" s="38">
        <f>IF(IF(G35=0,0,3),3,0)</f>
        <v>0</v>
      </c>
      <c r="H32" s="38">
        <f>IF(IF(H35=0,0,4),4,0)</f>
        <v>0</v>
      </c>
      <c r="I32" s="38">
        <f>IF(IF(I35=0,0,4),4,0)</f>
        <v>0</v>
      </c>
      <c r="J32" s="38">
        <f>IF(IF(J35=0,0,4),4,0)</f>
        <v>0</v>
      </c>
      <c r="K32" s="38">
        <f>IF(IF(K35=0,0,4),4,0)</f>
        <v>0</v>
      </c>
      <c r="L32" s="38">
        <f>IF(IF(L35=0,0,3),3,0)</f>
        <v>0</v>
      </c>
      <c r="M32" s="38">
        <f>IF(IF(M35=0,0,4),4,0)</f>
        <v>0</v>
      </c>
      <c r="N32" s="38">
        <f>IF(IF(N35=0,0,2),2,0)</f>
        <v>0</v>
      </c>
      <c r="O32" s="38">
        <f>IF(IF(O35=0,0,2),2,0)</f>
        <v>0</v>
      </c>
      <c r="P32" s="38">
        <f>IF(IF(P35=0,0,3),3,0)</f>
        <v>0</v>
      </c>
      <c r="Q32" s="38">
        <f>IF(IF(Q35=0,0,3),3,0)</f>
        <v>0</v>
      </c>
      <c r="R32" s="38">
        <f>IF(IF(R35=0,0,4),4,0)</f>
        <v>0</v>
      </c>
      <c r="S32" s="38">
        <f>IF(IF(S35=0,0,2),2,0)</f>
        <v>0</v>
      </c>
      <c r="T32" s="38">
        <f>SUM(F32:S32)</f>
        <v>0</v>
      </c>
      <c r="U32" s="39"/>
      <c r="V32" s="87"/>
      <c r="W32" s="87"/>
      <c r="X32" s="124"/>
    </row>
    <row r="33" spans="2:24" ht="19.5" thickTop="1" thickBot="1" x14ac:dyDescent="0.3">
      <c r="B33" s="120"/>
      <c r="C33" s="95"/>
      <c r="D33" s="88"/>
      <c r="E33" s="33" t="s">
        <v>142</v>
      </c>
      <c r="F33" s="69">
        <v>0</v>
      </c>
      <c r="G33" s="69">
        <v>0</v>
      </c>
      <c r="H33" s="69">
        <v>0</v>
      </c>
      <c r="I33" s="73">
        <v>0</v>
      </c>
      <c r="J33" s="73">
        <v>0</v>
      </c>
      <c r="K33" s="73">
        <v>0</v>
      </c>
      <c r="L33" s="41">
        <v>0</v>
      </c>
      <c r="M33" s="41">
        <v>0</v>
      </c>
      <c r="N33" s="41">
        <v>0</v>
      </c>
      <c r="O33" s="41">
        <v>0</v>
      </c>
      <c r="P33" s="41">
        <v>0</v>
      </c>
      <c r="Q33" s="69">
        <v>0</v>
      </c>
      <c r="R33" s="41">
        <v>0</v>
      </c>
      <c r="S33" s="41">
        <v>0</v>
      </c>
      <c r="T33" s="42"/>
      <c r="U33" s="43"/>
      <c r="V33" s="88"/>
      <c r="W33" s="88"/>
      <c r="X33" s="115"/>
    </row>
    <row r="34" spans="2:24" ht="19.5" thickTop="1" thickBot="1" x14ac:dyDescent="0.3">
      <c r="B34" s="120"/>
      <c r="C34" s="95"/>
      <c r="D34" s="88"/>
      <c r="E34" s="30" t="s">
        <v>3</v>
      </c>
      <c r="F34" s="70">
        <v>0</v>
      </c>
      <c r="G34" s="70">
        <v>0</v>
      </c>
      <c r="H34" s="70">
        <v>0</v>
      </c>
      <c r="I34" s="70">
        <v>0</v>
      </c>
      <c r="J34" s="70">
        <v>0</v>
      </c>
      <c r="K34" s="70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70">
        <v>0</v>
      </c>
      <c r="R34" s="45">
        <v>0</v>
      </c>
      <c r="S34" s="45">
        <v>0</v>
      </c>
      <c r="T34" s="46"/>
      <c r="U34" s="47"/>
      <c r="V34" s="88"/>
      <c r="W34" s="88"/>
      <c r="X34" s="115"/>
    </row>
    <row r="35" spans="2:24" ht="19.5" thickTop="1" thickBot="1" x14ac:dyDescent="0.3">
      <c r="B35" s="120"/>
      <c r="C35" s="95"/>
      <c r="D35" s="88"/>
      <c r="E35" s="31" t="s">
        <v>4</v>
      </c>
      <c r="F35" s="70">
        <f t="shared" ref="F35:S35" si="15">IF(F34&lt;30,F33,F33+F34)</f>
        <v>0</v>
      </c>
      <c r="G35" s="70">
        <f t="shared" si="15"/>
        <v>0</v>
      </c>
      <c r="H35" s="70">
        <f t="shared" si="15"/>
        <v>0</v>
      </c>
      <c r="I35" s="70">
        <f t="shared" si="15"/>
        <v>0</v>
      </c>
      <c r="J35" s="70">
        <f t="shared" si="15"/>
        <v>0</v>
      </c>
      <c r="K35" s="70">
        <f t="shared" si="15"/>
        <v>0</v>
      </c>
      <c r="L35" s="45">
        <f t="shared" si="15"/>
        <v>0</v>
      </c>
      <c r="M35" s="45">
        <f t="shared" si="15"/>
        <v>0</v>
      </c>
      <c r="N35" s="45">
        <f t="shared" si="15"/>
        <v>0</v>
      </c>
      <c r="O35" s="45">
        <f t="shared" si="15"/>
        <v>0</v>
      </c>
      <c r="P35" s="45">
        <f t="shared" si="15"/>
        <v>0</v>
      </c>
      <c r="Q35" s="70">
        <f t="shared" si="15"/>
        <v>0</v>
      </c>
      <c r="R35" s="45">
        <f t="shared" si="15"/>
        <v>0</v>
      </c>
      <c r="S35" s="45">
        <f t="shared" si="15"/>
        <v>0</v>
      </c>
      <c r="T35" s="46"/>
      <c r="U35" s="47"/>
      <c r="V35" s="88"/>
      <c r="W35" s="88"/>
      <c r="X35" s="115"/>
    </row>
    <row r="36" spans="2:24" ht="37.5" thickTop="1" thickBot="1" x14ac:dyDescent="0.3">
      <c r="B36" s="121"/>
      <c r="C36" s="96"/>
      <c r="D36" s="89"/>
      <c r="E36" s="32" t="s">
        <v>7</v>
      </c>
      <c r="F36" s="74">
        <f t="shared" ref="F36:K36" si="16">SUM(F32*F35)</f>
        <v>0</v>
      </c>
      <c r="G36" s="74">
        <f t="shared" si="16"/>
        <v>0</v>
      </c>
      <c r="H36" s="74">
        <f t="shared" si="16"/>
        <v>0</v>
      </c>
      <c r="I36" s="74">
        <f t="shared" si="16"/>
        <v>0</v>
      </c>
      <c r="J36" s="74">
        <f t="shared" si="16"/>
        <v>0</v>
      </c>
      <c r="K36" s="74">
        <f t="shared" si="16"/>
        <v>0</v>
      </c>
      <c r="L36" s="36">
        <f t="shared" ref="L36:S36" si="17">SUM(L32*L35)</f>
        <v>0</v>
      </c>
      <c r="M36" s="36">
        <f t="shared" si="17"/>
        <v>0</v>
      </c>
      <c r="N36" s="36">
        <f t="shared" si="17"/>
        <v>0</v>
      </c>
      <c r="O36" s="36">
        <f t="shared" si="17"/>
        <v>0</v>
      </c>
      <c r="P36" s="36">
        <f t="shared" si="17"/>
        <v>0</v>
      </c>
      <c r="Q36" s="74">
        <f t="shared" si="17"/>
        <v>0</v>
      </c>
      <c r="R36" s="36">
        <f t="shared" si="17"/>
        <v>0</v>
      </c>
      <c r="S36" s="36">
        <f t="shared" si="17"/>
        <v>0</v>
      </c>
      <c r="T36" s="50">
        <f>SUM(F36:S36)</f>
        <v>0</v>
      </c>
      <c r="U36" s="51" t="e">
        <f>SUM(T36/T32)</f>
        <v>#DIV/0!</v>
      </c>
      <c r="V36" s="89"/>
      <c r="W36" s="89"/>
      <c r="X36" s="116"/>
    </row>
    <row r="37" spans="2:24" ht="20.25" thickTop="1" thickBot="1" x14ac:dyDescent="0.35">
      <c r="B37" s="119">
        <v>-7</v>
      </c>
      <c r="C37" s="97"/>
      <c r="D37" s="87"/>
      <c r="E37" s="10" t="s">
        <v>6</v>
      </c>
      <c r="F37" s="38">
        <f>IF(IF(F40=0,0,2),2,0)</f>
        <v>0</v>
      </c>
      <c r="G37" s="38">
        <f>IF(IF(G40=0,0,3),3,0)</f>
        <v>0</v>
      </c>
      <c r="H37" s="38">
        <f>IF(IF(H40=0,0,4),4,0)</f>
        <v>0</v>
      </c>
      <c r="I37" s="38">
        <f>IF(IF(I40=0,0,4),4,0)</f>
        <v>0</v>
      </c>
      <c r="J37" s="38">
        <f>IF(IF(J40=0,0,4),4,0)</f>
        <v>0</v>
      </c>
      <c r="K37" s="38">
        <f>IF(IF(K40=0,0,4),4,0)</f>
        <v>0</v>
      </c>
      <c r="L37" s="38">
        <f>IF(IF(L40=0,0,3),3,0)</f>
        <v>0</v>
      </c>
      <c r="M37" s="38">
        <f>IF(IF(M40=0,0,4),4,0)</f>
        <v>0</v>
      </c>
      <c r="N37" s="38">
        <f>IF(IF(N40=0,0,2),2,0)</f>
        <v>0</v>
      </c>
      <c r="O37" s="38">
        <f>IF(IF(O40=0,0,2),2,0)</f>
        <v>0</v>
      </c>
      <c r="P37" s="38">
        <f>IF(IF(P40=0,0,3),3,0)</f>
        <v>0</v>
      </c>
      <c r="Q37" s="38">
        <f>IF(IF(Q40=0,0,3),3,0)</f>
        <v>0</v>
      </c>
      <c r="R37" s="38">
        <f>IF(IF(R40=0,0,4),4,0)</f>
        <v>0</v>
      </c>
      <c r="S37" s="38">
        <f>IF(IF(S40=0,0,2),2,0)</f>
        <v>0</v>
      </c>
      <c r="T37" s="38">
        <f>SUM(F37:S37)</f>
        <v>0</v>
      </c>
      <c r="U37" s="39"/>
      <c r="V37" s="87"/>
      <c r="W37" s="87"/>
      <c r="X37" s="124"/>
    </row>
    <row r="38" spans="2:24" ht="19.5" thickTop="1" thickBot="1" x14ac:dyDescent="0.3">
      <c r="B38" s="120"/>
      <c r="C38" s="95"/>
      <c r="D38" s="88"/>
      <c r="E38" s="33" t="s">
        <v>142</v>
      </c>
      <c r="F38" s="69">
        <v>0</v>
      </c>
      <c r="G38" s="69">
        <v>0</v>
      </c>
      <c r="H38" s="69">
        <v>0</v>
      </c>
      <c r="I38" s="73">
        <v>0</v>
      </c>
      <c r="J38" s="73">
        <v>0</v>
      </c>
      <c r="K38" s="73">
        <v>0</v>
      </c>
      <c r="L38" s="41">
        <v>0</v>
      </c>
      <c r="M38" s="41">
        <v>0</v>
      </c>
      <c r="N38" s="41">
        <v>0</v>
      </c>
      <c r="O38" s="41">
        <v>0</v>
      </c>
      <c r="P38" s="41">
        <v>0</v>
      </c>
      <c r="Q38" s="69">
        <v>0</v>
      </c>
      <c r="R38" s="41">
        <v>0</v>
      </c>
      <c r="S38" s="41">
        <v>0</v>
      </c>
      <c r="T38" s="42"/>
      <c r="U38" s="43"/>
      <c r="V38" s="88"/>
      <c r="W38" s="88"/>
      <c r="X38" s="115"/>
    </row>
    <row r="39" spans="2:24" ht="19.5" thickTop="1" thickBot="1" x14ac:dyDescent="0.3">
      <c r="B39" s="120"/>
      <c r="C39" s="95"/>
      <c r="D39" s="88"/>
      <c r="E39" s="30" t="s">
        <v>3</v>
      </c>
      <c r="F39" s="70">
        <v>0</v>
      </c>
      <c r="G39" s="70">
        <v>0</v>
      </c>
      <c r="H39" s="70">
        <v>0</v>
      </c>
      <c r="I39" s="70">
        <v>0</v>
      </c>
      <c r="J39" s="70">
        <v>0</v>
      </c>
      <c r="K39" s="70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70">
        <v>0</v>
      </c>
      <c r="R39" s="45">
        <v>0</v>
      </c>
      <c r="S39" s="45">
        <v>0</v>
      </c>
      <c r="T39" s="46"/>
      <c r="U39" s="47"/>
      <c r="V39" s="88"/>
      <c r="W39" s="88"/>
      <c r="X39" s="115"/>
    </row>
    <row r="40" spans="2:24" ht="19.5" thickTop="1" thickBot="1" x14ac:dyDescent="0.3">
      <c r="B40" s="120"/>
      <c r="C40" s="95"/>
      <c r="D40" s="88"/>
      <c r="E40" s="31" t="s">
        <v>4</v>
      </c>
      <c r="F40" s="70">
        <f t="shared" ref="F40:S40" si="18">IF(F39&lt;30,F38,F38+F39)</f>
        <v>0</v>
      </c>
      <c r="G40" s="70">
        <f t="shared" si="18"/>
        <v>0</v>
      </c>
      <c r="H40" s="70">
        <f t="shared" si="18"/>
        <v>0</v>
      </c>
      <c r="I40" s="70">
        <f t="shared" si="18"/>
        <v>0</v>
      </c>
      <c r="J40" s="70">
        <f t="shared" si="18"/>
        <v>0</v>
      </c>
      <c r="K40" s="70">
        <f t="shared" si="18"/>
        <v>0</v>
      </c>
      <c r="L40" s="45">
        <f t="shared" si="18"/>
        <v>0</v>
      </c>
      <c r="M40" s="45">
        <f t="shared" si="18"/>
        <v>0</v>
      </c>
      <c r="N40" s="45">
        <f t="shared" si="18"/>
        <v>0</v>
      </c>
      <c r="O40" s="45">
        <f t="shared" si="18"/>
        <v>0</v>
      </c>
      <c r="P40" s="45">
        <f t="shared" si="18"/>
        <v>0</v>
      </c>
      <c r="Q40" s="70">
        <f t="shared" si="18"/>
        <v>0</v>
      </c>
      <c r="R40" s="45">
        <f t="shared" si="18"/>
        <v>0</v>
      </c>
      <c r="S40" s="45">
        <f t="shared" si="18"/>
        <v>0</v>
      </c>
      <c r="T40" s="46"/>
      <c r="U40" s="47"/>
      <c r="V40" s="88"/>
      <c r="W40" s="88"/>
      <c r="X40" s="115"/>
    </row>
    <row r="41" spans="2:24" ht="37.5" thickTop="1" thickBot="1" x14ac:dyDescent="0.3">
      <c r="B41" s="121"/>
      <c r="C41" s="96"/>
      <c r="D41" s="89"/>
      <c r="E41" s="32" t="s">
        <v>7</v>
      </c>
      <c r="F41" s="71">
        <f t="shared" ref="F41:K41" si="19">SUM(F37*F40)</f>
        <v>0</v>
      </c>
      <c r="G41" s="71">
        <f t="shared" si="19"/>
        <v>0</v>
      </c>
      <c r="H41" s="71">
        <f t="shared" si="19"/>
        <v>0</v>
      </c>
      <c r="I41" s="71">
        <f t="shared" si="19"/>
        <v>0</v>
      </c>
      <c r="J41" s="71">
        <f t="shared" si="19"/>
        <v>0</v>
      </c>
      <c r="K41" s="71">
        <f t="shared" si="19"/>
        <v>0</v>
      </c>
      <c r="L41" s="53">
        <f t="shared" ref="L41:S41" si="20">SUM(L37*L40)</f>
        <v>0</v>
      </c>
      <c r="M41" s="53">
        <f>SUM(M37*M40)</f>
        <v>0</v>
      </c>
      <c r="N41" s="53">
        <f t="shared" si="20"/>
        <v>0</v>
      </c>
      <c r="O41" s="53">
        <f t="shared" si="20"/>
        <v>0</v>
      </c>
      <c r="P41" s="53">
        <f t="shared" si="20"/>
        <v>0</v>
      </c>
      <c r="Q41" s="71">
        <f t="shared" si="20"/>
        <v>0</v>
      </c>
      <c r="R41" s="53">
        <f t="shared" si="20"/>
        <v>0</v>
      </c>
      <c r="S41" s="53">
        <f t="shared" si="20"/>
        <v>0</v>
      </c>
      <c r="T41" s="54">
        <f>SUM(F41:S41)</f>
        <v>0</v>
      </c>
      <c r="U41" s="53" t="e">
        <f>SUM(T41/T37)</f>
        <v>#DIV/0!</v>
      </c>
      <c r="V41" s="89"/>
      <c r="W41" s="89"/>
      <c r="X41" s="116"/>
    </row>
    <row r="42" spans="2:24" ht="20.25" thickTop="1" thickBot="1" x14ac:dyDescent="0.25">
      <c r="B42" s="123">
        <v>-8</v>
      </c>
      <c r="C42" s="97"/>
      <c r="D42" s="87"/>
      <c r="E42" s="37" t="s">
        <v>6</v>
      </c>
      <c r="F42" s="38">
        <f>IF(IF(F45=0,0,2),2,0)</f>
        <v>0</v>
      </c>
      <c r="G42" s="38">
        <f>IF(IF(G45=0,0,3),3,0)</f>
        <v>0</v>
      </c>
      <c r="H42" s="38">
        <f>IF(IF(H45=0,0,4),4,0)</f>
        <v>0</v>
      </c>
      <c r="I42" s="38">
        <f>IF(IF(I45=0,0,4),4,0)</f>
        <v>0</v>
      </c>
      <c r="J42" s="38">
        <f>IF(IF(J45=0,0,4),4,0)</f>
        <v>0</v>
      </c>
      <c r="K42" s="38">
        <f>IF(IF(K45=0,0,4),4,0)</f>
        <v>0</v>
      </c>
      <c r="L42" s="38">
        <f>IF(IF(L45=0,0,3),3,0)</f>
        <v>0</v>
      </c>
      <c r="M42" s="38">
        <f>IF(IF(M45=0,0,4),4,0)</f>
        <v>0</v>
      </c>
      <c r="N42" s="38">
        <f>IF(IF(N45=0,0,2),2,0)</f>
        <v>0</v>
      </c>
      <c r="O42" s="38">
        <f>IF(IF(O45=0,0,2),2,0)</f>
        <v>0</v>
      </c>
      <c r="P42" s="38">
        <f>IF(IF(P45=0,0,3),3,0)</f>
        <v>0</v>
      </c>
      <c r="Q42" s="38">
        <f>IF(IF(Q45=0,0,3),3,0)</f>
        <v>0</v>
      </c>
      <c r="R42" s="38">
        <f>IF(IF(R45=0,0,4),4,0)</f>
        <v>0</v>
      </c>
      <c r="S42" s="38">
        <f>IF(IF(S45=0,0,2),2,0)</f>
        <v>0</v>
      </c>
      <c r="T42" s="38">
        <f>SUM(F42:S42)</f>
        <v>0</v>
      </c>
      <c r="U42" s="39"/>
      <c r="V42" s="87"/>
      <c r="W42" s="87"/>
      <c r="X42" s="124"/>
    </row>
    <row r="43" spans="2:24" ht="19.5" thickTop="1" thickBot="1" x14ac:dyDescent="0.25">
      <c r="B43" s="99"/>
      <c r="C43" s="95"/>
      <c r="D43" s="88"/>
      <c r="E43" s="40" t="s">
        <v>142</v>
      </c>
      <c r="F43" s="69">
        <v>0</v>
      </c>
      <c r="G43" s="69">
        <v>0</v>
      </c>
      <c r="H43" s="69">
        <v>0</v>
      </c>
      <c r="I43" s="73">
        <v>0</v>
      </c>
      <c r="J43" s="73">
        <v>0</v>
      </c>
      <c r="K43" s="73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69">
        <v>0</v>
      </c>
      <c r="R43" s="41">
        <v>0</v>
      </c>
      <c r="S43" s="41">
        <v>0</v>
      </c>
      <c r="T43" s="42"/>
      <c r="U43" s="43"/>
      <c r="V43" s="88"/>
      <c r="W43" s="88"/>
      <c r="X43" s="115"/>
    </row>
    <row r="44" spans="2:24" ht="19.5" thickTop="1" thickBot="1" x14ac:dyDescent="0.25">
      <c r="B44" s="99"/>
      <c r="C44" s="95"/>
      <c r="D44" s="88"/>
      <c r="E44" s="44" t="s">
        <v>3</v>
      </c>
      <c r="F44" s="70">
        <v>0</v>
      </c>
      <c r="G44" s="70">
        <v>0</v>
      </c>
      <c r="H44" s="70">
        <v>0</v>
      </c>
      <c r="I44" s="70">
        <v>0</v>
      </c>
      <c r="J44" s="70">
        <v>0</v>
      </c>
      <c r="K44" s="70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70">
        <v>0</v>
      </c>
      <c r="R44" s="45">
        <v>0</v>
      </c>
      <c r="S44" s="45">
        <v>0</v>
      </c>
      <c r="T44" s="46"/>
      <c r="U44" s="47"/>
      <c r="V44" s="88"/>
      <c r="W44" s="88"/>
      <c r="X44" s="115"/>
    </row>
    <row r="45" spans="2:24" ht="19.5" thickTop="1" thickBot="1" x14ac:dyDescent="0.25">
      <c r="B45" s="99"/>
      <c r="C45" s="95"/>
      <c r="D45" s="88"/>
      <c r="E45" s="48" t="s">
        <v>4</v>
      </c>
      <c r="F45" s="70">
        <f t="shared" ref="F45:S45" si="21">IF(F44&lt;30,F43,F43+F44)</f>
        <v>0</v>
      </c>
      <c r="G45" s="70">
        <f t="shared" si="21"/>
        <v>0</v>
      </c>
      <c r="H45" s="70">
        <f t="shared" si="21"/>
        <v>0</v>
      </c>
      <c r="I45" s="70">
        <f t="shared" si="21"/>
        <v>0</v>
      </c>
      <c r="J45" s="70">
        <f t="shared" si="21"/>
        <v>0</v>
      </c>
      <c r="K45" s="70">
        <f t="shared" si="21"/>
        <v>0</v>
      </c>
      <c r="L45" s="45">
        <f t="shared" si="21"/>
        <v>0</v>
      </c>
      <c r="M45" s="45">
        <f t="shared" si="21"/>
        <v>0</v>
      </c>
      <c r="N45" s="45">
        <f t="shared" si="21"/>
        <v>0</v>
      </c>
      <c r="O45" s="45">
        <f t="shared" si="21"/>
        <v>0</v>
      </c>
      <c r="P45" s="45">
        <f t="shared" si="21"/>
        <v>0</v>
      </c>
      <c r="Q45" s="70">
        <f t="shared" si="21"/>
        <v>0</v>
      </c>
      <c r="R45" s="45">
        <f t="shared" si="21"/>
        <v>0</v>
      </c>
      <c r="S45" s="45">
        <f t="shared" si="21"/>
        <v>0</v>
      </c>
      <c r="T45" s="46"/>
      <c r="U45" s="47"/>
      <c r="V45" s="88"/>
      <c r="W45" s="88"/>
      <c r="X45" s="115"/>
    </row>
    <row r="46" spans="2:24" ht="37.5" thickTop="1" thickBot="1" x14ac:dyDescent="0.25">
      <c r="B46" s="112"/>
      <c r="C46" s="96"/>
      <c r="D46" s="89"/>
      <c r="E46" s="49" t="s">
        <v>7</v>
      </c>
      <c r="F46" s="71">
        <f t="shared" ref="F46:K46" si="22">SUM(F42*F45)</f>
        <v>0</v>
      </c>
      <c r="G46" s="71">
        <f t="shared" si="22"/>
        <v>0</v>
      </c>
      <c r="H46" s="71">
        <f t="shared" si="22"/>
        <v>0</v>
      </c>
      <c r="I46" s="71">
        <f t="shared" si="22"/>
        <v>0</v>
      </c>
      <c r="J46" s="71">
        <f t="shared" si="22"/>
        <v>0</v>
      </c>
      <c r="K46" s="71">
        <f t="shared" si="22"/>
        <v>0</v>
      </c>
      <c r="L46" s="53">
        <f>SUM(L42*L45)</f>
        <v>0</v>
      </c>
      <c r="M46" s="53">
        <f>SUM(M42*M45)</f>
        <v>0</v>
      </c>
      <c r="N46" s="53">
        <f t="shared" ref="N46:S46" si="23">SUM(N42*N45)</f>
        <v>0</v>
      </c>
      <c r="O46" s="53">
        <f t="shared" si="23"/>
        <v>0</v>
      </c>
      <c r="P46" s="53">
        <f t="shared" si="23"/>
        <v>0</v>
      </c>
      <c r="Q46" s="71">
        <f t="shared" si="23"/>
        <v>0</v>
      </c>
      <c r="R46" s="53">
        <f t="shared" si="23"/>
        <v>0</v>
      </c>
      <c r="S46" s="53">
        <f t="shared" si="23"/>
        <v>0</v>
      </c>
      <c r="T46" s="54">
        <f>SUM(F46:S46)</f>
        <v>0</v>
      </c>
      <c r="U46" s="53" t="e">
        <f>SUM(T46/T42)</f>
        <v>#DIV/0!</v>
      </c>
      <c r="V46" s="89"/>
      <c r="W46" s="89"/>
      <c r="X46" s="116"/>
    </row>
    <row r="47" spans="2:24" ht="20.25" thickTop="1" thickBot="1" x14ac:dyDescent="0.25">
      <c r="B47" s="113">
        <v>-9</v>
      </c>
      <c r="C47" s="97"/>
      <c r="D47" s="87"/>
      <c r="E47" s="37" t="s">
        <v>6</v>
      </c>
      <c r="F47" s="38">
        <f>IF(IF(F50=0,0,2),2,0)</f>
        <v>0</v>
      </c>
      <c r="G47" s="38">
        <f>IF(IF(G50=0,0,3),3,0)</f>
        <v>0</v>
      </c>
      <c r="H47" s="38">
        <f>IF(IF(H50=0,0,4),4,0)</f>
        <v>0</v>
      </c>
      <c r="I47" s="38">
        <f>IF(IF(I50=0,0,4),4,0)</f>
        <v>0</v>
      </c>
      <c r="J47" s="38">
        <f>IF(IF(J50=0,0,4),4,0)</f>
        <v>0</v>
      </c>
      <c r="K47" s="38">
        <f>IF(IF(K50=0,0,4),4,0)</f>
        <v>0</v>
      </c>
      <c r="L47" s="38">
        <f>IF(IF(L50=0,0,3),3,0)</f>
        <v>0</v>
      </c>
      <c r="M47" s="38">
        <f>IF(IF(M50=0,0,4),4,0)</f>
        <v>0</v>
      </c>
      <c r="N47" s="38">
        <f>IF(IF(N50=0,0,2),2,0)</f>
        <v>0</v>
      </c>
      <c r="O47" s="38">
        <f>IF(IF(O50=0,0,2),2,0)</f>
        <v>0</v>
      </c>
      <c r="P47" s="38">
        <f>IF(IF(P50=0,0,3),3,0)</f>
        <v>0</v>
      </c>
      <c r="Q47" s="38">
        <f>IF(IF(Q50=0,0,3),3,0)</f>
        <v>0</v>
      </c>
      <c r="R47" s="38">
        <f>IF(IF(R50=0,0,4),4,0)</f>
        <v>0</v>
      </c>
      <c r="S47" s="38">
        <f>IF(IF(S50=0,0,2),2,0)</f>
        <v>0</v>
      </c>
      <c r="T47" s="38">
        <f>SUM(F47:S47)</f>
        <v>0</v>
      </c>
      <c r="U47" s="39"/>
      <c r="V47" s="87"/>
      <c r="W47" s="87"/>
      <c r="X47" s="124"/>
    </row>
    <row r="48" spans="2:24" ht="19.5" thickTop="1" thickBot="1" x14ac:dyDescent="0.25">
      <c r="B48" s="99"/>
      <c r="C48" s="95"/>
      <c r="D48" s="88"/>
      <c r="E48" s="40" t="s">
        <v>142</v>
      </c>
      <c r="F48" s="69">
        <v>0</v>
      </c>
      <c r="G48" s="69">
        <v>0</v>
      </c>
      <c r="H48" s="69">
        <v>0</v>
      </c>
      <c r="I48" s="73">
        <v>0</v>
      </c>
      <c r="J48" s="73">
        <v>0</v>
      </c>
      <c r="K48" s="73">
        <v>0</v>
      </c>
      <c r="L48" s="41">
        <v>0</v>
      </c>
      <c r="M48" s="41">
        <v>0</v>
      </c>
      <c r="N48" s="41">
        <v>0</v>
      </c>
      <c r="O48" s="41">
        <v>0</v>
      </c>
      <c r="P48" s="41">
        <v>0</v>
      </c>
      <c r="Q48" s="69">
        <v>0</v>
      </c>
      <c r="R48" s="41">
        <v>0</v>
      </c>
      <c r="S48" s="41">
        <v>0</v>
      </c>
      <c r="T48" s="42"/>
      <c r="U48" s="43"/>
      <c r="V48" s="88"/>
      <c r="W48" s="88"/>
      <c r="X48" s="115"/>
    </row>
    <row r="49" spans="2:24" ht="19.5" thickTop="1" thickBot="1" x14ac:dyDescent="0.25">
      <c r="B49" s="99"/>
      <c r="C49" s="95"/>
      <c r="D49" s="88"/>
      <c r="E49" s="44" t="s">
        <v>3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70">
        <v>0</v>
      </c>
      <c r="R49" s="45">
        <v>0</v>
      </c>
      <c r="S49" s="45">
        <v>0</v>
      </c>
      <c r="T49" s="46"/>
      <c r="U49" s="47"/>
      <c r="V49" s="88"/>
      <c r="W49" s="88"/>
      <c r="X49" s="115"/>
    </row>
    <row r="50" spans="2:24" ht="19.5" thickTop="1" thickBot="1" x14ac:dyDescent="0.25">
      <c r="B50" s="99"/>
      <c r="C50" s="95"/>
      <c r="D50" s="88"/>
      <c r="E50" s="48" t="s">
        <v>4</v>
      </c>
      <c r="F50" s="70">
        <f t="shared" ref="F50:S50" si="24">IF(F49&lt;30,F48,F48+F49)</f>
        <v>0</v>
      </c>
      <c r="G50" s="70">
        <f t="shared" si="24"/>
        <v>0</v>
      </c>
      <c r="H50" s="70">
        <f t="shared" si="24"/>
        <v>0</v>
      </c>
      <c r="I50" s="70">
        <f t="shared" si="24"/>
        <v>0</v>
      </c>
      <c r="J50" s="70">
        <f t="shared" si="24"/>
        <v>0</v>
      </c>
      <c r="K50" s="70">
        <f t="shared" si="24"/>
        <v>0</v>
      </c>
      <c r="L50" s="45">
        <f t="shared" si="24"/>
        <v>0</v>
      </c>
      <c r="M50" s="45">
        <f t="shared" si="24"/>
        <v>0</v>
      </c>
      <c r="N50" s="45">
        <f t="shared" si="24"/>
        <v>0</v>
      </c>
      <c r="O50" s="45">
        <f t="shared" si="24"/>
        <v>0</v>
      </c>
      <c r="P50" s="45">
        <f t="shared" si="24"/>
        <v>0</v>
      </c>
      <c r="Q50" s="70">
        <f t="shared" si="24"/>
        <v>0</v>
      </c>
      <c r="R50" s="45">
        <f t="shared" si="24"/>
        <v>0</v>
      </c>
      <c r="S50" s="45">
        <f t="shared" si="24"/>
        <v>0</v>
      </c>
      <c r="T50" s="46"/>
      <c r="U50" s="47"/>
      <c r="V50" s="88"/>
      <c r="W50" s="88"/>
      <c r="X50" s="115"/>
    </row>
    <row r="51" spans="2:24" ht="21.75" customHeight="1" thickTop="1" thickBot="1" x14ac:dyDescent="0.25">
      <c r="B51" s="112"/>
      <c r="C51" s="96"/>
      <c r="D51" s="89"/>
      <c r="E51" s="49" t="s">
        <v>7</v>
      </c>
      <c r="F51" s="71">
        <f t="shared" ref="F51:K51" si="25">SUM(F47*F50)</f>
        <v>0</v>
      </c>
      <c r="G51" s="71">
        <f t="shared" si="25"/>
        <v>0</v>
      </c>
      <c r="H51" s="71">
        <f t="shared" si="25"/>
        <v>0</v>
      </c>
      <c r="I51" s="71">
        <f t="shared" si="25"/>
        <v>0</v>
      </c>
      <c r="J51" s="71">
        <f t="shared" si="25"/>
        <v>0</v>
      </c>
      <c r="K51" s="71">
        <f t="shared" si="25"/>
        <v>0</v>
      </c>
      <c r="L51" s="53">
        <f>SUM(L47*L50)</f>
        <v>0</v>
      </c>
      <c r="M51" s="53">
        <f>SUM(M47*M50)</f>
        <v>0</v>
      </c>
      <c r="N51" s="53">
        <f t="shared" ref="N51:S51" si="26">SUM(N47*N50)</f>
        <v>0</v>
      </c>
      <c r="O51" s="53">
        <f t="shared" si="26"/>
        <v>0</v>
      </c>
      <c r="P51" s="53">
        <f t="shared" si="26"/>
        <v>0</v>
      </c>
      <c r="Q51" s="71">
        <f t="shared" si="26"/>
        <v>0</v>
      </c>
      <c r="R51" s="53">
        <f t="shared" si="26"/>
        <v>0</v>
      </c>
      <c r="S51" s="53">
        <f t="shared" si="26"/>
        <v>0</v>
      </c>
      <c r="T51" s="54">
        <f>SUM(F51:S51)</f>
        <v>0</v>
      </c>
      <c r="U51" s="53" t="e">
        <f>SUM(T51/T47)</f>
        <v>#DIV/0!</v>
      </c>
      <c r="V51" s="89"/>
      <c r="W51" s="89"/>
      <c r="X51" s="116"/>
    </row>
    <row r="52" spans="2:24" ht="20.25" thickTop="1" thickBot="1" x14ac:dyDescent="0.25">
      <c r="B52" s="113">
        <v>-10</v>
      </c>
      <c r="C52" s="97"/>
      <c r="D52" s="87"/>
      <c r="E52" s="37" t="s">
        <v>6</v>
      </c>
      <c r="F52" s="38">
        <f>IF(IF(F55=0,0,2),2,0)</f>
        <v>0</v>
      </c>
      <c r="G52" s="38">
        <f>IF(IF(G55=0,0,3),3,0)</f>
        <v>0</v>
      </c>
      <c r="H52" s="38">
        <f>IF(IF(H55=0,0,4),4,0)</f>
        <v>0</v>
      </c>
      <c r="I52" s="38">
        <f>IF(IF(I55=0,0,4),4,0)</f>
        <v>0</v>
      </c>
      <c r="J52" s="38">
        <f>IF(IF(J55=0,0,4),4,0)</f>
        <v>0</v>
      </c>
      <c r="K52" s="38">
        <f>IF(IF(K55=0,0,4),4,0)</f>
        <v>0</v>
      </c>
      <c r="L52" s="38">
        <f>IF(IF(L55=0,0,3),3,0)</f>
        <v>0</v>
      </c>
      <c r="M52" s="38">
        <f>IF(IF(M55=0,0,4),4,0)</f>
        <v>0</v>
      </c>
      <c r="N52" s="38">
        <f>IF(IF(N55=0,0,2),2,0)</f>
        <v>0</v>
      </c>
      <c r="O52" s="38">
        <f>IF(IF(O55=0,0,2),2,0)</f>
        <v>0</v>
      </c>
      <c r="P52" s="38">
        <f>IF(IF(P55=0,0,3),3,0)</f>
        <v>0</v>
      </c>
      <c r="Q52" s="38">
        <f>IF(IF(Q55=0,0,3),3,0)</f>
        <v>0</v>
      </c>
      <c r="R52" s="38">
        <f>IF(IF(R55=0,0,4),4,0)</f>
        <v>0</v>
      </c>
      <c r="S52" s="38">
        <f>IF(IF(S55=0,0,2),2,0)</f>
        <v>0</v>
      </c>
      <c r="T52" s="38">
        <f>SUM(F52:S52)</f>
        <v>0</v>
      </c>
      <c r="U52" s="39"/>
      <c r="V52" s="87"/>
      <c r="W52" s="87"/>
      <c r="X52" s="124"/>
    </row>
    <row r="53" spans="2:24" ht="19.5" thickTop="1" thickBot="1" x14ac:dyDescent="0.25">
      <c r="B53" s="99"/>
      <c r="C53" s="95"/>
      <c r="D53" s="88"/>
      <c r="E53" s="40" t="s">
        <v>142</v>
      </c>
      <c r="F53" s="69">
        <v>0</v>
      </c>
      <c r="G53" s="69">
        <v>0</v>
      </c>
      <c r="H53" s="69">
        <v>0</v>
      </c>
      <c r="I53" s="73">
        <v>0</v>
      </c>
      <c r="J53" s="73">
        <v>0</v>
      </c>
      <c r="K53" s="73">
        <v>0</v>
      </c>
      <c r="L53" s="41">
        <v>0</v>
      </c>
      <c r="M53" s="41">
        <v>0</v>
      </c>
      <c r="N53" s="41">
        <v>0</v>
      </c>
      <c r="O53" s="41">
        <v>0</v>
      </c>
      <c r="P53" s="41">
        <v>0</v>
      </c>
      <c r="Q53" s="69">
        <v>0</v>
      </c>
      <c r="R53" s="41">
        <v>0</v>
      </c>
      <c r="S53" s="41">
        <v>0</v>
      </c>
      <c r="T53" s="42"/>
      <c r="U53" s="43"/>
      <c r="V53" s="88"/>
      <c r="W53" s="88"/>
      <c r="X53" s="115"/>
    </row>
    <row r="54" spans="2:24" ht="19.5" thickTop="1" thickBot="1" x14ac:dyDescent="0.25">
      <c r="B54" s="99"/>
      <c r="C54" s="95"/>
      <c r="D54" s="88"/>
      <c r="E54" s="44" t="s">
        <v>3</v>
      </c>
      <c r="F54" s="70">
        <v>0</v>
      </c>
      <c r="G54" s="70">
        <v>0</v>
      </c>
      <c r="H54" s="70">
        <v>0</v>
      </c>
      <c r="I54" s="70">
        <v>0</v>
      </c>
      <c r="J54" s="70">
        <v>0</v>
      </c>
      <c r="K54" s="70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70">
        <v>0</v>
      </c>
      <c r="R54" s="45">
        <v>0</v>
      </c>
      <c r="S54" s="45">
        <v>0</v>
      </c>
      <c r="T54" s="46"/>
      <c r="U54" s="47"/>
      <c r="V54" s="88"/>
      <c r="W54" s="88"/>
      <c r="X54" s="115"/>
    </row>
    <row r="55" spans="2:24" ht="19.5" thickTop="1" thickBot="1" x14ac:dyDescent="0.25">
      <c r="B55" s="99"/>
      <c r="C55" s="95"/>
      <c r="D55" s="88"/>
      <c r="E55" s="48" t="s">
        <v>4</v>
      </c>
      <c r="F55" s="70">
        <f t="shared" ref="F55:S55" si="27">IF(F54&lt;30,F53,F53+F54)</f>
        <v>0</v>
      </c>
      <c r="G55" s="70">
        <f t="shared" si="27"/>
        <v>0</v>
      </c>
      <c r="H55" s="70">
        <f t="shared" si="27"/>
        <v>0</v>
      </c>
      <c r="I55" s="70">
        <f t="shared" si="27"/>
        <v>0</v>
      </c>
      <c r="J55" s="70">
        <f t="shared" si="27"/>
        <v>0</v>
      </c>
      <c r="K55" s="70">
        <f t="shared" si="27"/>
        <v>0</v>
      </c>
      <c r="L55" s="45">
        <f t="shared" si="27"/>
        <v>0</v>
      </c>
      <c r="M55" s="45">
        <f t="shared" si="27"/>
        <v>0</v>
      </c>
      <c r="N55" s="45">
        <f t="shared" si="27"/>
        <v>0</v>
      </c>
      <c r="O55" s="45">
        <f t="shared" si="27"/>
        <v>0</v>
      </c>
      <c r="P55" s="45">
        <f t="shared" si="27"/>
        <v>0</v>
      </c>
      <c r="Q55" s="70">
        <f t="shared" si="27"/>
        <v>0</v>
      </c>
      <c r="R55" s="45">
        <f t="shared" si="27"/>
        <v>0</v>
      </c>
      <c r="S55" s="45">
        <f t="shared" si="27"/>
        <v>0</v>
      </c>
      <c r="T55" s="46"/>
      <c r="U55" s="47"/>
      <c r="V55" s="88"/>
      <c r="W55" s="88"/>
      <c r="X55" s="115"/>
    </row>
    <row r="56" spans="2:24" ht="22.5" customHeight="1" thickTop="1" thickBot="1" x14ac:dyDescent="0.25">
      <c r="B56" s="112"/>
      <c r="C56" s="96"/>
      <c r="D56" s="89"/>
      <c r="E56" s="49" t="s">
        <v>7</v>
      </c>
      <c r="F56" s="71">
        <f t="shared" ref="F56:K56" si="28">SUM(F52*F55)</f>
        <v>0</v>
      </c>
      <c r="G56" s="71">
        <f t="shared" si="28"/>
        <v>0</v>
      </c>
      <c r="H56" s="71">
        <f t="shared" si="28"/>
        <v>0</v>
      </c>
      <c r="I56" s="71">
        <f t="shared" si="28"/>
        <v>0</v>
      </c>
      <c r="J56" s="71">
        <f t="shared" si="28"/>
        <v>0</v>
      </c>
      <c r="K56" s="71">
        <f t="shared" si="28"/>
        <v>0</v>
      </c>
      <c r="L56" s="53">
        <f>SUM(L52*L55)</f>
        <v>0</v>
      </c>
      <c r="M56" s="53">
        <f>SUM(M52*M55)</f>
        <v>0</v>
      </c>
      <c r="N56" s="53">
        <f t="shared" ref="N56:S56" si="29">SUM(N52*N55)</f>
        <v>0</v>
      </c>
      <c r="O56" s="53">
        <f t="shared" si="29"/>
        <v>0</v>
      </c>
      <c r="P56" s="53">
        <f t="shared" si="29"/>
        <v>0</v>
      </c>
      <c r="Q56" s="71">
        <f t="shared" si="29"/>
        <v>0</v>
      </c>
      <c r="R56" s="53">
        <f t="shared" si="29"/>
        <v>0</v>
      </c>
      <c r="S56" s="53">
        <f t="shared" si="29"/>
        <v>0</v>
      </c>
      <c r="T56" s="54">
        <f>SUM(F56:S56)</f>
        <v>0</v>
      </c>
      <c r="U56" s="53" t="e">
        <f>SUM(T56/T52)</f>
        <v>#DIV/0!</v>
      </c>
      <c r="V56" s="89"/>
      <c r="W56" s="89"/>
      <c r="X56" s="116"/>
    </row>
    <row r="57" spans="2:24" ht="20.25" thickTop="1" thickBot="1" x14ac:dyDescent="0.25">
      <c r="B57" s="113">
        <v>-11</v>
      </c>
      <c r="C57" s="97"/>
      <c r="D57" s="87"/>
      <c r="E57" s="37" t="s">
        <v>6</v>
      </c>
      <c r="F57" s="38">
        <f>IF(IF(F60=0,0,2),2,0)</f>
        <v>0</v>
      </c>
      <c r="G57" s="38">
        <f>IF(IF(G60=0,0,3),3,0)</f>
        <v>0</v>
      </c>
      <c r="H57" s="38">
        <f>IF(IF(H60=0,0,4),4,0)</f>
        <v>0</v>
      </c>
      <c r="I57" s="38">
        <f>IF(IF(I60=0,0,4),4,0)</f>
        <v>0</v>
      </c>
      <c r="J57" s="38">
        <f>IF(IF(J60=0,0,4),4,0)</f>
        <v>0</v>
      </c>
      <c r="K57" s="38">
        <f>IF(IF(K60=0,0,4),4,0)</f>
        <v>0</v>
      </c>
      <c r="L57" s="38">
        <f>IF(IF(L60=0,0,3),3,0)</f>
        <v>0</v>
      </c>
      <c r="M57" s="38">
        <f>IF(IF(M60=0,0,4),4,0)</f>
        <v>0</v>
      </c>
      <c r="N57" s="38">
        <f>IF(IF(N60=0,0,2),2,0)</f>
        <v>0</v>
      </c>
      <c r="O57" s="38">
        <f>IF(IF(O60=0,0,2),2,0)</f>
        <v>0</v>
      </c>
      <c r="P57" s="38">
        <f>IF(IF(P60=0,0,3),3,0)</f>
        <v>0</v>
      </c>
      <c r="Q57" s="38">
        <f>IF(IF(Q60=0,0,3),3,0)</f>
        <v>0</v>
      </c>
      <c r="R57" s="38">
        <f>IF(IF(R60=0,0,4),4,0)</f>
        <v>0</v>
      </c>
      <c r="S57" s="38">
        <f>IF(IF(S60=0,0,2),2,0)</f>
        <v>0</v>
      </c>
      <c r="T57" s="38">
        <f>SUM(F57:S57)</f>
        <v>0</v>
      </c>
      <c r="U57" s="39"/>
      <c r="V57" s="87"/>
      <c r="W57" s="87"/>
      <c r="X57" s="124"/>
    </row>
    <row r="58" spans="2:24" ht="19.5" thickTop="1" thickBot="1" x14ac:dyDescent="0.25">
      <c r="B58" s="99"/>
      <c r="C58" s="95"/>
      <c r="D58" s="88"/>
      <c r="E58" s="40" t="s">
        <v>142</v>
      </c>
      <c r="F58" s="69">
        <v>0</v>
      </c>
      <c r="G58" s="69">
        <v>0</v>
      </c>
      <c r="H58" s="69">
        <v>0</v>
      </c>
      <c r="I58" s="73">
        <v>0</v>
      </c>
      <c r="J58" s="73">
        <v>0</v>
      </c>
      <c r="K58" s="73">
        <v>0</v>
      </c>
      <c r="L58" s="41">
        <v>0</v>
      </c>
      <c r="M58" s="41">
        <v>0</v>
      </c>
      <c r="N58" s="41">
        <v>0</v>
      </c>
      <c r="O58" s="41">
        <v>0</v>
      </c>
      <c r="P58" s="41">
        <v>0</v>
      </c>
      <c r="Q58" s="69">
        <v>0</v>
      </c>
      <c r="R58" s="41">
        <v>0</v>
      </c>
      <c r="S58" s="41">
        <v>0</v>
      </c>
      <c r="T58" s="42"/>
      <c r="U58" s="43"/>
      <c r="V58" s="88"/>
      <c r="W58" s="88"/>
      <c r="X58" s="115"/>
    </row>
    <row r="59" spans="2:24" ht="19.5" thickTop="1" thickBot="1" x14ac:dyDescent="0.25">
      <c r="B59" s="99"/>
      <c r="C59" s="95"/>
      <c r="D59" s="88"/>
      <c r="E59" s="44" t="s">
        <v>3</v>
      </c>
      <c r="F59" s="70">
        <v>0</v>
      </c>
      <c r="G59" s="70">
        <v>0</v>
      </c>
      <c r="H59" s="70">
        <v>0</v>
      </c>
      <c r="I59" s="70">
        <v>0</v>
      </c>
      <c r="J59" s="70">
        <v>0</v>
      </c>
      <c r="K59" s="70">
        <v>0</v>
      </c>
      <c r="L59" s="45">
        <v>0</v>
      </c>
      <c r="M59" s="45">
        <v>0</v>
      </c>
      <c r="N59" s="45">
        <v>0</v>
      </c>
      <c r="O59" s="45">
        <v>0</v>
      </c>
      <c r="P59" s="45">
        <v>0</v>
      </c>
      <c r="Q59" s="70">
        <v>0</v>
      </c>
      <c r="R59" s="45">
        <v>0</v>
      </c>
      <c r="S59" s="45">
        <v>0</v>
      </c>
      <c r="T59" s="46"/>
      <c r="U59" s="47"/>
      <c r="V59" s="88"/>
      <c r="W59" s="88"/>
      <c r="X59" s="115"/>
    </row>
    <row r="60" spans="2:24" ht="19.5" thickTop="1" thickBot="1" x14ac:dyDescent="0.25">
      <c r="B60" s="99"/>
      <c r="C60" s="95"/>
      <c r="D60" s="88"/>
      <c r="E60" s="48" t="s">
        <v>4</v>
      </c>
      <c r="F60" s="70">
        <f t="shared" ref="F60:S60" si="30">IF(F59&lt;30,F58,F58+F59)</f>
        <v>0</v>
      </c>
      <c r="G60" s="70">
        <f t="shared" si="30"/>
        <v>0</v>
      </c>
      <c r="H60" s="70">
        <f t="shared" si="30"/>
        <v>0</v>
      </c>
      <c r="I60" s="70">
        <f t="shared" si="30"/>
        <v>0</v>
      </c>
      <c r="J60" s="70">
        <f t="shared" si="30"/>
        <v>0</v>
      </c>
      <c r="K60" s="70">
        <f t="shared" si="30"/>
        <v>0</v>
      </c>
      <c r="L60" s="45">
        <f t="shared" si="30"/>
        <v>0</v>
      </c>
      <c r="M60" s="45">
        <f t="shared" si="30"/>
        <v>0</v>
      </c>
      <c r="N60" s="45">
        <f t="shared" si="30"/>
        <v>0</v>
      </c>
      <c r="O60" s="45">
        <f t="shared" si="30"/>
        <v>0</v>
      </c>
      <c r="P60" s="45">
        <f t="shared" si="30"/>
        <v>0</v>
      </c>
      <c r="Q60" s="70">
        <f t="shared" si="30"/>
        <v>0</v>
      </c>
      <c r="R60" s="45">
        <f t="shared" si="30"/>
        <v>0</v>
      </c>
      <c r="S60" s="45">
        <f t="shared" si="30"/>
        <v>0</v>
      </c>
      <c r="T60" s="46"/>
      <c r="U60" s="47"/>
      <c r="V60" s="88"/>
      <c r="W60" s="88"/>
      <c r="X60" s="115"/>
    </row>
    <row r="61" spans="2:24" ht="23.25" customHeight="1" thickTop="1" thickBot="1" x14ac:dyDescent="0.25">
      <c r="B61" s="112"/>
      <c r="C61" s="96"/>
      <c r="D61" s="89"/>
      <c r="E61" s="49" t="s">
        <v>7</v>
      </c>
      <c r="F61" s="71">
        <f t="shared" ref="F61:K61" si="31">SUM(F57*F60)</f>
        <v>0</v>
      </c>
      <c r="G61" s="71">
        <f t="shared" si="31"/>
        <v>0</v>
      </c>
      <c r="H61" s="71">
        <f t="shared" si="31"/>
        <v>0</v>
      </c>
      <c r="I61" s="71">
        <f t="shared" si="31"/>
        <v>0</v>
      </c>
      <c r="J61" s="71">
        <f t="shared" si="31"/>
        <v>0</v>
      </c>
      <c r="K61" s="71">
        <f t="shared" si="31"/>
        <v>0</v>
      </c>
      <c r="L61" s="53">
        <f>SUM(L57*L60)</f>
        <v>0</v>
      </c>
      <c r="M61" s="53">
        <f>SUM(M57*M60)</f>
        <v>0</v>
      </c>
      <c r="N61" s="53">
        <f t="shared" ref="N61:S61" si="32">SUM(N57*N60)</f>
        <v>0</v>
      </c>
      <c r="O61" s="53">
        <f t="shared" si="32"/>
        <v>0</v>
      </c>
      <c r="P61" s="53">
        <f t="shared" si="32"/>
        <v>0</v>
      </c>
      <c r="Q61" s="71">
        <f t="shared" si="32"/>
        <v>0</v>
      </c>
      <c r="R61" s="53">
        <f t="shared" si="32"/>
        <v>0</v>
      </c>
      <c r="S61" s="53">
        <f t="shared" si="32"/>
        <v>0</v>
      </c>
      <c r="T61" s="54">
        <f>SUM(F61:S61)</f>
        <v>0</v>
      </c>
      <c r="U61" s="53" t="e">
        <f>SUM(T61/T57)</f>
        <v>#DIV/0!</v>
      </c>
      <c r="V61" s="89"/>
      <c r="W61" s="89"/>
      <c r="X61" s="116"/>
    </row>
    <row r="62" spans="2:24" ht="20.25" thickTop="1" thickBot="1" x14ac:dyDescent="0.25">
      <c r="B62" s="113">
        <v>-12</v>
      </c>
      <c r="C62" s="97"/>
      <c r="D62" s="87"/>
      <c r="E62" s="37" t="s">
        <v>6</v>
      </c>
      <c r="F62" s="38">
        <f>IF(IF(F65=0,0,2),2,0)</f>
        <v>0</v>
      </c>
      <c r="G62" s="38">
        <f>IF(IF(G65=0,0,3),3,0)</f>
        <v>0</v>
      </c>
      <c r="H62" s="38">
        <f>IF(IF(H65=0,0,4),4,0)</f>
        <v>0</v>
      </c>
      <c r="I62" s="38">
        <f>IF(IF(I65=0,0,4),4,0)</f>
        <v>0</v>
      </c>
      <c r="J62" s="38">
        <f>IF(IF(J65=0,0,4),4,0)</f>
        <v>0</v>
      </c>
      <c r="K62" s="38">
        <f>IF(IF(K65=0,0,4),4,0)</f>
        <v>0</v>
      </c>
      <c r="L62" s="38">
        <f>IF(IF(L65=0,0,3),3,0)</f>
        <v>0</v>
      </c>
      <c r="M62" s="38">
        <f>IF(IF(M65=0,0,4),4,0)</f>
        <v>0</v>
      </c>
      <c r="N62" s="38">
        <f>IF(IF(N65=0,0,2),2,0)</f>
        <v>0</v>
      </c>
      <c r="O62" s="38">
        <f>IF(IF(O65=0,0,2),2,0)</f>
        <v>0</v>
      </c>
      <c r="P62" s="38">
        <f>IF(IF(P65=0,0,3),3,0)</f>
        <v>0</v>
      </c>
      <c r="Q62" s="38">
        <f>IF(IF(Q65=0,0,3),3,0)</f>
        <v>0</v>
      </c>
      <c r="R62" s="38">
        <f>IF(IF(R65=0,0,4),4,0)</f>
        <v>0</v>
      </c>
      <c r="S62" s="38">
        <f>IF(IF(S65=0,0,2),2,0)</f>
        <v>0</v>
      </c>
      <c r="T62" s="38">
        <f>SUM(F62:S62)</f>
        <v>0</v>
      </c>
      <c r="U62" s="39"/>
      <c r="V62" s="87"/>
      <c r="W62" s="87"/>
      <c r="X62" s="124"/>
    </row>
    <row r="63" spans="2:24" ht="19.5" thickTop="1" thickBot="1" x14ac:dyDescent="0.25">
      <c r="B63" s="99"/>
      <c r="C63" s="95"/>
      <c r="D63" s="88"/>
      <c r="E63" s="40" t="s">
        <v>142</v>
      </c>
      <c r="F63" s="69">
        <v>0</v>
      </c>
      <c r="G63" s="69">
        <v>0</v>
      </c>
      <c r="H63" s="69">
        <v>0</v>
      </c>
      <c r="I63" s="73">
        <v>0</v>
      </c>
      <c r="J63" s="73">
        <v>0</v>
      </c>
      <c r="K63" s="73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69">
        <v>0</v>
      </c>
      <c r="R63" s="41">
        <v>0</v>
      </c>
      <c r="S63" s="41">
        <v>0</v>
      </c>
      <c r="T63" s="42"/>
      <c r="U63" s="43"/>
      <c r="V63" s="88"/>
      <c r="W63" s="88"/>
      <c r="X63" s="115"/>
    </row>
    <row r="64" spans="2:24" ht="19.5" thickTop="1" thickBot="1" x14ac:dyDescent="0.25">
      <c r="B64" s="99"/>
      <c r="C64" s="95"/>
      <c r="D64" s="88"/>
      <c r="E64" s="44" t="s">
        <v>3</v>
      </c>
      <c r="F64" s="70">
        <v>0</v>
      </c>
      <c r="G64" s="70">
        <v>0</v>
      </c>
      <c r="H64" s="70">
        <v>0</v>
      </c>
      <c r="I64" s="70">
        <v>0</v>
      </c>
      <c r="J64" s="70">
        <v>0</v>
      </c>
      <c r="K64" s="70">
        <v>0</v>
      </c>
      <c r="L64" s="45">
        <v>0</v>
      </c>
      <c r="M64" s="45">
        <v>0</v>
      </c>
      <c r="N64" s="45">
        <v>0</v>
      </c>
      <c r="O64" s="45">
        <v>0</v>
      </c>
      <c r="P64" s="45">
        <v>0</v>
      </c>
      <c r="Q64" s="70">
        <v>0</v>
      </c>
      <c r="R64" s="45">
        <v>0</v>
      </c>
      <c r="S64" s="45">
        <v>0</v>
      </c>
      <c r="T64" s="46"/>
      <c r="U64" s="47"/>
      <c r="V64" s="88"/>
      <c r="W64" s="88"/>
      <c r="X64" s="115"/>
    </row>
    <row r="65" spans="2:24" ht="19.5" thickTop="1" thickBot="1" x14ac:dyDescent="0.25">
      <c r="B65" s="99"/>
      <c r="C65" s="95"/>
      <c r="D65" s="88"/>
      <c r="E65" s="48" t="s">
        <v>4</v>
      </c>
      <c r="F65" s="70">
        <f t="shared" ref="F65:S65" si="33">IF(F64&lt;30,F63,F63+F64)</f>
        <v>0</v>
      </c>
      <c r="G65" s="70">
        <f t="shared" si="33"/>
        <v>0</v>
      </c>
      <c r="H65" s="70">
        <f t="shared" si="33"/>
        <v>0</v>
      </c>
      <c r="I65" s="70">
        <f t="shared" si="33"/>
        <v>0</v>
      </c>
      <c r="J65" s="70">
        <f t="shared" si="33"/>
        <v>0</v>
      </c>
      <c r="K65" s="70">
        <f t="shared" si="33"/>
        <v>0</v>
      </c>
      <c r="L65" s="45">
        <f t="shared" si="33"/>
        <v>0</v>
      </c>
      <c r="M65" s="45">
        <f t="shared" si="33"/>
        <v>0</v>
      </c>
      <c r="N65" s="45">
        <f t="shared" si="33"/>
        <v>0</v>
      </c>
      <c r="O65" s="45">
        <f t="shared" si="33"/>
        <v>0</v>
      </c>
      <c r="P65" s="45">
        <f t="shared" si="33"/>
        <v>0</v>
      </c>
      <c r="Q65" s="70">
        <f t="shared" si="33"/>
        <v>0</v>
      </c>
      <c r="R65" s="45">
        <f t="shared" si="33"/>
        <v>0</v>
      </c>
      <c r="S65" s="45">
        <f t="shared" si="33"/>
        <v>0</v>
      </c>
      <c r="T65" s="46"/>
      <c r="U65" s="47"/>
      <c r="V65" s="88"/>
      <c r="W65" s="88"/>
      <c r="X65" s="115"/>
    </row>
    <row r="66" spans="2:24" ht="20.25" customHeight="1" thickTop="1" thickBot="1" x14ac:dyDescent="0.25">
      <c r="B66" s="112"/>
      <c r="C66" s="96"/>
      <c r="D66" s="89"/>
      <c r="E66" s="49" t="s">
        <v>7</v>
      </c>
      <c r="F66" s="71">
        <f t="shared" ref="F66:K66" si="34">SUM(F62*F65)</f>
        <v>0</v>
      </c>
      <c r="G66" s="71">
        <f t="shared" si="34"/>
        <v>0</v>
      </c>
      <c r="H66" s="71">
        <f t="shared" si="34"/>
        <v>0</v>
      </c>
      <c r="I66" s="71">
        <f t="shared" si="34"/>
        <v>0</v>
      </c>
      <c r="J66" s="71">
        <f t="shared" si="34"/>
        <v>0</v>
      </c>
      <c r="K66" s="71">
        <f t="shared" si="34"/>
        <v>0</v>
      </c>
      <c r="L66" s="53">
        <f>SUM(L62*L65)</f>
        <v>0</v>
      </c>
      <c r="M66" s="53">
        <f>SUM(M62*M65)</f>
        <v>0</v>
      </c>
      <c r="N66" s="53">
        <f t="shared" ref="N66:S66" si="35">SUM(N62*N65)</f>
        <v>0</v>
      </c>
      <c r="O66" s="53">
        <f t="shared" si="35"/>
        <v>0</v>
      </c>
      <c r="P66" s="53">
        <f t="shared" si="35"/>
        <v>0</v>
      </c>
      <c r="Q66" s="71">
        <f t="shared" si="35"/>
        <v>0</v>
      </c>
      <c r="R66" s="53">
        <f t="shared" si="35"/>
        <v>0</v>
      </c>
      <c r="S66" s="53">
        <f t="shared" si="35"/>
        <v>0</v>
      </c>
      <c r="T66" s="54">
        <f>SUM(F66:S66)</f>
        <v>0</v>
      </c>
      <c r="U66" s="53" t="e">
        <f>SUM(T66/T62)</f>
        <v>#DIV/0!</v>
      </c>
      <c r="V66" s="89"/>
      <c r="W66" s="89"/>
      <c r="X66" s="116"/>
    </row>
    <row r="67" spans="2:24" ht="20.25" thickTop="1" thickBot="1" x14ac:dyDescent="0.25">
      <c r="B67" s="113">
        <v>-13</v>
      </c>
      <c r="C67" s="97"/>
      <c r="D67" s="87"/>
      <c r="E67" s="37" t="s">
        <v>6</v>
      </c>
      <c r="F67" s="38">
        <f>IF(IF(F70=0,0,2),2,0)</f>
        <v>0</v>
      </c>
      <c r="G67" s="38">
        <f>IF(IF(G70=0,0,3),3,0)</f>
        <v>0</v>
      </c>
      <c r="H67" s="38">
        <f>IF(IF(H70=0,0,4),4,0)</f>
        <v>0</v>
      </c>
      <c r="I67" s="38">
        <f>IF(IF(I70=0,0,4),4,0)</f>
        <v>0</v>
      </c>
      <c r="J67" s="38">
        <f>IF(IF(J70=0,0,4),4,0)</f>
        <v>0</v>
      </c>
      <c r="K67" s="38">
        <f>IF(IF(K70=0,0,4),4,0)</f>
        <v>0</v>
      </c>
      <c r="L67" s="38">
        <f>IF(IF(L70=0,0,3),3,0)</f>
        <v>0</v>
      </c>
      <c r="M67" s="38">
        <f>IF(IF(M70=0,0,4),4,0)</f>
        <v>0</v>
      </c>
      <c r="N67" s="38">
        <f>IF(IF(N70=0,0,2),2,0)</f>
        <v>0</v>
      </c>
      <c r="O67" s="38">
        <f>IF(IF(O70=0,0,2),2,0)</f>
        <v>0</v>
      </c>
      <c r="P67" s="38">
        <f>IF(IF(P70=0,0,3),3,0)</f>
        <v>0</v>
      </c>
      <c r="Q67" s="38">
        <f>IF(IF(Q70=0,0,3),3,0)</f>
        <v>0</v>
      </c>
      <c r="R67" s="38">
        <f>IF(IF(R70=0,0,4),4,0)</f>
        <v>0</v>
      </c>
      <c r="S67" s="38">
        <f>IF(IF(S70=0,0,2),2,0)</f>
        <v>0</v>
      </c>
      <c r="T67" s="38">
        <f>SUM(F67:S67)</f>
        <v>0</v>
      </c>
      <c r="U67" s="39"/>
      <c r="V67" s="87"/>
      <c r="W67" s="87"/>
      <c r="X67" s="124"/>
    </row>
    <row r="68" spans="2:24" ht="19.5" thickTop="1" thickBot="1" x14ac:dyDescent="0.25">
      <c r="B68" s="99"/>
      <c r="C68" s="95"/>
      <c r="D68" s="88"/>
      <c r="E68" s="40" t="s">
        <v>142</v>
      </c>
      <c r="F68" s="69">
        <v>0</v>
      </c>
      <c r="G68" s="69">
        <v>0</v>
      </c>
      <c r="H68" s="69">
        <v>0</v>
      </c>
      <c r="I68" s="73">
        <v>0</v>
      </c>
      <c r="J68" s="73">
        <v>0</v>
      </c>
      <c r="K68" s="73">
        <v>0</v>
      </c>
      <c r="L68" s="41">
        <v>0</v>
      </c>
      <c r="M68" s="41">
        <v>0</v>
      </c>
      <c r="N68" s="41">
        <v>0</v>
      </c>
      <c r="O68" s="41">
        <v>0</v>
      </c>
      <c r="P68" s="41">
        <v>0</v>
      </c>
      <c r="Q68" s="69">
        <v>0</v>
      </c>
      <c r="R68" s="41">
        <v>0</v>
      </c>
      <c r="S68" s="41">
        <v>0</v>
      </c>
      <c r="T68" s="42"/>
      <c r="U68" s="43"/>
      <c r="V68" s="88"/>
      <c r="W68" s="88"/>
      <c r="X68" s="115"/>
    </row>
    <row r="69" spans="2:24" ht="19.5" thickTop="1" thickBot="1" x14ac:dyDescent="0.25">
      <c r="B69" s="99"/>
      <c r="C69" s="95"/>
      <c r="D69" s="88"/>
      <c r="E69" s="44" t="s">
        <v>3</v>
      </c>
      <c r="F69" s="70">
        <v>0</v>
      </c>
      <c r="G69" s="70">
        <v>0</v>
      </c>
      <c r="H69" s="70">
        <v>0</v>
      </c>
      <c r="I69" s="70">
        <v>0</v>
      </c>
      <c r="J69" s="70">
        <v>0</v>
      </c>
      <c r="K69" s="70">
        <v>0</v>
      </c>
      <c r="L69" s="45">
        <v>0</v>
      </c>
      <c r="M69" s="45">
        <v>0</v>
      </c>
      <c r="N69" s="45">
        <v>0</v>
      </c>
      <c r="O69" s="45">
        <v>0</v>
      </c>
      <c r="P69" s="45">
        <v>0</v>
      </c>
      <c r="Q69" s="70">
        <v>0</v>
      </c>
      <c r="R69" s="45">
        <v>0</v>
      </c>
      <c r="S69" s="45">
        <v>0</v>
      </c>
      <c r="T69" s="46"/>
      <c r="U69" s="47"/>
      <c r="V69" s="88"/>
      <c r="W69" s="88"/>
      <c r="X69" s="115"/>
    </row>
    <row r="70" spans="2:24" ht="19.5" thickTop="1" thickBot="1" x14ac:dyDescent="0.25">
      <c r="B70" s="99"/>
      <c r="C70" s="95"/>
      <c r="D70" s="88"/>
      <c r="E70" s="48" t="s">
        <v>4</v>
      </c>
      <c r="F70" s="70">
        <f t="shared" ref="F70:S70" si="36">IF(F69&lt;30,F68,F68+F69)</f>
        <v>0</v>
      </c>
      <c r="G70" s="70">
        <f t="shared" si="36"/>
        <v>0</v>
      </c>
      <c r="H70" s="70">
        <f t="shared" si="36"/>
        <v>0</v>
      </c>
      <c r="I70" s="70">
        <f t="shared" si="36"/>
        <v>0</v>
      </c>
      <c r="J70" s="70">
        <f t="shared" si="36"/>
        <v>0</v>
      </c>
      <c r="K70" s="70">
        <f t="shared" si="36"/>
        <v>0</v>
      </c>
      <c r="L70" s="45">
        <f t="shared" si="36"/>
        <v>0</v>
      </c>
      <c r="M70" s="45">
        <f t="shared" si="36"/>
        <v>0</v>
      </c>
      <c r="N70" s="45">
        <f t="shared" si="36"/>
        <v>0</v>
      </c>
      <c r="O70" s="45">
        <f t="shared" si="36"/>
        <v>0</v>
      </c>
      <c r="P70" s="45">
        <f t="shared" si="36"/>
        <v>0</v>
      </c>
      <c r="Q70" s="70">
        <f t="shared" si="36"/>
        <v>0</v>
      </c>
      <c r="R70" s="45">
        <f t="shared" si="36"/>
        <v>0</v>
      </c>
      <c r="S70" s="45">
        <f t="shared" si="36"/>
        <v>0</v>
      </c>
      <c r="T70" s="46"/>
      <c r="U70" s="47"/>
      <c r="V70" s="88"/>
      <c r="W70" s="88"/>
      <c r="X70" s="115"/>
    </row>
    <row r="71" spans="2:24" ht="24" customHeight="1" thickTop="1" thickBot="1" x14ac:dyDescent="0.25">
      <c r="B71" s="108"/>
      <c r="C71" s="96"/>
      <c r="D71" s="89"/>
      <c r="E71" s="52" t="s">
        <v>7</v>
      </c>
      <c r="F71" s="71">
        <f t="shared" ref="F71:K71" si="37">SUM(F67*F70)</f>
        <v>0</v>
      </c>
      <c r="G71" s="71">
        <f t="shared" si="37"/>
        <v>0</v>
      </c>
      <c r="H71" s="71">
        <f t="shared" si="37"/>
        <v>0</v>
      </c>
      <c r="I71" s="71">
        <f t="shared" si="37"/>
        <v>0</v>
      </c>
      <c r="J71" s="71">
        <f t="shared" si="37"/>
        <v>0</v>
      </c>
      <c r="K71" s="71">
        <f t="shared" si="37"/>
        <v>0</v>
      </c>
      <c r="L71" s="53">
        <f>SUM(L67*L70)</f>
        <v>0</v>
      </c>
      <c r="M71" s="53">
        <f>SUM(M67*M70)</f>
        <v>0</v>
      </c>
      <c r="N71" s="53">
        <f t="shared" ref="N71:S71" si="38">SUM(N67*N70)</f>
        <v>0</v>
      </c>
      <c r="O71" s="53">
        <f t="shared" si="38"/>
        <v>0</v>
      </c>
      <c r="P71" s="53">
        <f t="shared" si="38"/>
        <v>0</v>
      </c>
      <c r="Q71" s="71">
        <f t="shared" si="38"/>
        <v>0</v>
      </c>
      <c r="R71" s="53">
        <f t="shared" si="38"/>
        <v>0</v>
      </c>
      <c r="S71" s="53">
        <f t="shared" si="38"/>
        <v>0</v>
      </c>
      <c r="T71" s="54">
        <f>SUM(F71:S71)</f>
        <v>0</v>
      </c>
      <c r="U71" s="53" t="e">
        <f>SUM(T71/T67)</f>
        <v>#DIV/0!</v>
      </c>
      <c r="V71" s="89"/>
      <c r="W71" s="89"/>
      <c r="X71" s="116"/>
    </row>
    <row r="72" spans="2:24" ht="13.5" thickTop="1" x14ac:dyDescent="0.2"/>
  </sheetData>
  <mergeCells count="87">
    <mergeCell ref="B67:B71"/>
    <mergeCell ref="C67:C71"/>
    <mergeCell ref="D67:D71"/>
    <mergeCell ref="V67:V71"/>
    <mergeCell ref="W67:W71"/>
    <mergeCell ref="X67:X71"/>
    <mergeCell ref="B62:B66"/>
    <mergeCell ref="C62:C66"/>
    <mergeCell ref="D62:D66"/>
    <mergeCell ref="V62:V66"/>
    <mergeCell ref="W62:W66"/>
    <mergeCell ref="X62:X66"/>
    <mergeCell ref="B57:B61"/>
    <mergeCell ref="C57:C61"/>
    <mergeCell ref="D57:D61"/>
    <mergeCell ref="V57:V61"/>
    <mergeCell ref="W57:W61"/>
    <mergeCell ref="X57:X61"/>
    <mergeCell ref="B52:B56"/>
    <mergeCell ref="C52:C56"/>
    <mergeCell ref="D52:D56"/>
    <mergeCell ref="V52:V56"/>
    <mergeCell ref="W52:W56"/>
    <mergeCell ref="X52:X56"/>
    <mergeCell ref="B47:B51"/>
    <mergeCell ref="C47:C51"/>
    <mergeCell ref="D47:D51"/>
    <mergeCell ref="V47:V51"/>
    <mergeCell ref="W47:W51"/>
    <mergeCell ref="X47:X51"/>
    <mergeCell ref="B42:B46"/>
    <mergeCell ref="C42:C46"/>
    <mergeCell ref="D42:D46"/>
    <mergeCell ref="V42:V46"/>
    <mergeCell ref="W42:W46"/>
    <mergeCell ref="X42:X46"/>
    <mergeCell ref="B37:B41"/>
    <mergeCell ref="C37:C41"/>
    <mergeCell ref="D37:D41"/>
    <mergeCell ref="V37:V41"/>
    <mergeCell ref="W37:W41"/>
    <mergeCell ref="X37:X41"/>
    <mergeCell ref="B32:B36"/>
    <mergeCell ref="C32:C36"/>
    <mergeCell ref="D32:D36"/>
    <mergeCell ref="V32:V36"/>
    <mergeCell ref="W32:W36"/>
    <mergeCell ref="X32:X36"/>
    <mergeCell ref="B27:B31"/>
    <mergeCell ref="C27:C31"/>
    <mergeCell ref="D27:D31"/>
    <mergeCell ref="V27:V31"/>
    <mergeCell ref="W27:W31"/>
    <mergeCell ref="X27:X31"/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K5"/>
    <mergeCell ref="L5:S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E40B6-F7C7-4911-A990-9546BE2316B9}">
  <dimension ref="B4:W72"/>
  <sheetViews>
    <sheetView rightToLeft="1" workbookViewId="0">
      <selection activeCell="AA10" sqref="AA10"/>
    </sheetView>
  </sheetViews>
  <sheetFormatPr defaultRowHeight="12.75" x14ac:dyDescent="0.2"/>
  <sheetData>
    <row r="4" spans="2:23" ht="13.5" thickBot="1" x14ac:dyDescent="0.25"/>
    <row r="5" spans="2:23" ht="16.5" thickTop="1" thickBot="1" x14ac:dyDescent="0.25">
      <c r="B5" s="137" t="s">
        <v>0</v>
      </c>
      <c r="C5" s="133" t="s">
        <v>8</v>
      </c>
      <c r="D5" s="128" t="s">
        <v>1</v>
      </c>
      <c r="E5" s="133" t="s">
        <v>2</v>
      </c>
      <c r="F5" s="130" t="s">
        <v>48</v>
      </c>
      <c r="G5" s="131"/>
      <c r="H5" s="131"/>
      <c r="I5" s="131"/>
      <c r="J5" s="131"/>
      <c r="K5" s="131"/>
      <c r="L5" s="132"/>
      <c r="M5" s="139" t="s">
        <v>49</v>
      </c>
      <c r="N5" s="140"/>
      <c r="O5" s="140"/>
      <c r="P5" s="140"/>
      <c r="Q5" s="140"/>
      <c r="R5" s="140"/>
      <c r="S5" s="128" t="s">
        <v>4</v>
      </c>
      <c r="T5" s="128" t="s">
        <v>9</v>
      </c>
      <c r="U5" s="27"/>
      <c r="V5" s="128" t="s">
        <v>42</v>
      </c>
      <c r="W5" s="28"/>
    </row>
    <row r="6" spans="2:23" ht="120.75" thickTop="1" thickBot="1" x14ac:dyDescent="0.25">
      <c r="B6" s="138"/>
      <c r="C6" s="143"/>
      <c r="D6" s="135"/>
      <c r="E6" s="134"/>
      <c r="F6" s="25" t="s">
        <v>54</v>
      </c>
      <c r="G6" s="25" t="s">
        <v>50</v>
      </c>
      <c r="H6" s="25" t="s">
        <v>13</v>
      </c>
      <c r="I6" s="25" t="s">
        <v>51</v>
      </c>
      <c r="J6" s="25" t="s">
        <v>29</v>
      </c>
      <c r="K6" s="25" t="s">
        <v>52</v>
      </c>
      <c r="L6" s="25" t="s">
        <v>37</v>
      </c>
      <c r="M6" s="25" t="s">
        <v>10</v>
      </c>
      <c r="N6" s="25" t="s">
        <v>23</v>
      </c>
      <c r="O6" s="25" t="s">
        <v>24</v>
      </c>
      <c r="P6" s="25" t="s">
        <v>34</v>
      </c>
      <c r="Q6" s="25" t="s">
        <v>25</v>
      </c>
      <c r="R6" s="25" t="s">
        <v>26</v>
      </c>
      <c r="S6" s="129"/>
      <c r="T6" s="129"/>
      <c r="U6" s="25" t="s">
        <v>41</v>
      </c>
      <c r="V6" s="129"/>
      <c r="W6" s="26" t="s">
        <v>43</v>
      </c>
    </row>
    <row r="7" spans="2:23" ht="20.25" thickTop="1" thickBot="1" x14ac:dyDescent="0.35">
      <c r="B7" s="126">
        <v>-1</v>
      </c>
      <c r="C7" s="94" t="s">
        <v>101</v>
      </c>
      <c r="D7" s="87" t="s">
        <v>148</v>
      </c>
      <c r="E7" s="9" t="s">
        <v>6</v>
      </c>
      <c r="F7" s="38">
        <f>IF(IF(F10=0,0,2),2,0)</f>
        <v>2</v>
      </c>
      <c r="G7" s="38">
        <f>IF(IF(G10=0,0,4),4,0)</f>
        <v>4</v>
      </c>
      <c r="H7" s="38">
        <f>IF(IF(H10=0,0,4),4,0)</f>
        <v>0</v>
      </c>
      <c r="I7" s="38">
        <f>IF(IF(I10=0,0,4),4,0)</f>
        <v>4</v>
      </c>
      <c r="J7" s="38">
        <f>IF(IF(J10=0,0,4),4,0)</f>
        <v>4</v>
      </c>
      <c r="K7" s="38">
        <f>IF(IF(K10=0,0,3),3,0)</f>
        <v>3</v>
      </c>
      <c r="L7" s="38">
        <f>IF(IF(L10=0,0,4),4,0)</f>
        <v>0</v>
      </c>
      <c r="M7" s="38">
        <f>IF(IF(M10=0,0,2),2,0)</f>
        <v>0</v>
      </c>
      <c r="N7" s="38">
        <f>IF(IF(N10=0,0,3),3,0)</f>
        <v>0</v>
      </c>
      <c r="O7" s="38">
        <f>IF(IF(O10=0,0,4),4,0)</f>
        <v>0</v>
      </c>
      <c r="P7" s="38">
        <f>IF(IF(P10=0,0,4),4,0)</f>
        <v>0</v>
      </c>
      <c r="Q7" s="38">
        <f>IF(IF(Q10=0,0,4),4,0)</f>
        <v>0</v>
      </c>
      <c r="R7" s="38">
        <f>IF(IF(R10=0,0,4),4,0)</f>
        <v>0</v>
      </c>
      <c r="S7" s="38">
        <f>SUM(F7:R7)</f>
        <v>17</v>
      </c>
      <c r="T7" s="39"/>
      <c r="U7" s="87"/>
      <c r="V7" s="87"/>
      <c r="W7" s="124"/>
    </row>
    <row r="8" spans="2:23" ht="19.5" thickTop="1" thickBot="1" x14ac:dyDescent="0.3">
      <c r="B8" s="120"/>
      <c r="C8" s="95"/>
      <c r="D8" s="88"/>
      <c r="E8" s="29" t="s">
        <v>142</v>
      </c>
      <c r="F8" s="41">
        <v>35</v>
      </c>
      <c r="G8" s="41">
        <v>0</v>
      </c>
      <c r="H8" s="41">
        <v>0</v>
      </c>
      <c r="I8" s="42">
        <v>0</v>
      </c>
      <c r="J8" s="42">
        <v>0</v>
      </c>
      <c r="K8" s="42">
        <v>0</v>
      </c>
      <c r="L8" s="42">
        <v>0</v>
      </c>
      <c r="M8" s="41">
        <v>0</v>
      </c>
      <c r="N8" s="41">
        <v>0</v>
      </c>
      <c r="O8" s="41">
        <v>0</v>
      </c>
      <c r="P8" s="42">
        <v>0</v>
      </c>
      <c r="Q8" s="42">
        <v>0</v>
      </c>
      <c r="R8" s="42">
        <v>0</v>
      </c>
      <c r="S8" s="42"/>
      <c r="T8" s="43"/>
      <c r="U8" s="88"/>
      <c r="V8" s="88"/>
      <c r="W8" s="115"/>
    </row>
    <row r="9" spans="2:23" ht="19.5" thickTop="1" thickBot="1" x14ac:dyDescent="0.3">
      <c r="B9" s="120"/>
      <c r="C9" s="95"/>
      <c r="D9" s="88"/>
      <c r="E9" s="30" t="s">
        <v>3</v>
      </c>
      <c r="F9" s="45">
        <v>0</v>
      </c>
      <c r="G9" s="45">
        <v>51</v>
      </c>
      <c r="H9" s="45">
        <v>0</v>
      </c>
      <c r="I9" s="45">
        <v>59</v>
      </c>
      <c r="J9" s="45">
        <v>81</v>
      </c>
      <c r="K9" s="45">
        <v>61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46"/>
      <c r="T9" s="47"/>
      <c r="U9" s="88"/>
      <c r="V9" s="88"/>
      <c r="W9" s="115"/>
    </row>
    <row r="10" spans="2:23" ht="19.5" thickTop="1" thickBot="1" x14ac:dyDescent="0.3">
      <c r="B10" s="120"/>
      <c r="C10" s="95"/>
      <c r="D10" s="88"/>
      <c r="E10" s="31" t="s">
        <v>4</v>
      </c>
      <c r="F10" s="45">
        <f t="shared" ref="F10:R10" si="0">IF(F9&lt;30,F8,F8+F9)</f>
        <v>35</v>
      </c>
      <c r="G10" s="45">
        <f t="shared" si="0"/>
        <v>51</v>
      </c>
      <c r="H10" s="45">
        <f t="shared" si="0"/>
        <v>0</v>
      </c>
      <c r="I10" s="45">
        <f t="shared" si="0"/>
        <v>59</v>
      </c>
      <c r="J10" s="45">
        <f t="shared" si="0"/>
        <v>81</v>
      </c>
      <c r="K10" s="45">
        <f t="shared" si="0"/>
        <v>61</v>
      </c>
      <c r="L10" s="45">
        <f t="shared" si="0"/>
        <v>0</v>
      </c>
      <c r="M10" s="45">
        <f t="shared" si="0"/>
        <v>0</v>
      </c>
      <c r="N10" s="45">
        <f t="shared" si="0"/>
        <v>0</v>
      </c>
      <c r="O10" s="45">
        <f t="shared" si="0"/>
        <v>0</v>
      </c>
      <c r="P10" s="45">
        <f t="shared" si="0"/>
        <v>0</v>
      </c>
      <c r="Q10" s="45">
        <f t="shared" si="0"/>
        <v>0</v>
      </c>
      <c r="R10" s="45">
        <f t="shared" si="0"/>
        <v>0</v>
      </c>
      <c r="S10" s="46"/>
      <c r="T10" s="47"/>
      <c r="U10" s="88"/>
      <c r="V10" s="88"/>
      <c r="W10" s="115"/>
    </row>
    <row r="11" spans="2:23" ht="37.5" thickTop="1" thickBot="1" x14ac:dyDescent="0.3">
      <c r="B11" s="121"/>
      <c r="C11" s="96"/>
      <c r="D11" s="89"/>
      <c r="E11" s="32" t="s">
        <v>7</v>
      </c>
      <c r="F11" s="36">
        <f t="shared" ref="F11:L11" si="1">SUM(F7*F10)</f>
        <v>70</v>
      </c>
      <c r="G11" s="36">
        <f t="shared" si="1"/>
        <v>204</v>
      </c>
      <c r="H11" s="36">
        <f t="shared" si="1"/>
        <v>0</v>
      </c>
      <c r="I11" s="36">
        <f t="shared" si="1"/>
        <v>236</v>
      </c>
      <c r="J11" s="36">
        <f t="shared" si="1"/>
        <v>324</v>
      </c>
      <c r="K11" s="36">
        <f t="shared" si="1"/>
        <v>183</v>
      </c>
      <c r="L11" s="36">
        <f t="shared" si="1"/>
        <v>0</v>
      </c>
      <c r="M11" s="36">
        <f t="shared" ref="M11:R11" si="2">SUM(M7*M10)</f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36">
        <f t="shared" si="2"/>
        <v>0</v>
      </c>
      <c r="R11" s="36">
        <f t="shared" si="2"/>
        <v>0</v>
      </c>
      <c r="S11" s="50">
        <f>SUM(F11:R11)</f>
        <v>1017</v>
      </c>
      <c r="T11" s="51">
        <f>SUM(S11/S7)</f>
        <v>59.823529411764703</v>
      </c>
      <c r="U11" s="89"/>
      <c r="V11" s="89"/>
      <c r="W11" s="116"/>
    </row>
    <row r="12" spans="2:23" ht="20.25" thickTop="1" thickBot="1" x14ac:dyDescent="0.35">
      <c r="B12" s="126">
        <v>-2</v>
      </c>
      <c r="C12" s="94" t="s">
        <v>74</v>
      </c>
      <c r="D12" s="87" t="s">
        <v>149</v>
      </c>
      <c r="E12" s="9" t="s">
        <v>6</v>
      </c>
      <c r="F12" s="38">
        <f>IF(IF(F15=0,0,2),2,0)</f>
        <v>2</v>
      </c>
      <c r="G12" s="38">
        <f>IF(IF(G15=0,0,4),4,0)</f>
        <v>0</v>
      </c>
      <c r="H12" s="38">
        <f>IF(IF(H15=0,0,4),4,0)</f>
        <v>0</v>
      </c>
      <c r="I12" s="38">
        <f>IF(IF(I15=0,0,4),4,0)</f>
        <v>0</v>
      </c>
      <c r="J12" s="38">
        <f>IF(IF(J15=0,0,4),4,0)</f>
        <v>4</v>
      </c>
      <c r="K12" s="38">
        <f>IF(IF(K15=0,0,3),3,0)</f>
        <v>3</v>
      </c>
      <c r="L12" s="38">
        <f>IF(IF(L15=0,0,4),4,0)</f>
        <v>0</v>
      </c>
      <c r="M12" s="38">
        <f>IF(IF(M15=0,0,2),2,0)</f>
        <v>0</v>
      </c>
      <c r="N12" s="38">
        <f>IF(IF(N15=0,0,3),3,0)</f>
        <v>0</v>
      </c>
      <c r="O12" s="38">
        <f>IF(IF(O15=0,0,4),4,0)</f>
        <v>0</v>
      </c>
      <c r="P12" s="38">
        <f>IF(IF(P15=0,0,4),4,0)</f>
        <v>0</v>
      </c>
      <c r="Q12" s="38">
        <f>IF(IF(Q15=0,0,4),4,0)</f>
        <v>0</v>
      </c>
      <c r="R12" s="38">
        <f>IF(IF(R15=0,0,4),4,0)</f>
        <v>0</v>
      </c>
      <c r="S12" s="38">
        <f>SUM(F12:R12)</f>
        <v>9</v>
      </c>
      <c r="T12" s="39"/>
      <c r="U12" s="87"/>
      <c r="V12" s="87"/>
      <c r="W12" s="124"/>
    </row>
    <row r="13" spans="2:23" ht="19.5" thickTop="1" thickBot="1" x14ac:dyDescent="0.3">
      <c r="B13" s="120"/>
      <c r="C13" s="95"/>
      <c r="D13" s="88"/>
      <c r="E13" s="29" t="s">
        <v>142</v>
      </c>
      <c r="F13" s="41">
        <v>30</v>
      </c>
      <c r="G13" s="41">
        <v>0</v>
      </c>
      <c r="H13" s="41">
        <v>0</v>
      </c>
      <c r="I13" s="42">
        <v>0</v>
      </c>
      <c r="J13" s="42">
        <v>17</v>
      </c>
      <c r="K13" s="42">
        <v>27</v>
      </c>
      <c r="L13" s="80">
        <v>0</v>
      </c>
      <c r="M13" s="41">
        <v>0</v>
      </c>
      <c r="N13" s="75">
        <v>0</v>
      </c>
      <c r="O13" s="75">
        <v>0</v>
      </c>
      <c r="P13" s="42">
        <v>0</v>
      </c>
      <c r="Q13" s="42">
        <v>0</v>
      </c>
      <c r="R13" s="42">
        <v>0</v>
      </c>
      <c r="S13" s="42"/>
      <c r="T13" s="43"/>
      <c r="U13" s="88"/>
      <c r="V13" s="88"/>
      <c r="W13" s="115"/>
    </row>
    <row r="14" spans="2:23" ht="19.5" thickTop="1" thickBot="1" x14ac:dyDescent="0.3">
      <c r="B14" s="120"/>
      <c r="C14" s="95"/>
      <c r="D14" s="88"/>
      <c r="E14" s="30" t="s">
        <v>3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81">
        <v>0</v>
      </c>
      <c r="M14" s="45">
        <v>0</v>
      </c>
      <c r="N14" s="76">
        <v>0</v>
      </c>
      <c r="O14" s="76">
        <v>0</v>
      </c>
      <c r="P14" s="45">
        <v>0</v>
      </c>
      <c r="Q14" s="45">
        <v>0</v>
      </c>
      <c r="R14" s="45">
        <v>0</v>
      </c>
      <c r="S14" s="46"/>
      <c r="T14" s="47"/>
      <c r="U14" s="88"/>
      <c r="V14" s="88"/>
      <c r="W14" s="115"/>
    </row>
    <row r="15" spans="2:23" ht="19.5" thickTop="1" thickBot="1" x14ac:dyDescent="0.3">
      <c r="B15" s="120"/>
      <c r="C15" s="95"/>
      <c r="D15" s="88"/>
      <c r="E15" s="31" t="s">
        <v>4</v>
      </c>
      <c r="F15" s="45">
        <f t="shared" ref="F15:R15" si="3">IF(F14&lt;30,F13,F13+F14)</f>
        <v>30</v>
      </c>
      <c r="G15" s="45">
        <f t="shared" si="3"/>
        <v>0</v>
      </c>
      <c r="H15" s="45">
        <f t="shared" si="3"/>
        <v>0</v>
      </c>
      <c r="I15" s="45">
        <f t="shared" si="3"/>
        <v>0</v>
      </c>
      <c r="J15" s="45">
        <f t="shared" si="3"/>
        <v>17</v>
      </c>
      <c r="K15" s="45">
        <f t="shared" si="3"/>
        <v>27</v>
      </c>
      <c r="L15" s="81">
        <f t="shared" si="3"/>
        <v>0</v>
      </c>
      <c r="M15" s="45">
        <f t="shared" si="3"/>
        <v>0</v>
      </c>
      <c r="N15" s="76">
        <f t="shared" si="3"/>
        <v>0</v>
      </c>
      <c r="O15" s="76">
        <f t="shared" si="3"/>
        <v>0</v>
      </c>
      <c r="P15" s="45">
        <f t="shared" si="3"/>
        <v>0</v>
      </c>
      <c r="Q15" s="45">
        <f t="shared" si="3"/>
        <v>0</v>
      </c>
      <c r="R15" s="45">
        <f t="shared" si="3"/>
        <v>0</v>
      </c>
      <c r="S15" s="46"/>
      <c r="T15" s="47"/>
      <c r="U15" s="88"/>
      <c r="V15" s="88"/>
      <c r="W15" s="115"/>
    </row>
    <row r="16" spans="2:23" ht="37.5" thickTop="1" thickBot="1" x14ac:dyDescent="0.3">
      <c r="B16" s="121"/>
      <c r="C16" s="96"/>
      <c r="D16" s="89"/>
      <c r="E16" s="32" t="s">
        <v>7</v>
      </c>
      <c r="F16" s="36">
        <f t="shared" ref="F16:L16" si="4">SUM(F12*F15)</f>
        <v>60</v>
      </c>
      <c r="G16" s="36">
        <f t="shared" si="4"/>
        <v>0</v>
      </c>
      <c r="H16" s="36">
        <f t="shared" si="4"/>
        <v>0</v>
      </c>
      <c r="I16" s="36">
        <f t="shared" si="4"/>
        <v>0</v>
      </c>
      <c r="J16" s="36">
        <f t="shared" si="4"/>
        <v>68</v>
      </c>
      <c r="K16" s="36">
        <f t="shared" si="4"/>
        <v>81</v>
      </c>
      <c r="L16" s="82">
        <f t="shared" si="4"/>
        <v>0</v>
      </c>
      <c r="M16" s="36">
        <f t="shared" ref="M16:R16" si="5">SUM(M12*M15)</f>
        <v>0</v>
      </c>
      <c r="N16" s="77">
        <f t="shared" si="5"/>
        <v>0</v>
      </c>
      <c r="O16" s="77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50">
        <f>SUM(F16:R16)</f>
        <v>209</v>
      </c>
      <c r="T16" s="51">
        <f>SUM(S16/S12)</f>
        <v>23.222222222222221</v>
      </c>
      <c r="U16" s="89"/>
      <c r="V16" s="89"/>
      <c r="W16" s="116"/>
    </row>
    <row r="17" spans="2:23" ht="20.25" thickTop="1" thickBot="1" x14ac:dyDescent="0.35">
      <c r="B17" s="126">
        <v>-3</v>
      </c>
      <c r="C17" s="94" t="s">
        <v>73</v>
      </c>
      <c r="D17" s="88" t="s">
        <v>150</v>
      </c>
      <c r="E17" s="10" t="s">
        <v>6</v>
      </c>
      <c r="F17" s="38">
        <f>IF(IF(F20=0,0,2),2,0)</f>
        <v>0</v>
      </c>
      <c r="G17" s="38">
        <f>IF(IF(G20=0,0,4),4,0)</f>
        <v>0</v>
      </c>
      <c r="H17" s="38">
        <f>IF(IF(H20=0,0,4),4,0)</f>
        <v>0</v>
      </c>
      <c r="I17" s="38">
        <f>IF(IF(I20=0,0,4),4,0)</f>
        <v>0</v>
      </c>
      <c r="J17" s="38">
        <f>IF(IF(J20=0,0,4),4,0)</f>
        <v>4</v>
      </c>
      <c r="K17" s="38">
        <f>IF(IF(K20=0,0,3),3,0)</f>
        <v>0</v>
      </c>
      <c r="L17" s="38">
        <f>IF(IF(L20=0,0,4),4,0)</f>
        <v>0</v>
      </c>
      <c r="M17" s="38">
        <f>IF(IF(M20=0,0,2),2,0)</f>
        <v>0</v>
      </c>
      <c r="N17" s="38">
        <f>IF(IF(N20=0,0,3),3,0)</f>
        <v>0</v>
      </c>
      <c r="O17" s="38">
        <f>IF(IF(O20=0,0,4),4,0)</f>
        <v>0</v>
      </c>
      <c r="P17" s="38">
        <f>IF(IF(P20=0,0,4),4,0)</f>
        <v>0</v>
      </c>
      <c r="Q17" s="38">
        <f>IF(IF(Q20=0,0,4),4,0)</f>
        <v>0</v>
      </c>
      <c r="R17" s="38">
        <f>IF(IF(R20=0,0,4),4,0)</f>
        <v>0</v>
      </c>
      <c r="S17" s="38">
        <f>SUM(F17:R17)</f>
        <v>4</v>
      </c>
      <c r="T17" s="39"/>
      <c r="U17" s="87"/>
      <c r="V17" s="87"/>
      <c r="W17" s="124"/>
    </row>
    <row r="18" spans="2:23" ht="19.5" thickTop="1" thickBot="1" x14ac:dyDescent="0.3">
      <c r="B18" s="120"/>
      <c r="C18" s="95"/>
      <c r="D18" s="88"/>
      <c r="E18" s="33" t="s">
        <v>142</v>
      </c>
      <c r="F18" s="85">
        <v>0</v>
      </c>
      <c r="G18" s="41">
        <v>0</v>
      </c>
      <c r="H18" s="41">
        <v>0</v>
      </c>
      <c r="I18" s="42">
        <v>0</v>
      </c>
      <c r="J18" s="42">
        <v>11</v>
      </c>
      <c r="K18" s="42">
        <v>0</v>
      </c>
      <c r="L18" s="42">
        <v>0</v>
      </c>
      <c r="M18" s="41">
        <v>0</v>
      </c>
      <c r="N18" s="41">
        <v>0</v>
      </c>
      <c r="O18" s="41">
        <v>0</v>
      </c>
      <c r="P18" s="42">
        <v>0</v>
      </c>
      <c r="Q18" s="42">
        <v>0</v>
      </c>
      <c r="R18" s="42">
        <v>0</v>
      </c>
      <c r="S18" s="42"/>
      <c r="T18" s="43"/>
      <c r="U18" s="88"/>
      <c r="V18" s="88"/>
      <c r="W18" s="115"/>
    </row>
    <row r="19" spans="2:23" ht="19.5" thickTop="1" thickBot="1" x14ac:dyDescent="0.3">
      <c r="B19" s="120"/>
      <c r="C19" s="95"/>
      <c r="D19" s="88"/>
      <c r="E19" s="30" t="s">
        <v>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6"/>
      <c r="T19" s="47"/>
      <c r="U19" s="88"/>
      <c r="V19" s="88"/>
      <c r="W19" s="115"/>
    </row>
    <row r="20" spans="2:23" ht="19.5" thickTop="1" thickBot="1" x14ac:dyDescent="0.3">
      <c r="B20" s="120"/>
      <c r="C20" s="95"/>
      <c r="D20" s="88"/>
      <c r="E20" s="31" t="s">
        <v>4</v>
      </c>
      <c r="F20" s="45">
        <f t="shared" ref="F20:R20" si="6">IF(F19&lt;30,F18,F18+F19)</f>
        <v>0</v>
      </c>
      <c r="G20" s="45">
        <f t="shared" si="6"/>
        <v>0</v>
      </c>
      <c r="H20" s="45">
        <f t="shared" si="6"/>
        <v>0</v>
      </c>
      <c r="I20" s="45">
        <f t="shared" si="6"/>
        <v>0</v>
      </c>
      <c r="J20" s="45">
        <f t="shared" si="6"/>
        <v>11</v>
      </c>
      <c r="K20" s="45">
        <f t="shared" si="6"/>
        <v>0</v>
      </c>
      <c r="L20" s="45">
        <f t="shared" si="6"/>
        <v>0</v>
      </c>
      <c r="M20" s="45">
        <f t="shared" si="6"/>
        <v>0</v>
      </c>
      <c r="N20" s="45">
        <f t="shared" si="6"/>
        <v>0</v>
      </c>
      <c r="O20" s="45">
        <f t="shared" si="6"/>
        <v>0</v>
      </c>
      <c r="P20" s="45">
        <f t="shared" si="6"/>
        <v>0</v>
      </c>
      <c r="Q20" s="45">
        <f t="shared" si="6"/>
        <v>0</v>
      </c>
      <c r="R20" s="45">
        <f t="shared" si="6"/>
        <v>0</v>
      </c>
      <c r="S20" s="46"/>
      <c r="T20" s="47"/>
      <c r="U20" s="88"/>
      <c r="V20" s="88"/>
      <c r="W20" s="115"/>
    </row>
    <row r="21" spans="2:23" ht="37.5" thickTop="1" thickBot="1" x14ac:dyDescent="0.3">
      <c r="B21" s="121"/>
      <c r="C21" s="96"/>
      <c r="D21" s="89"/>
      <c r="E21" s="35" t="s">
        <v>7</v>
      </c>
      <c r="F21" s="36">
        <f t="shared" ref="F21:L21" si="7">SUM(F17*F20)</f>
        <v>0</v>
      </c>
      <c r="G21" s="36">
        <f t="shared" si="7"/>
        <v>0</v>
      </c>
      <c r="H21" s="36">
        <f t="shared" si="7"/>
        <v>0</v>
      </c>
      <c r="I21" s="36">
        <f t="shared" si="7"/>
        <v>0</v>
      </c>
      <c r="J21" s="36">
        <f t="shared" si="7"/>
        <v>44</v>
      </c>
      <c r="K21" s="36">
        <f t="shared" si="7"/>
        <v>0</v>
      </c>
      <c r="L21" s="36">
        <f t="shared" si="7"/>
        <v>0</v>
      </c>
      <c r="M21" s="36">
        <f t="shared" ref="M21:R21" si="8">SUM(M17*M20)</f>
        <v>0</v>
      </c>
      <c r="N21" s="36">
        <f t="shared" si="8"/>
        <v>0</v>
      </c>
      <c r="O21" s="36">
        <f t="shared" si="8"/>
        <v>0</v>
      </c>
      <c r="P21" s="36">
        <f t="shared" si="8"/>
        <v>0</v>
      </c>
      <c r="Q21" s="36">
        <f t="shared" si="8"/>
        <v>0</v>
      </c>
      <c r="R21" s="36">
        <f t="shared" si="8"/>
        <v>0</v>
      </c>
      <c r="S21" s="50">
        <f>SUM(F21:R21)</f>
        <v>44</v>
      </c>
      <c r="T21" s="51">
        <f>SUM(S21/S17)</f>
        <v>11</v>
      </c>
      <c r="U21" s="89"/>
      <c r="V21" s="89"/>
      <c r="W21" s="116"/>
    </row>
    <row r="22" spans="2:23" ht="20.25" thickTop="1" thickBot="1" x14ac:dyDescent="0.35">
      <c r="B22" s="126">
        <v>-4</v>
      </c>
      <c r="C22" s="94" t="s">
        <v>72</v>
      </c>
      <c r="D22" s="104" t="s">
        <v>151</v>
      </c>
      <c r="E22" s="10" t="s">
        <v>6</v>
      </c>
      <c r="F22" s="38">
        <f>IF(IF(F25=0,0,2),2,0)</f>
        <v>2</v>
      </c>
      <c r="G22" s="38">
        <f>IF(IF(G25=0,0,4),4,0)</f>
        <v>0</v>
      </c>
      <c r="H22" s="38">
        <f>IF(IF(H25=0,0,4),4,0)</f>
        <v>0</v>
      </c>
      <c r="I22" s="38">
        <f>IF(IF(I25=0,0,4),4,0)</f>
        <v>0</v>
      </c>
      <c r="J22" s="38">
        <f>IF(IF(J25=0,0,4),4,0)</f>
        <v>4</v>
      </c>
      <c r="K22" s="38">
        <f>IF(IF(K25=0,0,3),3,0)</f>
        <v>3</v>
      </c>
      <c r="L22" s="38">
        <f>IF(IF(L25=0,0,4),4,0)</f>
        <v>0</v>
      </c>
      <c r="M22" s="38">
        <f>IF(IF(M25=0,0,2),2,0)</f>
        <v>0</v>
      </c>
      <c r="N22" s="38">
        <f>IF(IF(N25=0,0,3),3,0)</f>
        <v>0</v>
      </c>
      <c r="O22" s="38">
        <f>IF(IF(O25=0,0,4),4,0)</f>
        <v>0</v>
      </c>
      <c r="P22" s="38">
        <f>IF(IF(P25=0,0,4),4,0)</f>
        <v>0</v>
      </c>
      <c r="Q22" s="38">
        <f>IF(IF(Q25=0,0,4),4,0)</f>
        <v>0</v>
      </c>
      <c r="R22" s="38">
        <f>IF(IF(R25=0,0,4),4,0)</f>
        <v>0</v>
      </c>
      <c r="S22" s="38">
        <f>SUM(F22:R22)</f>
        <v>9</v>
      </c>
      <c r="T22" s="39"/>
      <c r="U22" s="87"/>
      <c r="V22" s="87"/>
      <c r="W22" s="124"/>
    </row>
    <row r="23" spans="2:23" ht="19.5" thickTop="1" thickBot="1" x14ac:dyDescent="0.3">
      <c r="B23" s="120"/>
      <c r="C23" s="95"/>
      <c r="D23" s="88"/>
      <c r="E23" s="33" t="s">
        <v>142</v>
      </c>
      <c r="F23" s="41">
        <v>34</v>
      </c>
      <c r="G23" s="41">
        <v>0</v>
      </c>
      <c r="H23" s="41">
        <v>0</v>
      </c>
      <c r="I23" s="42">
        <v>0</v>
      </c>
      <c r="J23" s="42">
        <v>9</v>
      </c>
      <c r="K23" s="42">
        <v>28</v>
      </c>
      <c r="L23" s="80">
        <v>0</v>
      </c>
      <c r="M23" s="41">
        <v>0</v>
      </c>
      <c r="N23" s="41">
        <v>0</v>
      </c>
      <c r="O23" s="75">
        <v>0</v>
      </c>
      <c r="P23" s="42">
        <v>0</v>
      </c>
      <c r="Q23" s="42">
        <v>0</v>
      </c>
      <c r="R23" s="42">
        <v>0</v>
      </c>
      <c r="S23" s="42"/>
      <c r="T23" s="43"/>
      <c r="U23" s="88"/>
      <c r="V23" s="88"/>
      <c r="W23" s="115"/>
    </row>
    <row r="24" spans="2:23" ht="19.5" thickTop="1" thickBot="1" x14ac:dyDescent="0.3">
      <c r="B24" s="120"/>
      <c r="C24" s="95"/>
      <c r="D24" s="88"/>
      <c r="E24" s="30" t="s">
        <v>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81">
        <v>0</v>
      </c>
      <c r="M24" s="45">
        <v>0</v>
      </c>
      <c r="N24" s="45">
        <v>0</v>
      </c>
      <c r="O24" s="76">
        <v>0</v>
      </c>
      <c r="P24" s="45">
        <v>0</v>
      </c>
      <c r="Q24" s="45">
        <v>0</v>
      </c>
      <c r="R24" s="45">
        <v>0</v>
      </c>
      <c r="S24" s="46"/>
      <c r="T24" s="47"/>
      <c r="U24" s="88"/>
      <c r="V24" s="88"/>
      <c r="W24" s="115"/>
    </row>
    <row r="25" spans="2:23" ht="19.5" thickTop="1" thickBot="1" x14ac:dyDescent="0.3">
      <c r="B25" s="120"/>
      <c r="C25" s="95"/>
      <c r="D25" s="88"/>
      <c r="E25" s="31" t="s">
        <v>4</v>
      </c>
      <c r="F25" s="45">
        <f t="shared" ref="F25:R25" si="9">IF(F24&lt;30,F23,F23+F24)</f>
        <v>34</v>
      </c>
      <c r="G25" s="45">
        <f t="shared" si="9"/>
        <v>0</v>
      </c>
      <c r="H25" s="45">
        <f t="shared" si="9"/>
        <v>0</v>
      </c>
      <c r="I25" s="45">
        <f t="shared" si="9"/>
        <v>0</v>
      </c>
      <c r="J25" s="45">
        <f t="shared" si="9"/>
        <v>9</v>
      </c>
      <c r="K25" s="45">
        <f t="shared" si="9"/>
        <v>28</v>
      </c>
      <c r="L25" s="81">
        <f t="shared" si="9"/>
        <v>0</v>
      </c>
      <c r="M25" s="45">
        <f t="shared" si="9"/>
        <v>0</v>
      </c>
      <c r="N25" s="45">
        <f t="shared" si="9"/>
        <v>0</v>
      </c>
      <c r="O25" s="76">
        <f t="shared" si="9"/>
        <v>0</v>
      </c>
      <c r="P25" s="45">
        <f t="shared" si="9"/>
        <v>0</v>
      </c>
      <c r="Q25" s="45">
        <f t="shared" si="9"/>
        <v>0</v>
      </c>
      <c r="R25" s="45">
        <f t="shared" si="9"/>
        <v>0</v>
      </c>
      <c r="S25" s="46"/>
      <c r="T25" s="47"/>
      <c r="U25" s="88"/>
      <c r="V25" s="88"/>
      <c r="W25" s="115"/>
    </row>
    <row r="26" spans="2:23" ht="37.5" thickTop="1" thickBot="1" x14ac:dyDescent="0.3">
      <c r="B26" s="121"/>
      <c r="C26" s="96"/>
      <c r="D26" s="89"/>
      <c r="E26" s="35" t="s">
        <v>7</v>
      </c>
      <c r="F26" s="36">
        <f t="shared" ref="F26:L26" si="10">SUM(F22*F25)</f>
        <v>68</v>
      </c>
      <c r="G26" s="36">
        <f t="shared" si="10"/>
        <v>0</v>
      </c>
      <c r="H26" s="36">
        <f t="shared" si="10"/>
        <v>0</v>
      </c>
      <c r="I26" s="36">
        <f t="shared" si="10"/>
        <v>0</v>
      </c>
      <c r="J26" s="36">
        <f t="shared" si="10"/>
        <v>36</v>
      </c>
      <c r="K26" s="36">
        <f t="shared" si="10"/>
        <v>84</v>
      </c>
      <c r="L26" s="82">
        <f t="shared" si="10"/>
        <v>0</v>
      </c>
      <c r="M26" s="36">
        <f t="shared" ref="M26:R26" si="11">SUM(M22*M25)</f>
        <v>0</v>
      </c>
      <c r="N26" s="36">
        <f t="shared" si="11"/>
        <v>0</v>
      </c>
      <c r="O26" s="77">
        <f t="shared" si="11"/>
        <v>0</v>
      </c>
      <c r="P26" s="36">
        <f t="shared" si="11"/>
        <v>0</v>
      </c>
      <c r="Q26" s="36">
        <f t="shared" si="11"/>
        <v>0</v>
      </c>
      <c r="R26" s="36">
        <f t="shared" si="11"/>
        <v>0</v>
      </c>
      <c r="S26" s="50">
        <f>SUM(F26:R26)</f>
        <v>188</v>
      </c>
      <c r="T26" s="51">
        <f>SUM(S26/S22)</f>
        <v>20.888888888888889</v>
      </c>
      <c r="U26" s="89"/>
      <c r="V26" s="89"/>
      <c r="W26" s="116"/>
    </row>
    <row r="27" spans="2:23" ht="20.25" thickTop="1" thickBot="1" x14ac:dyDescent="0.35">
      <c r="B27" s="126">
        <v>-5</v>
      </c>
      <c r="C27" s="94" t="s">
        <v>32</v>
      </c>
      <c r="D27" s="104" t="s">
        <v>137</v>
      </c>
      <c r="E27" s="10" t="s">
        <v>6</v>
      </c>
      <c r="F27" s="38">
        <f>IF(IF(F30=0,0,2),2,0)</f>
        <v>2</v>
      </c>
      <c r="G27" s="38">
        <f>IF(IF(G30=0,0,4),4,0)</f>
        <v>0</v>
      </c>
      <c r="H27" s="38">
        <f>IF(IF(H30=0,0,4),4,0)</f>
        <v>0</v>
      </c>
      <c r="I27" s="38">
        <f>IF(IF(I30=0,0,4),4,0)</f>
        <v>0</v>
      </c>
      <c r="J27" s="38">
        <f>IF(IF(J30=0,0,4),4,0)</f>
        <v>0</v>
      </c>
      <c r="K27" s="38">
        <f>IF(IF(K30=0,0,3),3,0)</f>
        <v>3</v>
      </c>
      <c r="L27" s="38">
        <f>IF(IF(L30=0,0,4),4,0)</f>
        <v>0</v>
      </c>
      <c r="M27" s="38">
        <f>IF(IF(M30=0,0,2),2,0)</f>
        <v>0</v>
      </c>
      <c r="N27" s="38">
        <f>IF(IF(N30=0,0,3),3,0)</f>
        <v>0</v>
      </c>
      <c r="O27" s="38">
        <f>IF(IF(O30=0,0,4),4,0)</f>
        <v>0</v>
      </c>
      <c r="P27" s="38">
        <f>IF(IF(P30=0,0,4),4,0)</f>
        <v>4</v>
      </c>
      <c r="Q27" s="38">
        <f>IF(IF(Q30=0,0,4),4,0)</f>
        <v>0</v>
      </c>
      <c r="R27" s="38">
        <f>IF(IF(R30=0,0,4),4,0)</f>
        <v>0</v>
      </c>
      <c r="S27" s="38">
        <f>SUM(F27:R27)</f>
        <v>9</v>
      </c>
      <c r="T27" s="39"/>
      <c r="U27" s="87"/>
      <c r="V27" s="87"/>
      <c r="W27" s="124"/>
    </row>
    <row r="28" spans="2:23" ht="19.5" thickTop="1" thickBot="1" x14ac:dyDescent="0.3">
      <c r="B28" s="120"/>
      <c r="C28" s="95"/>
      <c r="D28" s="88"/>
      <c r="E28" s="33" t="s">
        <v>142</v>
      </c>
      <c r="F28" s="41">
        <v>29</v>
      </c>
      <c r="G28" s="41">
        <v>0</v>
      </c>
      <c r="H28" s="41">
        <v>0</v>
      </c>
      <c r="I28" s="42">
        <v>0</v>
      </c>
      <c r="J28" s="76">
        <v>0</v>
      </c>
      <c r="K28" s="42">
        <v>22</v>
      </c>
      <c r="L28" s="80">
        <v>0</v>
      </c>
      <c r="M28" s="41">
        <v>0</v>
      </c>
      <c r="N28" s="41">
        <v>0</v>
      </c>
      <c r="O28" s="75">
        <v>0</v>
      </c>
      <c r="P28" s="78">
        <v>30</v>
      </c>
      <c r="Q28" s="42">
        <v>0</v>
      </c>
      <c r="R28" s="42">
        <v>0</v>
      </c>
      <c r="S28" s="42"/>
      <c r="T28" s="43"/>
      <c r="U28" s="88"/>
      <c r="V28" s="88"/>
      <c r="W28" s="115"/>
    </row>
    <row r="29" spans="2:23" ht="19.5" thickTop="1" thickBot="1" x14ac:dyDescent="0.3">
      <c r="B29" s="120"/>
      <c r="C29" s="95"/>
      <c r="D29" s="88"/>
      <c r="E29" s="30" t="s">
        <v>3</v>
      </c>
      <c r="F29" s="45">
        <v>0</v>
      </c>
      <c r="G29" s="45">
        <v>0</v>
      </c>
      <c r="H29" s="45">
        <v>0</v>
      </c>
      <c r="I29" s="45">
        <v>0</v>
      </c>
      <c r="J29" s="76">
        <v>0</v>
      </c>
      <c r="K29" s="45">
        <v>0</v>
      </c>
      <c r="L29" s="81">
        <v>0</v>
      </c>
      <c r="M29" s="45">
        <v>0</v>
      </c>
      <c r="N29" s="45">
        <v>0</v>
      </c>
      <c r="O29" s="76">
        <v>0</v>
      </c>
      <c r="P29" s="76">
        <v>38</v>
      </c>
      <c r="Q29" s="45">
        <v>0</v>
      </c>
      <c r="R29" s="45">
        <v>0</v>
      </c>
      <c r="S29" s="46"/>
      <c r="T29" s="47"/>
      <c r="U29" s="88"/>
      <c r="V29" s="88"/>
      <c r="W29" s="115"/>
    </row>
    <row r="30" spans="2:23" ht="19.5" thickTop="1" thickBot="1" x14ac:dyDescent="0.3">
      <c r="B30" s="120"/>
      <c r="C30" s="95"/>
      <c r="D30" s="88"/>
      <c r="E30" s="31" t="s">
        <v>4</v>
      </c>
      <c r="F30" s="45">
        <f t="shared" ref="F30:R30" si="12">IF(F29&lt;30,F28,F28+F29)</f>
        <v>29</v>
      </c>
      <c r="G30" s="45">
        <f t="shared" si="12"/>
        <v>0</v>
      </c>
      <c r="H30" s="45">
        <f t="shared" si="12"/>
        <v>0</v>
      </c>
      <c r="I30" s="45">
        <f t="shared" si="12"/>
        <v>0</v>
      </c>
      <c r="J30" s="76">
        <f t="shared" si="12"/>
        <v>0</v>
      </c>
      <c r="K30" s="45">
        <f t="shared" si="12"/>
        <v>22</v>
      </c>
      <c r="L30" s="81">
        <f t="shared" si="12"/>
        <v>0</v>
      </c>
      <c r="M30" s="45">
        <f t="shared" si="12"/>
        <v>0</v>
      </c>
      <c r="N30" s="45">
        <f t="shared" si="12"/>
        <v>0</v>
      </c>
      <c r="O30" s="76">
        <f t="shared" si="12"/>
        <v>0</v>
      </c>
      <c r="P30" s="76">
        <f t="shared" si="12"/>
        <v>68</v>
      </c>
      <c r="Q30" s="45">
        <f t="shared" si="12"/>
        <v>0</v>
      </c>
      <c r="R30" s="45">
        <f t="shared" si="12"/>
        <v>0</v>
      </c>
      <c r="S30" s="46"/>
      <c r="T30" s="47"/>
      <c r="U30" s="88"/>
      <c r="V30" s="88"/>
      <c r="W30" s="115"/>
    </row>
    <row r="31" spans="2:23" ht="37.5" thickTop="1" thickBot="1" x14ac:dyDescent="0.3">
      <c r="B31" s="121"/>
      <c r="C31" s="96"/>
      <c r="D31" s="89"/>
      <c r="E31" s="32" t="s">
        <v>7</v>
      </c>
      <c r="F31" s="36">
        <f t="shared" ref="F31:L31" si="13">SUM(F27*F30)</f>
        <v>58</v>
      </c>
      <c r="G31" s="36">
        <f t="shared" si="13"/>
        <v>0</v>
      </c>
      <c r="H31" s="36">
        <f t="shared" si="13"/>
        <v>0</v>
      </c>
      <c r="I31" s="36">
        <f t="shared" si="13"/>
        <v>0</v>
      </c>
      <c r="J31" s="76">
        <f t="shared" si="13"/>
        <v>0</v>
      </c>
      <c r="K31" s="36">
        <f t="shared" si="13"/>
        <v>66</v>
      </c>
      <c r="L31" s="82">
        <f t="shared" si="13"/>
        <v>0</v>
      </c>
      <c r="M31" s="36">
        <f t="shared" ref="M31:R31" si="14">SUM(M27*M30)</f>
        <v>0</v>
      </c>
      <c r="N31" s="36">
        <f t="shared" si="14"/>
        <v>0</v>
      </c>
      <c r="O31" s="77">
        <f t="shared" si="14"/>
        <v>0</v>
      </c>
      <c r="P31" s="77">
        <f t="shared" si="14"/>
        <v>272</v>
      </c>
      <c r="Q31" s="36">
        <f t="shared" si="14"/>
        <v>0</v>
      </c>
      <c r="R31" s="36">
        <f t="shared" si="14"/>
        <v>0</v>
      </c>
      <c r="S31" s="50">
        <f>SUM(F31:R31)</f>
        <v>396</v>
      </c>
      <c r="T31" s="51">
        <f>SUM(S31/S27)</f>
        <v>44</v>
      </c>
      <c r="U31" s="89"/>
      <c r="V31" s="89"/>
      <c r="W31" s="116"/>
    </row>
    <row r="32" spans="2:23" ht="20.25" thickTop="1" thickBot="1" x14ac:dyDescent="0.35">
      <c r="B32" s="126">
        <v>-6</v>
      </c>
      <c r="C32" s="94" t="s">
        <v>69</v>
      </c>
      <c r="D32" s="104" t="s">
        <v>152</v>
      </c>
      <c r="E32" s="10" t="s">
        <v>6</v>
      </c>
      <c r="F32" s="38">
        <f>IF(IF(F35=0,0,2),2,0)</f>
        <v>2</v>
      </c>
      <c r="G32" s="38">
        <f>IF(IF(G35=0,0,4),4,0)</f>
        <v>0</v>
      </c>
      <c r="H32" s="38">
        <f>IF(IF(H35=0,0,4),4,0)</f>
        <v>0</v>
      </c>
      <c r="I32" s="38">
        <f>IF(IF(I35=0,0,4),4,0)</f>
        <v>0</v>
      </c>
      <c r="J32" s="38">
        <f>IF(IF(J35=0,0,4),4,0)</f>
        <v>4</v>
      </c>
      <c r="K32" s="38">
        <f>IF(IF(K35=0,0,3),3,0)</f>
        <v>3</v>
      </c>
      <c r="L32" s="38">
        <f>IF(IF(L35=0,0,4),4,0)</f>
        <v>0</v>
      </c>
      <c r="M32" s="38">
        <f>IF(IF(M35=0,0,2),2,0)</f>
        <v>0</v>
      </c>
      <c r="N32" s="38">
        <f>IF(IF(N35=0,0,3),3,0)</f>
        <v>3</v>
      </c>
      <c r="O32" s="38">
        <f>IF(IF(O35=0,0,4),4,0)</f>
        <v>0</v>
      </c>
      <c r="P32" s="38">
        <f>IF(IF(P35=0,0,4),4,0)</f>
        <v>0</v>
      </c>
      <c r="Q32" s="38">
        <f>IF(IF(Q35=0,0,4),4,0)</f>
        <v>0</v>
      </c>
      <c r="R32" s="38">
        <f>IF(IF(R35=0,0,4),4,0)</f>
        <v>4</v>
      </c>
      <c r="S32" s="38">
        <f>SUM(F32:R32)</f>
        <v>16</v>
      </c>
      <c r="T32" s="39"/>
      <c r="U32" s="87"/>
      <c r="V32" s="87"/>
      <c r="W32" s="124"/>
    </row>
    <row r="33" spans="2:23" ht="19.5" thickTop="1" thickBot="1" x14ac:dyDescent="0.3">
      <c r="B33" s="120"/>
      <c r="C33" s="95"/>
      <c r="D33" s="88"/>
      <c r="E33" s="33" t="s">
        <v>142</v>
      </c>
      <c r="F33" s="41">
        <v>32</v>
      </c>
      <c r="G33" s="41">
        <v>0</v>
      </c>
      <c r="H33" s="41">
        <v>0</v>
      </c>
      <c r="I33" s="42">
        <v>0</v>
      </c>
      <c r="J33" s="42">
        <v>13</v>
      </c>
      <c r="K33" s="42">
        <v>31</v>
      </c>
      <c r="L33" s="42">
        <v>0</v>
      </c>
      <c r="M33" s="41">
        <v>0</v>
      </c>
      <c r="N33" s="75">
        <v>27</v>
      </c>
      <c r="O33" s="41">
        <v>0</v>
      </c>
      <c r="P33" s="42">
        <v>0</v>
      </c>
      <c r="Q33" s="42">
        <v>0</v>
      </c>
      <c r="R33" s="78">
        <v>25</v>
      </c>
      <c r="S33" s="42"/>
      <c r="T33" s="43"/>
      <c r="U33" s="88"/>
      <c r="V33" s="88"/>
      <c r="W33" s="115"/>
    </row>
    <row r="34" spans="2:23" ht="19.5" thickTop="1" thickBot="1" x14ac:dyDescent="0.3">
      <c r="B34" s="120"/>
      <c r="C34" s="95"/>
      <c r="D34" s="88"/>
      <c r="E34" s="30" t="s">
        <v>3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76">
        <v>0</v>
      </c>
      <c r="O34" s="45">
        <v>0</v>
      </c>
      <c r="P34" s="45">
        <v>0</v>
      </c>
      <c r="Q34" s="45">
        <v>0</v>
      </c>
      <c r="R34" s="76">
        <v>5</v>
      </c>
      <c r="S34" s="46"/>
      <c r="T34" s="47"/>
      <c r="U34" s="88"/>
      <c r="V34" s="88"/>
      <c r="W34" s="115"/>
    </row>
    <row r="35" spans="2:23" ht="19.5" thickTop="1" thickBot="1" x14ac:dyDescent="0.3">
      <c r="B35" s="120"/>
      <c r="C35" s="95"/>
      <c r="D35" s="88"/>
      <c r="E35" s="31" t="s">
        <v>4</v>
      </c>
      <c r="F35" s="45">
        <f t="shared" ref="F35:R35" si="15">IF(F34&lt;30,F33,F33+F34)</f>
        <v>32</v>
      </c>
      <c r="G35" s="45">
        <f t="shared" si="15"/>
        <v>0</v>
      </c>
      <c r="H35" s="45">
        <f t="shared" si="15"/>
        <v>0</v>
      </c>
      <c r="I35" s="45">
        <f t="shared" si="15"/>
        <v>0</v>
      </c>
      <c r="J35" s="45">
        <f t="shared" si="15"/>
        <v>13</v>
      </c>
      <c r="K35" s="45">
        <f t="shared" si="15"/>
        <v>31</v>
      </c>
      <c r="L35" s="45">
        <f t="shared" si="15"/>
        <v>0</v>
      </c>
      <c r="M35" s="45">
        <f t="shared" si="15"/>
        <v>0</v>
      </c>
      <c r="N35" s="76">
        <f t="shared" si="15"/>
        <v>27</v>
      </c>
      <c r="O35" s="45">
        <f t="shared" si="15"/>
        <v>0</v>
      </c>
      <c r="P35" s="45">
        <f t="shared" si="15"/>
        <v>0</v>
      </c>
      <c r="Q35" s="45">
        <f t="shared" si="15"/>
        <v>0</v>
      </c>
      <c r="R35" s="76">
        <f t="shared" si="15"/>
        <v>25</v>
      </c>
      <c r="S35" s="46"/>
      <c r="T35" s="47"/>
      <c r="U35" s="88"/>
      <c r="V35" s="88"/>
      <c r="W35" s="115"/>
    </row>
    <row r="36" spans="2:23" ht="37.5" thickTop="1" thickBot="1" x14ac:dyDescent="0.3">
      <c r="B36" s="121"/>
      <c r="C36" s="96"/>
      <c r="D36" s="89"/>
      <c r="E36" s="32" t="s">
        <v>7</v>
      </c>
      <c r="F36" s="36">
        <f t="shared" ref="F36:L36" si="16">SUM(F32*F35)</f>
        <v>64</v>
      </c>
      <c r="G36" s="36">
        <f t="shared" si="16"/>
        <v>0</v>
      </c>
      <c r="H36" s="36">
        <f t="shared" si="16"/>
        <v>0</v>
      </c>
      <c r="I36" s="36">
        <f t="shared" si="16"/>
        <v>0</v>
      </c>
      <c r="J36" s="36">
        <f t="shared" si="16"/>
        <v>52</v>
      </c>
      <c r="K36" s="36">
        <f t="shared" si="16"/>
        <v>93</v>
      </c>
      <c r="L36" s="36">
        <f t="shared" si="16"/>
        <v>0</v>
      </c>
      <c r="M36" s="36">
        <f t="shared" ref="M36:R36" si="17">SUM(M32*M35)</f>
        <v>0</v>
      </c>
      <c r="N36" s="77">
        <f t="shared" si="17"/>
        <v>81</v>
      </c>
      <c r="O36" s="36">
        <f t="shared" si="17"/>
        <v>0</v>
      </c>
      <c r="P36" s="36">
        <f t="shared" si="17"/>
        <v>0</v>
      </c>
      <c r="Q36" s="36">
        <f t="shared" si="17"/>
        <v>0</v>
      </c>
      <c r="R36" s="77">
        <f t="shared" si="17"/>
        <v>100</v>
      </c>
      <c r="S36" s="50">
        <f>SUM(F36:R36)</f>
        <v>390</v>
      </c>
      <c r="T36" s="51">
        <f>SUM(S36/S32)</f>
        <v>24.375</v>
      </c>
      <c r="U36" s="89"/>
      <c r="V36" s="89"/>
      <c r="W36" s="116"/>
    </row>
    <row r="37" spans="2:23" ht="20.25" thickTop="1" thickBot="1" x14ac:dyDescent="0.35">
      <c r="B37" s="126">
        <v>-7</v>
      </c>
      <c r="C37" s="94" t="s">
        <v>70</v>
      </c>
      <c r="D37" s="88" t="s">
        <v>153</v>
      </c>
      <c r="E37" s="10" t="s">
        <v>6</v>
      </c>
      <c r="F37" s="38">
        <f>IF(IF(F40=0,0,2),2,0)</f>
        <v>0</v>
      </c>
      <c r="G37" s="38">
        <f>IF(IF(G40=0,0,4),4,0)</f>
        <v>0</v>
      </c>
      <c r="H37" s="38">
        <f>IF(IF(H40=0,0,4),4,0)</f>
        <v>0</v>
      </c>
      <c r="I37" s="38">
        <f>IF(IF(I40=0,0,4),4,0)</f>
        <v>0</v>
      </c>
      <c r="J37" s="38">
        <f>IF(IF(J40=0,0,4),4,0)</f>
        <v>4</v>
      </c>
      <c r="K37" s="38">
        <f>IF(IF(K40=0,0,3),3,0)</f>
        <v>3</v>
      </c>
      <c r="L37" s="38">
        <f>IF(IF(L40=0,0,4),4,0)</f>
        <v>0</v>
      </c>
      <c r="M37" s="38">
        <f>IF(IF(M40=0,0,2),2,0)</f>
        <v>0</v>
      </c>
      <c r="N37" s="38">
        <f>IF(IF(N40=0,0,3),3,0)</f>
        <v>0</v>
      </c>
      <c r="O37" s="38">
        <f>IF(IF(O40=0,0,4),4,0)</f>
        <v>0</v>
      </c>
      <c r="P37" s="38">
        <f>IF(IF(P40=0,0,4),4,0)</f>
        <v>0</v>
      </c>
      <c r="Q37" s="38">
        <f>IF(IF(Q40=0,0,4),4,0)</f>
        <v>0</v>
      </c>
      <c r="R37" s="38">
        <f>IF(IF(R40=0,0,4),4,0)</f>
        <v>0</v>
      </c>
      <c r="S37" s="38">
        <f>SUM(F37:R37)</f>
        <v>7</v>
      </c>
      <c r="T37" s="39"/>
      <c r="U37" s="87"/>
      <c r="V37" s="87"/>
      <c r="W37" s="124"/>
    </row>
    <row r="38" spans="2:23" ht="19.5" thickTop="1" thickBot="1" x14ac:dyDescent="0.3">
      <c r="B38" s="120"/>
      <c r="C38" s="95"/>
      <c r="D38" s="88"/>
      <c r="E38" s="33" t="s">
        <v>142</v>
      </c>
      <c r="F38" s="41">
        <v>0</v>
      </c>
      <c r="G38" s="41">
        <v>0</v>
      </c>
      <c r="H38" s="41">
        <v>0</v>
      </c>
      <c r="I38" s="42">
        <v>0</v>
      </c>
      <c r="J38" s="42">
        <v>19</v>
      </c>
      <c r="K38" s="42">
        <v>26</v>
      </c>
      <c r="L38" s="80">
        <v>0</v>
      </c>
      <c r="M38" s="41">
        <v>0</v>
      </c>
      <c r="N38" s="41">
        <v>0</v>
      </c>
      <c r="O38" s="75">
        <v>0</v>
      </c>
      <c r="P38" s="42">
        <v>0</v>
      </c>
      <c r="Q38" s="42">
        <v>0</v>
      </c>
      <c r="R38" s="42">
        <v>0</v>
      </c>
      <c r="S38" s="42"/>
      <c r="T38" s="43"/>
      <c r="U38" s="88"/>
      <c r="V38" s="88"/>
      <c r="W38" s="115"/>
    </row>
    <row r="39" spans="2:23" ht="19.5" thickTop="1" thickBot="1" x14ac:dyDescent="0.3">
      <c r="B39" s="120"/>
      <c r="C39" s="95"/>
      <c r="D39" s="88"/>
      <c r="E39" s="30" t="s">
        <v>3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81">
        <v>0</v>
      </c>
      <c r="M39" s="45">
        <v>0</v>
      </c>
      <c r="N39" s="45">
        <v>0</v>
      </c>
      <c r="O39" s="76">
        <v>0</v>
      </c>
      <c r="P39" s="45">
        <v>0</v>
      </c>
      <c r="Q39" s="45">
        <v>0</v>
      </c>
      <c r="R39" s="45">
        <v>0</v>
      </c>
      <c r="S39" s="46"/>
      <c r="T39" s="47"/>
      <c r="U39" s="88"/>
      <c r="V39" s="88"/>
      <c r="W39" s="115"/>
    </row>
    <row r="40" spans="2:23" ht="19.5" thickTop="1" thickBot="1" x14ac:dyDescent="0.3">
      <c r="B40" s="120"/>
      <c r="C40" s="95"/>
      <c r="D40" s="88"/>
      <c r="E40" s="31" t="s">
        <v>4</v>
      </c>
      <c r="F40" s="45">
        <f t="shared" ref="F40:R40" si="18">IF(F39&lt;30,F38,F38+F39)</f>
        <v>0</v>
      </c>
      <c r="G40" s="45">
        <f t="shared" si="18"/>
        <v>0</v>
      </c>
      <c r="H40" s="45">
        <f t="shared" si="18"/>
        <v>0</v>
      </c>
      <c r="I40" s="45">
        <f t="shared" si="18"/>
        <v>0</v>
      </c>
      <c r="J40" s="45">
        <f t="shared" si="18"/>
        <v>19</v>
      </c>
      <c r="K40" s="45">
        <f t="shared" si="18"/>
        <v>26</v>
      </c>
      <c r="L40" s="81">
        <f t="shared" si="18"/>
        <v>0</v>
      </c>
      <c r="M40" s="45">
        <f t="shared" si="18"/>
        <v>0</v>
      </c>
      <c r="N40" s="45">
        <f t="shared" si="18"/>
        <v>0</v>
      </c>
      <c r="O40" s="76">
        <f t="shared" si="18"/>
        <v>0</v>
      </c>
      <c r="P40" s="45">
        <f t="shared" si="18"/>
        <v>0</v>
      </c>
      <c r="Q40" s="45">
        <f t="shared" si="18"/>
        <v>0</v>
      </c>
      <c r="R40" s="45">
        <f t="shared" si="18"/>
        <v>0</v>
      </c>
      <c r="S40" s="46"/>
      <c r="T40" s="47"/>
      <c r="U40" s="88"/>
      <c r="V40" s="88"/>
      <c r="W40" s="115"/>
    </row>
    <row r="41" spans="2:23" ht="37.5" thickTop="1" thickBot="1" x14ac:dyDescent="0.3">
      <c r="B41" s="121"/>
      <c r="C41" s="96"/>
      <c r="D41" s="89"/>
      <c r="E41" s="32" t="s">
        <v>7</v>
      </c>
      <c r="F41" s="53">
        <f t="shared" ref="F41:L41" si="19">SUM(F37*F40)</f>
        <v>0</v>
      </c>
      <c r="G41" s="53">
        <f t="shared" si="19"/>
        <v>0</v>
      </c>
      <c r="H41" s="53">
        <f t="shared" si="19"/>
        <v>0</v>
      </c>
      <c r="I41" s="53">
        <f t="shared" si="19"/>
        <v>0</v>
      </c>
      <c r="J41" s="53">
        <f t="shared" si="19"/>
        <v>76</v>
      </c>
      <c r="K41" s="53">
        <f t="shared" si="19"/>
        <v>78</v>
      </c>
      <c r="L41" s="83">
        <f t="shared" si="19"/>
        <v>0</v>
      </c>
      <c r="M41" s="53">
        <f t="shared" ref="M41:R41" si="20">SUM(M37*M40)</f>
        <v>0</v>
      </c>
      <c r="N41" s="53">
        <f t="shared" si="20"/>
        <v>0</v>
      </c>
      <c r="O41" s="79">
        <f t="shared" si="20"/>
        <v>0</v>
      </c>
      <c r="P41" s="53">
        <f t="shared" si="20"/>
        <v>0</v>
      </c>
      <c r="Q41" s="53">
        <f t="shared" si="20"/>
        <v>0</v>
      </c>
      <c r="R41" s="53">
        <f t="shared" si="20"/>
        <v>0</v>
      </c>
      <c r="S41" s="54">
        <f>SUM(F41:R41)</f>
        <v>154</v>
      </c>
      <c r="T41" s="53">
        <f>SUM(S41/S37)</f>
        <v>22</v>
      </c>
      <c r="U41" s="89"/>
      <c r="V41" s="89"/>
      <c r="W41" s="116"/>
    </row>
    <row r="42" spans="2:23" ht="20.25" thickTop="1" thickBot="1" x14ac:dyDescent="0.35">
      <c r="B42" s="126">
        <v>-8</v>
      </c>
      <c r="C42" s="94" t="s">
        <v>102</v>
      </c>
      <c r="D42" s="87" t="s">
        <v>132</v>
      </c>
      <c r="E42" s="9" t="s">
        <v>6</v>
      </c>
      <c r="F42" s="38">
        <f>IF(IF(F45=0,0,2),2,0)</f>
        <v>2</v>
      </c>
      <c r="G42" s="38">
        <f>IF(IF(G45=0,0,4),4,0)</f>
        <v>4</v>
      </c>
      <c r="H42" s="38">
        <f>IF(IF(H45=0,0,4),4,0)</f>
        <v>4</v>
      </c>
      <c r="I42" s="38">
        <f>IF(IF(I45=0,0,4),4,0)</f>
        <v>4</v>
      </c>
      <c r="J42" s="38">
        <f>IF(IF(J45=0,0,4),4,0)</f>
        <v>4</v>
      </c>
      <c r="K42" s="38">
        <f>IF(IF(K45=0,0,3),3,0)</f>
        <v>3</v>
      </c>
      <c r="L42" s="38">
        <f>IF(IF(L45=0,0,4),4,0)</f>
        <v>0</v>
      </c>
      <c r="M42" s="38">
        <f>IF(IF(M45=0,0,2),2,0)</f>
        <v>0</v>
      </c>
      <c r="N42" s="38">
        <f>IF(IF(N45=0,0,3),3,0)</f>
        <v>0</v>
      </c>
      <c r="O42" s="38">
        <f>IF(IF(O45=0,0,4),4,0)</f>
        <v>0</v>
      </c>
      <c r="P42" s="38">
        <f>IF(IF(P45=0,0,4),4,0)</f>
        <v>0</v>
      </c>
      <c r="Q42" s="38">
        <f>IF(IF(Q45=0,0,4),4,0)</f>
        <v>0</v>
      </c>
      <c r="R42" s="38">
        <f>IF(IF(R45=0,0,4),4,0)</f>
        <v>0</v>
      </c>
      <c r="S42" s="38">
        <f>SUM(F42:R42)</f>
        <v>21</v>
      </c>
      <c r="T42" s="39"/>
      <c r="U42" s="142"/>
      <c r="V42" s="142"/>
      <c r="W42" s="124"/>
    </row>
    <row r="43" spans="2:23" ht="19.5" thickTop="1" thickBot="1" x14ac:dyDescent="0.3">
      <c r="B43" s="120"/>
      <c r="C43" s="95"/>
      <c r="D43" s="88"/>
      <c r="E43" s="29" t="s">
        <v>142</v>
      </c>
      <c r="F43" s="41">
        <v>28</v>
      </c>
      <c r="G43" s="41">
        <v>0</v>
      </c>
      <c r="H43" s="41">
        <v>0</v>
      </c>
      <c r="I43" s="42">
        <v>0</v>
      </c>
      <c r="J43" s="42">
        <v>0</v>
      </c>
      <c r="K43" s="42">
        <v>0</v>
      </c>
      <c r="L43" s="80">
        <v>0</v>
      </c>
      <c r="M43" s="41"/>
      <c r="N43" s="41"/>
      <c r="O43" s="75"/>
      <c r="P43" s="42"/>
      <c r="Q43" s="42"/>
      <c r="R43" s="42"/>
      <c r="S43" s="42"/>
      <c r="T43" s="43"/>
      <c r="U43" s="102"/>
      <c r="V43" s="102"/>
      <c r="W43" s="115"/>
    </row>
    <row r="44" spans="2:23" ht="19.5" thickTop="1" thickBot="1" x14ac:dyDescent="0.3">
      <c r="B44" s="120"/>
      <c r="C44" s="95"/>
      <c r="D44" s="88"/>
      <c r="E44" s="30" t="s">
        <v>3</v>
      </c>
      <c r="F44" s="45"/>
      <c r="G44" s="45">
        <v>76</v>
      </c>
      <c r="H44" s="45">
        <v>60</v>
      </c>
      <c r="I44" s="45">
        <v>84</v>
      </c>
      <c r="J44" s="45">
        <v>50</v>
      </c>
      <c r="K44" s="45">
        <v>73</v>
      </c>
      <c r="L44" s="81">
        <v>0</v>
      </c>
      <c r="M44" s="45"/>
      <c r="N44" s="45"/>
      <c r="O44" s="76"/>
      <c r="P44" s="45"/>
      <c r="Q44" s="45"/>
      <c r="R44" s="45"/>
      <c r="S44" s="46"/>
      <c r="T44" s="47"/>
      <c r="U44" s="102"/>
      <c r="V44" s="102"/>
      <c r="W44" s="115"/>
    </row>
    <row r="45" spans="2:23" ht="19.5" thickTop="1" thickBot="1" x14ac:dyDescent="0.3">
      <c r="B45" s="120"/>
      <c r="C45" s="95"/>
      <c r="D45" s="88"/>
      <c r="E45" s="31" t="s">
        <v>4</v>
      </c>
      <c r="F45" s="45">
        <f t="shared" ref="F45:R45" si="21">IF(F44&lt;30,F43,F43+F44)</f>
        <v>28</v>
      </c>
      <c r="G45" s="45">
        <f t="shared" si="21"/>
        <v>76</v>
      </c>
      <c r="H45" s="45">
        <f t="shared" si="21"/>
        <v>60</v>
      </c>
      <c r="I45" s="45">
        <f t="shared" si="21"/>
        <v>84</v>
      </c>
      <c r="J45" s="45">
        <f t="shared" si="21"/>
        <v>50</v>
      </c>
      <c r="K45" s="45">
        <f t="shared" si="21"/>
        <v>73</v>
      </c>
      <c r="L45" s="81">
        <f t="shared" si="21"/>
        <v>0</v>
      </c>
      <c r="M45" s="45">
        <f t="shared" si="21"/>
        <v>0</v>
      </c>
      <c r="N45" s="45">
        <f t="shared" si="21"/>
        <v>0</v>
      </c>
      <c r="O45" s="76">
        <f t="shared" si="21"/>
        <v>0</v>
      </c>
      <c r="P45" s="45">
        <f t="shared" si="21"/>
        <v>0</v>
      </c>
      <c r="Q45" s="45">
        <f t="shared" si="21"/>
        <v>0</v>
      </c>
      <c r="R45" s="45">
        <f t="shared" si="21"/>
        <v>0</v>
      </c>
      <c r="S45" s="46"/>
      <c r="T45" s="47"/>
      <c r="U45" s="102"/>
      <c r="V45" s="102"/>
      <c r="W45" s="115"/>
    </row>
    <row r="46" spans="2:23" ht="37.5" thickTop="1" thickBot="1" x14ac:dyDescent="0.3">
      <c r="B46" s="121"/>
      <c r="C46" s="96"/>
      <c r="D46" s="89"/>
      <c r="E46" s="32" t="s">
        <v>7</v>
      </c>
      <c r="F46" s="36">
        <f t="shared" ref="F46:L46" si="22">SUM(F42*F45)</f>
        <v>56</v>
      </c>
      <c r="G46" s="36">
        <f t="shared" si="22"/>
        <v>304</v>
      </c>
      <c r="H46" s="36">
        <f t="shared" si="22"/>
        <v>240</v>
      </c>
      <c r="I46" s="36">
        <f t="shared" si="22"/>
        <v>336</v>
      </c>
      <c r="J46" s="36">
        <f t="shared" si="22"/>
        <v>200</v>
      </c>
      <c r="K46" s="36">
        <f t="shared" si="22"/>
        <v>219</v>
      </c>
      <c r="L46" s="82">
        <f t="shared" si="22"/>
        <v>0</v>
      </c>
      <c r="M46" s="36">
        <f t="shared" ref="M46:R46" si="23">SUM(M42*M45)</f>
        <v>0</v>
      </c>
      <c r="N46" s="36">
        <f t="shared" si="23"/>
        <v>0</v>
      </c>
      <c r="O46" s="77">
        <f t="shared" si="23"/>
        <v>0</v>
      </c>
      <c r="P46" s="36">
        <f t="shared" si="23"/>
        <v>0</v>
      </c>
      <c r="Q46" s="36">
        <f t="shared" si="23"/>
        <v>0</v>
      </c>
      <c r="R46" s="36">
        <f t="shared" si="23"/>
        <v>0</v>
      </c>
      <c r="S46" s="50">
        <f>SUM(F46:R46)</f>
        <v>1355</v>
      </c>
      <c r="T46" s="51">
        <f>SUM(S46/S42)</f>
        <v>64.523809523809518</v>
      </c>
      <c r="U46" s="103"/>
      <c r="V46" s="103"/>
      <c r="W46" s="116"/>
    </row>
    <row r="47" spans="2:23" ht="20.25" thickTop="1" thickBot="1" x14ac:dyDescent="0.35">
      <c r="B47" s="126">
        <v>-9</v>
      </c>
      <c r="C47" s="94"/>
      <c r="D47" s="87"/>
      <c r="E47" s="9" t="s">
        <v>6</v>
      </c>
      <c r="F47" s="38">
        <f>IF(IF(F50=0,0,2),2,0)</f>
        <v>0</v>
      </c>
      <c r="G47" s="38">
        <f>IF(IF(G50=0,0,4),4,0)</f>
        <v>0</v>
      </c>
      <c r="H47" s="38">
        <f>IF(IF(H50=0,0,4),4,0)</f>
        <v>0</v>
      </c>
      <c r="I47" s="38">
        <f>IF(IF(I50=0,0,4),4,0)</f>
        <v>0</v>
      </c>
      <c r="J47" s="38">
        <f>IF(IF(J50=0,0,4),4,0)</f>
        <v>0</v>
      </c>
      <c r="K47" s="38">
        <f>IF(IF(K50=0,0,3),3,0)</f>
        <v>0</v>
      </c>
      <c r="L47" s="38">
        <f>IF(IF(L50=0,0,4),4,0)</f>
        <v>0</v>
      </c>
      <c r="M47" s="38">
        <f>IF(IF(M50=0,0,2),2,0)</f>
        <v>0</v>
      </c>
      <c r="N47" s="38">
        <f>IF(IF(N50=0,0,3),3,0)</f>
        <v>0</v>
      </c>
      <c r="O47" s="38">
        <f>IF(IF(O50=0,0,4),4,0)</f>
        <v>0</v>
      </c>
      <c r="P47" s="38">
        <f>IF(IF(P50=0,0,4),4,0)</f>
        <v>0</v>
      </c>
      <c r="Q47" s="38">
        <f>IF(IF(Q50=0,0,4),4,0)</f>
        <v>0</v>
      </c>
      <c r="R47" s="38">
        <f>IF(IF(R50=0,0,4),4,0)</f>
        <v>0</v>
      </c>
      <c r="S47" s="38">
        <f>SUM(F47:R47)</f>
        <v>0</v>
      </c>
      <c r="T47" s="39"/>
      <c r="U47" s="101"/>
      <c r="V47" s="101"/>
      <c r="W47" s="124"/>
    </row>
    <row r="48" spans="2:23" ht="19.5" thickTop="1" thickBot="1" x14ac:dyDescent="0.3">
      <c r="B48" s="120"/>
      <c r="C48" s="95"/>
      <c r="D48" s="88"/>
      <c r="E48" s="29" t="s">
        <v>142</v>
      </c>
      <c r="F48" s="41"/>
      <c r="G48" s="41"/>
      <c r="H48" s="41"/>
      <c r="I48" s="42"/>
      <c r="J48" s="42"/>
      <c r="K48" s="42"/>
      <c r="L48" s="42"/>
      <c r="M48" s="41"/>
      <c r="N48" s="41"/>
      <c r="O48" s="41"/>
      <c r="P48" s="42"/>
      <c r="Q48" s="42"/>
      <c r="R48" s="42"/>
      <c r="S48" s="42"/>
      <c r="T48" s="43"/>
      <c r="U48" s="102"/>
      <c r="V48" s="102"/>
      <c r="W48" s="115"/>
    </row>
    <row r="49" spans="2:23" ht="19.5" thickTop="1" thickBot="1" x14ac:dyDescent="0.3">
      <c r="B49" s="120"/>
      <c r="C49" s="95"/>
      <c r="D49" s="88"/>
      <c r="E49" s="30" t="s">
        <v>3</v>
      </c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6"/>
      <c r="T49" s="47"/>
      <c r="U49" s="102"/>
      <c r="V49" s="102"/>
      <c r="W49" s="115"/>
    </row>
    <row r="50" spans="2:23" ht="19.5" thickTop="1" thickBot="1" x14ac:dyDescent="0.3">
      <c r="B50" s="120"/>
      <c r="C50" s="95"/>
      <c r="D50" s="88"/>
      <c r="E50" s="31" t="s">
        <v>4</v>
      </c>
      <c r="F50" s="45">
        <f t="shared" ref="F50:R50" si="24">IF(F49&lt;30,F48,F48+F49)</f>
        <v>0</v>
      </c>
      <c r="G50" s="45">
        <f t="shared" si="24"/>
        <v>0</v>
      </c>
      <c r="H50" s="45">
        <f t="shared" si="24"/>
        <v>0</v>
      </c>
      <c r="I50" s="45">
        <f t="shared" si="24"/>
        <v>0</v>
      </c>
      <c r="J50" s="45">
        <f t="shared" si="24"/>
        <v>0</v>
      </c>
      <c r="K50" s="45">
        <f t="shared" si="24"/>
        <v>0</v>
      </c>
      <c r="L50" s="45">
        <f t="shared" si="24"/>
        <v>0</v>
      </c>
      <c r="M50" s="45">
        <f t="shared" si="24"/>
        <v>0</v>
      </c>
      <c r="N50" s="45">
        <f t="shared" si="24"/>
        <v>0</v>
      </c>
      <c r="O50" s="45">
        <f t="shared" si="24"/>
        <v>0</v>
      </c>
      <c r="P50" s="45">
        <f t="shared" si="24"/>
        <v>0</v>
      </c>
      <c r="Q50" s="45">
        <f t="shared" si="24"/>
        <v>0</v>
      </c>
      <c r="R50" s="45">
        <f t="shared" si="24"/>
        <v>0</v>
      </c>
      <c r="S50" s="46"/>
      <c r="T50" s="47"/>
      <c r="U50" s="102"/>
      <c r="V50" s="102"/>
      <c r="W50" s="115"/>
    </row>
    <row r="51" spans="2:23" ht="37.5" thickTop="1" thickBot="1" x14ac:dyDescent="0.3">
      <c r="B51" s="121"/>
      <c r="C51" s="96"/>
      <c r="D51" s="89"/>
      <c r="E51" s="32" t="s">
        <v>7</v>
      </c>
      <c r="F51" s="36">
        <f t="shared" ref="F51:L51" si="25">SUM(F47*F50)</f>
        <v>0</v>
      </c>
      <c r="G51" s="36">
        <f t="shared" si="25"/>
        <v>0</v>
      </c>
      <c r="H51" s="36">
        <f t="shared" si="25"/>
        <v>0</v>
      </c>
      <c r="I51" s="36">
        <f t="shared" si="25"/>
        <v>0</v>
      </c>
      <c r="J51" s="36">
        <f t="shared" si="25"/>
        <v>0</v>
      </c>
      <c r="K51" s="36">
        <f t="shared" si="25"/>
        <v>0</v>
      </c>
      <c r="L51" s="36">
        <f t="shared" si="25"/>
        <v>0</v>
      </c>
      <c r="M51" s="36">
        <f t="shared" ref="M51:R51" si="26">SUM(M47*M50)</f>
        <v>0</v>
      </c>
      <c r="N51" s="36">
        <f t="shared" si="26"/>
        <v>0</v>
      </c>
      <c r="O51" s="36">
        <f t="shared" si="26"/>
        <v>0</v>
      </c>
      <c r="P51" s="36">
        <f t="shared" si="26"/>
        <v>0</v>
      </c>
      <c r="Q51" s="36">
        <f t="shared" si="26"/>
        <v>0</v>
      </c>
      <c r="R51" s="36">
        <f t="shared" si="26"/>
        <v>0</v>
      </c>
      <c r="S51" s="50">
        <f>SUM(F51:R51)</f>
        <v>0</v>
      </c>
      <c r="T51" s="51" t="e">
        <f>SUM(S51/S47)</f>
        <v>#DIV/0!</v>
      </c>
      <c r="U51" s="103"/>
      <c r="V51" s="103"/>
      <c r="W51" s="116"/>
    </row>
    <row r="52" spans="2:23" ht="20.25" thickTop="1" thickBot="1" x14ac:dyDescent="0.35">
      <c r="B52" s="126">
        <v>-10</v>
      </c>
      <c r="C52" s="94"/>
      <c r="D52" s="87"/>
      <c r="E52" s="10" t="s">
        <v>6</v>
      </c>
      <c r="F52" s="38">
        <f>IF(IF(F55=0,0,2),2,0)</f>
        <v>0</v>
      </c>
      <c r="G52" s="38">
        <f>IF(IF(G55=0,0,4),4,0)</f>
        <v>0</v>
      </c>
      <c r="H52" s="38">
        <f>IF(IF(H55=0,0,4),4,0)</f>
        <v>0</v>
      </c>
      <c r="I52" s="38">
        <f>IF(IF(I55=0,0,4),4,0)</f>
        <v>0</v>
      </c>
      <c r="J52" s="38">
        <f>IF(IF(J55=0,0,4),4,0)</f>
        <v>0</v>
      </c>
      <c r="K52" s="38">
        <f>IF(IF(K55=0,0,3),3,0)</f>
        <v>0</v>
      </c>
      <c r="L52" s="38">
        <f>IF(IF(L55=0,0,4),4,0)</f>
        <v>0</v>
      </c>
      <c r="M52" s="38">
        <f>IF(IF(M55=0,0,2),2,0)</f>
        <v>0</v>
      </c>
      <c r="N52" s="38">
        <f>IF(IF(N55=0,0,3),3,0)</f>
        <v>0</v>
      </c>
      <c r="O52" s="38">
        <f>IF(IF(O55=0,0,4),4,0)</f>
        <v>0</v>
      </c>
      <c r="P52" s="38">
        <f>IF(IF(P55=0,0,4),4,0)</f>
        <v>0</v>
      </c>
      <c r="Q52" s="38">
        <f>IF(IF(Q55=0,0,4),4,0)</f>
        <v>0</v>
      </c>
      <c r="R52" s="38">
        <f>IF(IF(R55=0,0,4),4,0)</f>
        <v>0</v>
      </c>
      <c r="S52" s="38">
        <f>SUM(F52:R52)</f>
        <v>0</v>
      </c>
      <c r="T52" s="39"/>
      <c r="U52" s="101"/>
      <c r="V52" s="101"/>
      <c r="W52" s="124"/>
    </row>
    <row r="53" spans="2:23" ht="19.5" thickTop="1" thickBot="1" x14ac:dyDescent="0.3">
      <c r="B53" s="120"/>
      <c r="C53" s="95"/>
      <c r="D53" s="88"/>
      <c r="E53" s="33" t="s">
        <v>142</v>
      </c>
      <c r="F53" s="41"/>
      <c r="G53" s="41"/>
      <c r="H53" s="41"/>
      <c r="I53" s="42"/>
      <c r="J53" s="42"/>
      <c r="K53" s="42"/>
      <c r="L53" s="42"/>
      <c r="M53" s="41"/>
      <c r="N53" s="41"/>
      <c r="O53" s="41"/>
      <c r="P53" s="42"/>
      <c r="Q53" s="42"/>
      <c r="R53" s="42"/>
      <c r="S53" s="42"/>
      <c r="T53" s="43"/>
      <c r="U53" s="102"/>
      <c r="V53" s="102"/>
      <c r="W53" s="115"/>
    </row>
    <row r="54" spans="2:23" ht="19.5" thickTop="1" thickBot="1" x14ac:dyDescent="0.3">
      <c r="B54" s="120"/>
      <c r="C54" s="95"/>
      <c r="D54" s="88"/>
      <c r="E54" s="30" t="s">
        <v>3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6"/>
      <c r="T54" s="47"/>
      <c r="U54" s="102"/>
      <c r="V54" s="102"/>
      <c r="W54" s="115"/>
    </row>
    <row r="55" spans="2:23" ht="19.5" thickTop="1" thickBot="1" x14ac:dyDescent="0.3">
      <c r="B55" s="120"/>
      <c r="C55" s="95"/>
      <c r="D55" s="88"/>
      <c r="E55" s="31" t="s">
        <v>4</v>
      </c>
      <c r="F55" s="45">
        <f t="shared" ref="F55:R55" si="27">IF(F54&lt;30,F53,F53+F54)</f>
        <v>0</v>
      </c>
      <c r="G55" s="45">
        <f t="shared" si="27"/>
        <v>0</v>
      </c>
      <c r="H55" s="45">
        <f t="shared" si="27"/>
        <v>0</v>
      </c>
      <c r="I55" s="45">
        <f t="shared" si="27"/>
        <v>0</v>
      </c>
      <c r="J55" s="45">
        <f t="shared" si="27"/>
        <v>0</v>
      </c>
      <c r="K55" s="45">
        <f t="shared" si="27"/>
        <v>0</v>
      </c>
      <c r="L55" s="45">
        <f t="shared" si="27"/>
        <v>0</v>
      </c>
      <c r="M55" s="45">
        <f t="shared" si="27"/>
        <v>0</v>
      </c>
      <c r="N55" s="45">
        <f t="shared" si="27"/>
        <v>0</v>
      </c>
      <c r="O55" s="45">
        <f t="shared" si="27"/>
        <v>0</v>
      </c>
      <c r="P55" s="45">
        <f t="shared" si="27"/>
        <v>0</v>
      </c>
      <c r="Q55" s="45">
        <f t="shared" si="27"/>
        <v>0</v>
      </c>
      <c r="R55" s="45">
        <f t="shared" si="27"/>
        <v>0</v>
      </c>
      <c r="S55" s="46"/>
      <c r="T55" s="47"/>
      <c r="U55" s="102"/>
      <c r="V55" s="102"/>
      <c r="W55" s="115"/>
    </row>
    <row r="56" spans="2:23" ht="37.5" thickTop="1" thickBot="1" x14ac:dyDescent="0.3">
      <c r="B56" s="121"/>
      <c r="C56" s="96"/>
      <c r="D56" s="89"/>
      <c r="E56" s="35" t="s">
        <v>7</v>
      </c>
      <c r="F56" s="36">
        <f t="shared" ref="F56:L56" si="28">SUM(F52*F55)</f>
        <v>0</v>
      </c>
      <c r="G56" s="36">
        <f t="shared" si="28"/>
        <v>0</v>
      </c>
      <c r="H56" s="36">
        <f t="shared" si="28"/>
        <v>0</v>
      </c>
      <c r="I56" s="36">
        <f t="shared" si="28"/>
        <v>0</v>
      </c>
      <c r="J56" s="36">
        <f t="shared" si="28"/>
        <v>0</v>
      </c>
      <c r="K56" s="36">
        <f t="shared" si="28"/>
        <v>0</v>
      </c>
      <c r="L56" s="36">
        <f t="shared" si="28"/>
        <v>0</v>
      </c>
      <c r="M56" s="36">
        <f t="shared" ref="M56:R56" si="29">SUM(M52*M55)</f>
        <v>0</v>
      </c>
      <c r="N56" s="36">
        <f t="shared" si="29"/>
        <v>0</v>
      </c>
      <c r="O56" s="36">
        <f t="shared" si="29"/>
        <v>0</v>
      </c>
      <c r="P56" s="36">
        <f t="shared" si="29"/>
        <v>0</v>
      </c>
      <c r="Q56" s="36">
        <f t="shared" si="29"/>
        <v>0</v>
      </c>
      <c r="R56" s="36">
        <f t="shared" si="29"/>
        <v>0</v>
      </c>
      <c r="S56" s="50">
        <f>SUM(F56:R56)</f>
        <v>0</v>
      </c>
      <c r="T56" s="51" t="e">
        <f>SUM(S56/S52)</f>
        <v>#DIV/0!</v>
      </c>
      <c r="U56" s="103"/>
      <c r="V56" s="103"/>
      <c r="W56" s="116"/>
    </row>
    <row r="57" spans="2:23" ht="20.25" thickTop="1" thickBot="1" x14ac:dyDescent="0.35">
      <c r="B57" s="126">
        <v>-11</v>
      </c>
      <c r="C57" s="94"/>
      <c r="D57" s="87"/>
      <c r="E57" s="10" t="s">
        <v>6</v>
      </c>
      <c r="F57" s="38">
        <f>IF(IF(F60=0,0,2),2,0)</f>
        <v>0</v>
      </c>
      <c r="G57" s="38">
        <f>IF(IF(G60=0,0,4),4,0)</f>
        <v>0</v>
      </c>
      <c r="H57" s="38">
        <f>IF(IF(H60=0,0,4),4,0)</f>
        <v>0</v>
      </c>
      <c r="I57" s="38">
        <f>IF(IF(I60=0,0,4),4,0)</f>
        <v>0</v>
      </c>
      <c r="J57" s="38">
        <f>IF(IF(J60=0,0,4),4,0)</f>
        <v>0</v>
      </c>
      <c r="K57" s="38">
        <f>IF(IF(K60=0,0,3),3,0)</f>
        <v>0</v>
      </c>
      <c r="L57" s="38">
        <f>IF(IF(L60=0,0,4),4,0)</f>
        <v>0</v>
      </c>
      <c r="M57" s="38">
        <f>IF(IF(M60=0,0,2),2,0)</f>
        <v>0</v>
      </c>
      <c r="N57" s="38">
        <f>IF(IF(N60=0,0,3),3,0)</f>
        <v>0</v>
      </c>
      <c r="O57" s="38">
        <f>IF(IF(O60=0,0,4),4,0)</f>
        <v>0</v>
      </c>
      <c r="P57" s="38">
        <f>IF(IF(P60=0,0,4),4,0)</f>
        <v>0</v>
      </c>
      <c r="Q57" s="38">
        <f>IF(IF(Q60=0,0,4),4,0)</f>
        <v>0</v>
      </c>
      <c r="R57" s="38">
        <f>IF(IF(R60=0,0,4),4,0)</f>
        <v>0</v>
      </c>
      <c r="S57" s="38">
        <f>SUM(F57:R57)</f>
        <v>0</v>
      </c>
      <c r="T57" s="39"/>
      <c r="U57" s="101"/>
      <c r="V57" s="101"/>
      <c r="W57" s="124"/>
    </row>
    <row r="58" spans="2:23" ht="19.5" thickTop="1" thickBot="1" x14ac:dyDescent="0.3">
      <c r="B58" s="120"/>
      <c r="C58" s="95"/>
      <c r="D58" s="88"/>
      <c r="E58" s="33" t="s">
        <v>142</v>
      </c>
      <c r="F58" s="41"/>
      <c r="G58" s="41"/>
      <c r="H58" s="41"/>
      <c r="I58" s="42"/>
      <c r="J58" s="42"/>
      <c r="K58" s="42"/>
      <c r="L58" s="42"/>
      <c r="M58" s="41"/>
      <c r="N58" s="41"/>
      <c r="O58" s="41"/>
      <c r="P58" s="42"/>
      <c r="Q58" s="42"/>
      <c r="R58" s="42"/>
      <c r="S58" s="42"/>
      <c r="T58" s="43"/>
      <c r="U58" s="102"/>
      <c r="V58" s="102"/>
      <c r="W58" s="115"/>
    </row>
    <row r="59" spans="2:23" ht="19.5" thickTop="1" thickBot="1" x14ac:dyDescent="0.3">
      <c r="B59" s="120"/>
      <c r="C59" s="95"/>
      <c r="D59" s="88"/>
      <c r="E59" s="30" t="s">
        <v>3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6"/>
      <c r="T59" s="47"/>
      <c r="U59" s="102"/>
      <c r="V59" s="102"/>
      <c r="W59" s="115"/>
    </row>
    <row r="60" spans="2:23" ht="19.5" thickTop="1" thickBot="1" x14ac:dyDescent="0.3">
      <c r="B60" s="120"/>
      <c r="C60" s="95"/>
      <c r="D60" s="88"/>
      <c r="E60" s="31" t="s">
        <v>4</v>
      </c>
      <c r="F60" s="45">
        <f t="shared" ref="F60:R60" si="30">IF(F59&lt;30,F58,F58+F59)</f>
        <v>0</v>
      </c>
      <c r="G60" s="45">
        <f t="shared" si="30"/>
        <v>0</v>
      </c>
      <c r="H60" s="45">
        <f t="shared" si="30"/>
        <v>0</v>
      </c>
      <c r="I60" s="45">
        <f t="shared" si="30"/>
        <v>0</v>
      </c>
      <c r="J60" s="45">
        <f t="shared" si="30"/>
        <v>0</v>
      </c>
      <c r="K60" s="45">
        <f t="shared" si="30"/>
        <v>0</v>
      </c>
      <c r="L60" s="45">
        <f t="shared" si="30"/>
        <v>0</v>
      </c>
      <c r="M60" s="45">
        <f t="shared" si="30"/>
        <v>0</v>
      </c>
      <c r="N60" s="45">
        <f t="shared" si="30"/>
        <v>0</v>
      </c>
      <c r="O60" s="45">
        <f t="shared" si="30"/>
        <v>0</v>
      </c>
      <c r="P60" s="45">
        <f t="shared" si="30"/>
        <v>0</v>
      </c>
      <c r="Q60" s="45">
        <f t="shared" si="30"/>
        <v>0</v>
      </c>
      <c r="R60" s="45">
        <f t="shared" si="30"/>
        <v>0</v>
      </c>
      <c r="S60" s="46"/>
      <c r="T60" s="47"/>
      <c r="U60" s="102"/>
      <c r="V60" s="102"/>
      <c r="W60" s="115"/>
    </row>
    <row r="61" spans="2:23" ht="37.5" thickTop="1" thickBot="1" x14ac:dyDescent="0.3">
      <c r="B61" s="121"/>
      <c r="C61" s="96"/>
      <c r="D61" s="89"/>
      <c r="E61" s="35" t="s">
        <v>7</v>
      </c>
      <c r="F61" s="36">
        <f t="shared" ref="F61:L61" si="31">SUM(F57*F60)</f>
        <v>0</v>
      </c>
      <c r="G61" s="36">
        <f t="shared" si="31"/>
        <v>0</v>
      </c>
      <c r="H61" s="36">
        <f t="shared" si="31"/>
        <v>0</v>
      </c>
      <c r="I61" s="36">
        <f t="shared" si="31"/>
        <v>0</v>
      </c>
      <c r="J61" s="36">
        <f t="shared" si="31"/>
        <v>0</v>
      </c>
      <c r="K61" s="36">
        <f t="shared" si="31"/>
        <v>0</v>
      </c>
      <c r="L61" s="36">
        <f t="shared" si="31"/>
        <v>0</v>
      </c>
      <c r="M61" s="36">
        <f t="shared" ref="M61:R61" si="32">SUM(M57*M60)</f>
        <v>0</v>
      </c>
      <c r="N61" s="36">
        <f t="shared" si="32"/>
        <v>0</v>
      </c>
      <c r="O61" s="36">
        <f t="shared" si="32"/>
        <v>0</v>
      </c>
      <c r="P61" s="36">
        <f t="shared" si="32"/>
        <v>0</v>
      </c>
      <c r="Q61" s="36">
        <f t="shared" si="32"/>
        <v>0</v>
      </c>
      <c r="R61" s="36">
        <f t="shared" si="32"/>
        <v>0</v>
      </c>
      <c r="S61" s="50">
        <f>SUM(F61:R61)</f>
        <v>0</v>
      </c>
      <c r="T61" s="51" t="e">
        <f>SUM(S61/S57)</f>
        <v>#DIV/0!</v>
      </c>
      <c r="U61" s="103"/>
      <c r="V61" s="103"/>
      <c r="W61" s="116"/>
    </row>
    <row r="62" spans="2:23" ht="20.25" thickTop="1" thickBot="1" x14ac:dyDescent="0.35">
      <c r="B62" s="126">
        <v>-12</v>
      </c>
      <c r="C62" s="94"/>
      <c r="D62" s="87"/>
      <c r="E62" s="10" t="s">
        <v>6</v>
      </c>
      <c r="F62" s="38">
        <f>IF(IF(F65=0,0,2),2,0)</f>
        <v>0</v>
      </c>
      <c r="G62" s="38">
        <f>IF(IF(G65=0,0,4),4,0)</f>
        <v>0</v>
      </c>
      <c r="H62" s="38">
        <f>IF(IF(H65=0,0,4),4,0)</f>
        <v>0</v>
      </c>
      <c r="I62" s="38">
        <f>IF(IF(I65=0,0,4),4,0)</f>
        <v>0</v>
      </c>
      <c r="J62" s="38">
        <f>IF(IF(J65=0,0,4),4,0)</f>
        <v>0</v>
      </c>
      <c r="K62" s="38">
        <f>IF(IF(K65=0,0,3),3,0)</f>
        <v>0</v>
      </c>
      <c r="L62" s="38">
        <f>IF(IF(L65=0,0,4),4,0)</f>
        <v>0</v>
      </c>
      <c r="M62" s="38">
        <f>IF(IF(M65=0,0,2),2,0)</f>
        <v>0</v>
      </c>
      <c r="N62" s="38">
        <f>IF(IF(N65=0,0,3),3,0)</f>
        <v>0</v>
      </c>
      <c r="O62" s="38">
        <f>IF(IF(O65=0,0,4),4,0)</f>
        <v>0</v>
      </c>
      <c r="P62" s="38">
        <f>IF(IF(P65=0,0,4),4,0)</f>
        <v>0</v>
      </c>
      <c r="Q62" s="38">
        <f>IF(IF(Q65=0,0,4),4,0)</f>
        <v>0</v>
      </c>
      <c r="R62" s="38">
        <f>IF(IF(R65=0,0,4),4,0)</f>
        <v>0</v>
      </c>
      <c r="S62" s="38">
        <f>SUM(F62:R62)</f>
        <v>0</v>
      </c>
      <c r="T62" s="39"/>
      <c r="U62" s="101"/>
      <c r="V62" s="101"/>
      <c r="W62" s="124"/>
    </row>
    <row r="63" spans="2:23" ht="19.5" thickTop="1" thickBot="1" x14ac:dyDescent="0.3">
      <c r="B63" s="120"/>
      <c r="C63" s="95"/>
      <c r="D63" s="88"/>
      <c r="E63" s="33" t="s">
        <v>142</v>
      </c>
      <c r="F63" s="41"/>
      <c r="G63" s="41"/>
      <c r="H63" s="41"/>
      <c r="I63" s="42"/>
      <c r="J63" s="42"/>
      <c r="K63" s="42"/>
      <c r="L63" s="42"/>
      <c r="M63" s="41"/>
      <c r="N63" s="41"/>
      <c r="O63" s="41"/>
      <c r="P63" s="42"/>
      <c r="Q63" s="42"/>
      <c r="R63" s="42"/>
      <c r="S63" s="42"/>
      <c r="T63" s="43"/>
      <c r="U63" s="102"/>
      <c r="V63" s="102"/>
      <c r="W63" s="115"/>
    </row>
    <row r="64" spans="2:23" ht="19.5" thickTop="1" thickBot="1" x14ac:dyDescent="0.3">
      <c r="B64" s="120"/>
      <c r="C64" s="95"/>
      <c r="D64" s="88"/>
      <c r="E64" s="30" t="s">
        <v>3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6"/>
      <c r="T64" s="47"/>
      <c r="U64" s="102"/>
      <c r="V64" s="102"/>
      <c r="W64" s="115"/>
    </row>
    <row r="65" spans="2:23" ht="19.5" thickTop="1" thickBot="1" x14ac:dyDescent="0.3">
      <c r="B65" s="120"/>
      <c r="C65" s="95"/>
      <c r="D65" s="88"/>
      <c r="E65" s="31" t="s">
        <v>4</v>
      </c>
      <c r="F65" s="45">
        <f t="shared" ref="F65:R65" si="33">IF(F64&lt;30,F63,F63+F64)</f>
        <v>0</v>
      </c>
      <c r="G65" s="45">
        <f t="shared" si="33"/>
        <v>0</v>
      </c>
      <c r="H65" s="45">
        <f t="shared" si="33"/>
        <v>0</v>
      </c>
      <c r="I65" s="45">
        <f t="shared" si="33"/>
        <v>0</v>
      </c>
      <c r="J65" s="45">
        <f t="shared" si="33"/>
        <v>0</v>
      </c>
      <c r="K65" s="45">
        <f t="shared" si="33"/>
        <v>0</v>
      </c>
      <c r="L65" s="45">
        <f t="shared" si="33"/>
        <v>0</v>
      </c>
      <c r="M65" s="45">
        <f t="shared" si="33"/>
        <v>0</v>
      </c>
      <c r="N65" s="45">
        <f t="shared" si="33"/>
        <v>0</v>
      </c>
      <c r="O65" s="45">
        <f t="shared" si="33"/>
        <v>0</v>
      </c>
      <c r="P65" s="45">
        <f t="shared" si="33"/>
        <v>0</v>
      </c>
      <c r="Q65" s="45">
        <f t="shared" si="33"/>
        <v>0</v>
      </c>
      <c r="R65" s="45">
        <f t="shared" si="33"/>
        <v>0</v>
      </c>
      <c r="S65" s="46"/>
      <c r="T65" s="47"/>
      <c r="U65" s="102"/>
      <c r="V65" s="102"/>
      <c r="W65" s="115"/>
    </row>
    <row r="66" spans="2:23" ht="37.5" thickTop="1" thickBot="1" x14ac:dyDescent="0.3">
      <c r="B66" s="121"/>
      <c r="C66" s="96"/>
      <c r="D66" s="89"/>
      <c r="E66" s="32" t="s">
        <v>7</v>
      </c>
      <c r="F66" s="36">
        <f t="shared" ref="F66:L66" si="34">SUM(F62*F65)</f>
        <v>0</v>
      </c>
      <c r="G66" s="36">
        <f t="shared" si="34"/>
        <v>0</v>
      </c>
      <c r="H66" s="36">
        <f t="shared" si="34"/>
        <v>0</v>
      </c>
      <c r="I66" s="36">
        <f t="shared" si="34"/>
        <v>0</v>
      </c>
      <c r="J66" s="36">
        <f t="shared" si="34"/>
        <v>0</v>
      </c>
      <c r="K66" s="36">
        <f t="shared" si="34"/>
        <v>0</v>
      </c>
      <c r="L66" s="36">
        <f t="shared" si="34"/>
        <v>0</v>
      </c>
      <c r="M66" s="36">
        <f t="shared" ref="M66:R66" si="35">SUM(M62*M65)</f>
        <v>0</v>
      </c>
      <c r="N66" s="36">
        <f t="shared" si="35"/>
        <v>0</v>
      </c>
      <c r="O66" s="36">
        <f t="shared" si="35"/>
        <v>0</v>
      </c>
      <c r="P66" s="36">
        <f t="shared" si="35"/>
        <v>0</v>
      </c>
      <c r="Q66" s="36">
        <f t="shared" si="35"/>
        <v>0</v>
      </c>
      <c r="R66" s="36">
        <f t="shared" si="35"/>
        <v>0</v>
      </c>
      <c r="S66" s="50">
        <f>SUM(F66:R66)</f>
        <v>0</v>
      </c>
      <c r="T66" s="51" t="e">
        <f>SUM(S66/S62)</f>
        <v>#DIV/0!</v>
      </c>
      <c r="U66" s="103"/>
      <c r="V66" s="103"/>
      <c r="W66" s="116"/>
    </row>
    <row r="67" spans="2:23" ht="20.25" thickTop="1" thickBot="1" x14ac:dyDescent="0.35">
      <c r="B67" s="126">
        <v>-13</v>
      </c>
      <c r="C67" s="94"/>
      <c r="D67" s="87"/>
      <c r="E67" s="10" t="s">
        <v>6</v>
      </c>
      <c r="F67" s="38">
        <f>IF(IF(F70=0,0,2),2,0)</f>
        <v>0</v>
      </c>
      <c r="G67" s="38">
        <f>IF(IF(G70=0,0,4),4,0)</f>
        <v>0</v>
      </c>
      <c r="H67" s="38">
        <f>IF(IF(H70=0,0,4),4,0)</f>
        <v>0</v>
      </c>
      <c r="I67" s="38">
        <f>IF(IF(I70=0,0,4),4,0)</f>
        <v>0</v>
      </c>
      <c r="J67" s="38">
        <f>IF(IF(J70=0,0,4),4,0)</f>
        <v>0</v>
      </c>
      <c r="K67" s="38">
        <f>IF(IF(K70=0,0,3),3,0)</f>
        <v>0</v>
      </c>
      <c r="L67" s="38">
        <f>IF(IF(L70=0,0,4),4,0)</f>
        <v>0</v>
      </c>
      <c r="M67" s="38">
        <f>IF(IF(M70=0,0,2),2,0)</f>
        <v>0</v>
      </c>
      <c r="N67" s="38">
        <f>IF(IF(N70=0,0,3),3,0)</f>
        <v>0</v>
      </c>
      <c r="O67" s="38">
        <f>IF(IF(O70=0,0,4),4,0)</f>
        <v>0</v>
      </c>
      <c r="P67" s="38">
        <f>IF(IF(P70=0,0,4),4,0)</f>
        <v>0</v>
      </c>
      <c r="Q67" s="38">
        <f>IF(IF(Q70=0,0,4),4,0)</f>
        <v>0</v>
      </c>
      <c r="R67" s="38">
        <f>IF(IF(R70=0,0,4),4,0)</f>
        <v>0</v>
      </c>
      <c r="S67" s="38">
        <f>SUM(F67:R67)</f>
        <v>0</v>
      </c>
      <c r="T67" s="39"/>
      <c r="U67" s="101"/>
      <c r="V67" s="101"/>
      <c r="W67" s="124"/>
    </row>
    <row r="68" spans="2:23" ht="19.5" thickTop="1" thickBot="1" x14ac:dyDescent="0.3">
      <c r="B68" s="120"/>
      <c r="C68" s="95"/>
      <c r="D68" s="88"/>
      <c r="E68" s="33" t="s">
        <v>142</v>
      </c>
      <c r="F68" s="41"/>
      <c r="G68" s="41"/>
      <c r="H68" s="41"/>
      <c r="I68" s="42"/>
      <c r="J68" s="42"/>
      <c r="K68" s="42"/>
      <c r="L68" s="42"/>
      <c r="M68" s="41"/>
      <c r="N68" s="41"/>
      <c r="O68" s="41"/>
      <c r="P68" s="42"/>
      <c r="Q68" s="42"/>
      <c r="R68" s="42"/>
      <c r="S68" s="42"/>
      <c r="T68" s="43"/>
      <c r="U68" s="102"/>
      <c r="V68" s="102"/>
      <c r="W68" s="115"/>
    </row>
    <row r="69" spans="2:23" ht="19.5" thickTop="1" thickBot="1" x14ac:dyDescent="0.3">
      <c r="B69" s="120"/>
      <c r="C69" s="95"/>
      <c r="D69" s="88"/>
      <c r="E69" s="30" t="s">
        <v>3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6"/>
      <c r="T69" s="47"/>
      <c r="U69" s="102"/>
      <c r="V69" s="102"/>
      <c r="W69" s="115"/>
    </row>
    <row r="70" spans="2:23" ht="19.5" thickTop="1" thickBot="1" x14ac:dyDescent="0.3">
      <c r="B70" s="120"/>
      <c r="C70" s="95"/>
      <c r="D70" s="88"/>
      <c r="E70" s="31" t="s">
        <v>4</v>
      </c>
      <c r="F70" s="45">
        <f t="shared" ref="F70:R70" si="36">IF(F69&lt;30,F68,F68+F69)</f>
        <v>0</v>
      </c>
      <c r="G70" s="45">
        <f t="shared" si="36"/>
        <v>0</v>
      </c>
      <c r="H70" s="45">
        <f t="shared" si="36"/>
        <v>0</v>
      </c>
      <c r="I70" s="45">
        <f t="shared" si="36"/>
        <v>0</v>
      </c>
      <c r="J70" s="45">
        <f t="shared" si="36"/>
        <v>0</v>
      </c>
      <c r="K70" s="45">
        <f t="shared" si="36"/>
        <v>0</v>
      </c>
      <c r="L70" s="45">
        <f t="shared" si="36"/>
        <v>0</v>
      </c>
      <c r="M70" s="45">
        <f t="shared" si="36"/>
        <v>0</v>
      </c>
      <c r="N70" s="45">
        <f t="shared" si="36"/>
        <v>0</v>
      </c>
      <c r="O70" s="45">
        <f t="shared" si="36"/>
        <v>0</v>
      </c>
      <c r="P70" s="45">
        <f t="shared" si="36"/>
        <v>0</v>
      </c>
      <c r="Q70" s="45">
        <f t="shared" si="36"/>
        <v>0</v>
      </c>
      <c r="R70" s="45">
        <f t="shared" si="36"/>
        <v>0</v>
      </c>
      <c r="S70" s="46"/>
      <c r="T70" s="47"/>
      <c r="U70" s="102"/>
      <c r="V70" s="102"/>
      <c r="W70" s="115"/>
    </row>
    <row r="71" spans="2:23" ht="37.5" thickTop="1" thickBot="1" x14ac:dyDescent="0.3">
      <c r="B71" s="121"/>
      <c r="C71" s="96"/>
      <c r="D71" s="89"/>
      <c r="E71" s="32" t="s">
        <v>7</v>
      </c>
      <c r="F71" s="53">
        <f t="shared" ref="F71:L71" si="37">SUM(F67*F70)</f>
        <v>0</v>
      </c>
      <c r="G71" s="53">
        <f t="shared" si="37"/>
        <v>0</v>
      </c>
      <c r="H71" s="53">
        <f t="shared" si="37"/>
        <v>0</v>
      </c>
      <c r="I71" s="53">
        <f t="shared" si="37"/>
        <v>0</v>
      </c>
      <c r="J71" s="53">
        <f t="shared" si="37"/>
        <v>0</v>
      </c>
      <c r="K71" s="53">
        <f t="shared" si="37"/>
        <v>0</v>
      </c>
      <c r="L71" s="53">
        <f t="shared" si="37"/>
        <v>0</v>
      </c>
      <c r="M71" s="53">
        <f t="shared" ref="M71:R71" si="38">SUM(M67*M70)</f>
        <v>0</v>
      </c>
      <c r="N71" s="53">
        <f t="shared" si="38"/>
        <v>0</v>
      </c>
      <c r="O71" s="53">
        <f t="shared" si="38"/>
        <v>0</v>
      </c>
      <c r="P71" s="53">
        <f t="shared" si="38"/>
        <v>0</v>
      </c>
      <c r="Q71" s="53">
        <f t="shared" si="38"/>
        <v>0</v>
      </c>
      <c r="R71" s="53">
        <f t="shared" si="38"/>
        <v>0</v>
      </c>
      <c r="S71" s="54">
        <f>SUM(F71:R71)</f>
        <v>0</v>
      </c>
      <c r="T71" s="53" t="e">
        <f>SUM(S71/S67)</f>
        <v>#DIV/0!</v>
      </c>
      <c r="U71" s="103"/>
      <c r="V71" s="103"/>
      <c r="W71" s="116"/>
    </row>
    <row r="72" spans="2:23" ht="13.5" thickTop="1" x14ac:dyDescent="0.2"/>
  </sheetData>
  <mergeCells count="87">
    <mergeCell ref="B67:B71"/>
    <mergeCell ref="C67:C71"/>
    <mergeCell ref="D67:D71"/>
    <mergeCell ref="U67:U71"/>
    <mergeCell ref="V67:V71"/>
    <mergeCell ref="W67:W71"/>
    <mergeCell ref="B62:B66"/>
    <mergeCell ref="C62:C66"/>
    <mergeCell ref="D62:D66"/>
    <mergeCell ref="U62:U66"/>
    <mergeCell ref="V62:V66"/>
    <mergeCell ref="W62:W66"/>
    <mergeCell ref="B57:B61"/>
    <mergeCell ref="C57:C61"/>
    <mergeCell ref="D57:D61"/>
    <mergeCell ref="U57:U61"/>
    <mergeCell ref="V57:V61"/>
    <mergeCell ref="W57:W61"/>
    <mergeCell ref="B52:B56"/>
    <mergeCell ref="C52:C56"/>
    <mergeCell ref="D52:D56"/>
    <mergeCell ref="U52:U56"/>
    <mergeCell ref="V52:V56"/>
    <mergeCell ref="W52:W56"/>
    <mergeCell ref="B47:B51"/>
    <mergeCell ref="C47:C51"/>
    <mergeCell ref="D47:D51"/>
    <mergeCell ref="U47:U51"/>
    <mergeCell ref="V47:V51"/>
    <mergeCell ref="W47:W51"/>
    <mergeCell ref="B42:B46"/>
    <mergeCell ref="C42:C46"/>
    <mergeCell ref="D42:D46"/>
    <mergeCell ref="U42:U46"/>
    <mergeCell ref="V42:V46"/>
    <mergeCell ref="W42:W46"/>
    <mergeCell ref="B37:B41"/>
    <mergeCell ref="C37:C41"/>
    <mergeCell ref="D37:D41"/>
    <mergeCell ref="U37:U41"/>
    <mergeCell ref="V37:V41"/>
    <mergeCell ref="W37:W41"/>
    <mergeCell ref="B32:B36"/>
    <mergeCell ref="C32:C36"/>
    <mergeCell ref="D32:D36"/>
    <mergeCell ref="U32:U36"/>
    <mergeCell ref="V32:V36"/>
    <mergeCell ref="W32:W36"/>
    <mergeCell ref="B27:B31"/>
    <mergeCell ref="C27:C31"/>
    <mergeCell ref="D27:D31"/>
    <mergeCell ref="U27:U31"/>
    <mergeCell ref="V27:V31"/>
    <mergeCell ref="W27:W31"/>
    <mergeCell ref="B22:B26"/>
    <mergeCell ref="C22:C26"/>
    <mergeCell ref="D22:D26"/>
    <mergeCell ref="U22:U26"/>
    <mergeCell ref="V22:V26"/>
    <mergeCell ref="W22:W26"/>
    <mergeCell ref="B17:B21"/>
    <mergeCell ref="C17:C21"/>
    <mergeCell ref="D17:D21"/>
    <mergeCell ref="U17:U21"/>
    <mergeCell ref="V17:V21"/>
    <mergeCell ref="W17:W21"/>
    <mergeCell ref="W7:W11"/>
    <mergeCell ref="B12:B16"/>
    <mergeCell ref="C12:C16"/>
    <mergeCell ref="D12:D16"/>
    <mergeCell ref="U12:U16"/>
    <mergeCell ref="V12:V16"/>
    <mergeCell ref="W12:W16"/>
    <mergeCell ref="S5:S6"/>
    <mergeCell ref="T5:T6"/>
    <mergeCell ref="V5:V6"/>
    <mergeCell ref="B7:B11"/>
    <mergeCell ref="C7:C11"/>
    <mergeCell ref="D7:D11"/>
    <mergeCell ref="U7:U11"/>
    <mergeCell ref="V7:V11"/>
    <mergeCell ref="B5:B6"/>
    <mergeCell ref="C5:C6"/>
    <mergeCell ref="D5:D6"/>
    <mergeCell ref="E5:E6"/>
    <mergeCell ref="F5:L5"/>
    <mergeCell ref="M5:R5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EA15-C999-4AAD-AA68-92832443ECE1}">
  <dimension ref="B4:X72"/>
  <sheetViews>
    <sheetView rightToLeft="1" tabSelected="1" topLeftCell="A56" workbookViewId="0">
      <selection activeCell="AB7" sqref="AB7"/>
    </sheetView>
  </sheetViews>
  <sheetFormatPr defaultRowHeight="12.75" x14ac:dyDescent="0.2"/>
  <cols>
    <col min="3" max="3" width="25.140625" customWidth="1"/>
    <col min="24" max="24" width="30" customWidth="1"/>
  </cols>
  <sheetData>
    <row r="4" spans="2:24" ht="13.5" thickBot="1" x14ac:dyDescent="0.25"/>
    <row r="5" spans="2:24" ht="16.5" thickTop="1" thickBot="1" x14ac:dyDescent="0.25">
      <c r="B5" s="137" t="s">
        <v>0</v>
      </c>
      <c r="C5" s="133" t="s">
        <v>8</v>
      </c>
      <c r="D5" s="128" t="s">
        <v>1</v>
      </c>
      <c r="E5" s="133" t="s">
        <v>2</v>
      </c>
      <c r="F5" s="130" t="s">
        <v>60</v>
      </c>
      <c r="G5" s="131"/>
      <c r="H5" s="131"/>
      <c r="I5" s="131"/>
      <c r="J5" s="131"/>
      <c r="K5" s="131"/>
      <c r="L5" s="132"/>
      <c r="M5" s="139" t="s">
        <v>59</v>
      </c>
      <c r="N5" s="140"/>
      <c r="O5" s="140"/>
      <c r="P5" s="140"/>
      <c r="Q5" s="140"/>
      <c r="R5" s="140"/>
      <c r="S5" s="140"/>
      <c r="T5" s="128" t="s">
        <v>4</v>
      </c>
      <c r="U5" s="128" t="s">
        <v>9</v>
      </c>
      <c r="V5" s="27"/>
      <c r="W5" s="128" t="s">
        <v>42</v>
      </c>
      <c r="X5" s="28"/>
    </row>
    <row r="6" spans="2:24" ht="116.25" thickTop="1" thickBot="1" x14ac:dyDescent="0.25">
      <c r="B6" s="138"/>
      <c r="C6" s="143"/>
      <c r="D6" s="135"/>
      <c r="E6" s="134"/>
      <c r="F6" s="25" t="s">
        <v>53</v>
      </c>
      <c r="G6" s="25" t="s">
        <v>30</v>
      </c>
      <c r="H6" s="25" t="s">
        <v>55</v>
      </c>
      <c r="I6" s="25" t="s">
        <v>56</v>
      </c>
      <c r="J6" s="25" t="s">
        <v>31</v>
      </c>
      <c r="K6" s="25" t="s">
        <v>57</v>
      </c>
      <c r="L6" s="25" t="s">
        <v>58</v>
      </c>
      <c r="M6" s="25" t="s">
        <v>54</v>
      </c>
      <c r="N6" s="25" t="s">
        <v>50</v>
      </c>
      <c r="O6" s="25" t="s">
        <v>13</v>
      </c>
      <c r="P6" s="25" t="s">
        <v>51</v>
      </c>
      <c r="Q6" s="25" t="s">
        <v>29</v>
      </c>
      <c r="R6" s="25" t="s">
        <v>52</v>
      </c>
      <c r="S6" s="25" t="s">
        <v>37</v>
      </c>
      <c r="T6" s="129"/>
      <c r="U6" s="129"/>
      <c r="V6" s="25" t="s">
        <v>41</v>
      </c>
      <c r="W6" s="129"/>
      <c r="X6" s="26" t="s">
        <v>43</v>
      </c>
    </row>
    <row r="7" spans="2:24" ht="20.25" thickTop="1" thickBot="1" x14ac:dyDescent="0.35">
      <c r="B7" s="126">
        <v>-1</v>
      </c>
      <c r="C7" s="94" t="s">
        <v>28</v>
      </c>
      <c r="D7" s="87" t="s">
        <v>130</v>
      </c>
      <c r="E7" s="9" t="s">
        <v>6</v>
      </c>
      <c r="F7" s="38">
        <f>IF(IF(F10=0,0,2),2,0)</f>
        <v>2</v>
      </c>
      <c r="G7" s="38">
        <f>IF(IF(G10=0,0,4),4,0)</f>
        <v>4</v>
      </c>
      <c r="H7" s="38">
        <f>IF(IF(H10=0,0,4),4,0)</f>
        <v>4</v>
      </c>
      <c r="I7" s="38">
        <f>IF(IF(I10=0,0,4),4,0)</f>
        <v>0</v>
      </c>
      <c r="J7" s="38">
        <f>IF(IF(J10=0,0,3),3,0)</f>
        <v>3</v>
      </c>
      <c r="K7" s="38">
        <f>IF(IF(K10=0,0,4),4,0)</f>
        <v>4</v>
      </c>
      <c r="L7" s="38">
        <f>IF(IF(L10=0,0,2),2,0)</f>
        <v>2</v>
      </c>
      <c r="M7" s="38">
        <f>IF(IF(M10=0,0,2),2,0)</f>
        <v>0</v>
      </c>
      <c r="N7" s="38">
        <f>IF(IF(N10=0,0,4),4,0)</f>
        <v>0</v>
      </c>
      <c r="O7" s="38">
        <f>IF(IF(O10=0,0,4),4,0)</f>
        <v>0</v>
      </c>
      <c r="P7" s="38">
        <f>IF(IF(P10=0,0,4),4,0)</f>
        <v>0</v>
      </c>
      <c r="Q7" s="38">
        <f>IF(IF(Q10=0,0,4),4,0)</f>
        <v>0</v>
      </c>
      <c r="R7" s="38">
        <f>IF(IF(R10=0,0,3),3,0)</f>
        <v>0</v>
      </c>
      <c r="S7" s="38">
        <f>IF(IF(S10=0,0,4),4,0)</f>
        <v>0</v>
      </c>
      <c r="T7" s="38">
        <f>SUM(F7:S7)</f>
        <v>19</v>
      </c>
      <c r="U7" s="39"/>
      <c r="V7" s="87"/>
      <c r="W7" s="87"/>
      <c r="X7" s="117"/>
    </row>
    <row r="8" spans="2:24" ht="19.5" thickTop="1" thickBot="1" x14ac:dyDescent="0.3">
      <c r="B8" s="120"/>
      <c r="C8" s="95"/>
      <c r="D8" s="88"/>
      <c r="E8" s="29" t="s">
        <v>142</v>
      </c>
      <c r="F8" s="41">
        <v>0</v>
      </c>
      <c r="G8" s="41">
        <v>0</v>
      </c>
      <c r="H8" s="41">
        <v>0</v>
      </c>
      <c r="I8" s="42">
        <v>0</v>
      </c>
      <c r="J8" s="42">
        <v>29</v>
      </c>
      <c r="K8" s="42">
        <v>15</v>
      </c>
      <c r="L8" s="42">
        <v>36</v>
      </c>
      <c r="M8" s="41">
        <v>0</v>
      </c>
      <c r="N8" s="41">
        <v>0</v>
      </c>
      <c r="O8" s="41">
        <v>0</v>
      </c>
      <c r="P8" s="42">
        <v>0</v>
      </c>
      <c r="Q8" s="42">
        <v>0</v>
      </c>
      <c r="R8" s="42">
        <v>0</v>
      </c>
      <c r="S8" s="78">
        <v>0</v>
      </c>
      <c r="T8" s="42"/>
      <c r="U8" s="43"/>
      <c r="V8" s="88"/>
      <c r="W8" s="88"/>
      <c r="X8" s="115"/>
    </row>
    <row r="9" spans="2:24" ht="19.5" thickTop="1" thickBot="1" x14ac:dyDescent="0.3">
      <c r="B9" s="120"/>
      <c r="C9" s="95"/>
      <c r="D9" s="88"/>
      <c r="E9" s="30" t="s">
        <v>3</v>
      </c>
      <c r="F9" s="45">
        <v>63</v>
      </c>
      <c r="G9" s="45">
        <v>79</v>
      </c>
      <c r="H9" s="45">
        <v>94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5">
        <v>0</v>
      </c>
      <c r="O9" s="45">
        <v>0</v>
      </c>
      <c r="P9" s="45">
        <v>0</v>
      </c>
      <c r="Q9" s="45">
        <v>0</v>
      </c>
      <c r="R9" s="45">
        <v>0</v>
      </c>
      <c r="S9" s="76">
        <v>0</v>
      </c>
      <c r="T9" s="46"/>
      <c r="U9" s="47"/>
      <c r="V9" s="88"/>
      <c r="W9" s="88"/>
      <c r="X9" s="115"/>
    </row>
    <row r="10" spans="2:24" ht="19.5" thickTop="1" thickBot="1" x14ac:dyDescent="0.3">
      <c r="B10" s="120"/>
      <c r="C10" s="95"/>
      <c r="D10" s="88"/>
      <c r="E10" s="31" t="s">
        <v>4</v>
      </c>
      <c r="F10" s="45">
        <f t="shared" ref="F10:S10" si="0">IF(F9&lt;30,F8,F8+F9)</f>
        <v>63</v>
      </c>
      <c r="G10" s="45">
        <f t="shared" si="0"/>
        <v>79</v>
      </c>
      <c r="H10" s="45">
        <f t="shared" si="0"/>
        <v>94</v>
      </c>
      <c r="I10" s="45">
        <f t="shared" si="0"/>
        <v>0</v>
      </c>
      <c r="J10" s="45">
        <f t="shared" si="0"/>
        <v>29</v>
      </c>
      <c r="K10" s="45">
        <f t="shared" si="0"/>
        <v>15</v>
      </c>
      <c r="L10" s="45">
        <f t="shared" si="0"/>
        <v>36</v>
      </c>
      <c r="M10" s="45">
        <f t="shared" si="0"/>
        <v>0</v>
      </c>
      <c r="N10" s="45">
        <f t="shared" si="0"/>
        <v>0</v>
      </c>
      <c r="O10" s="45">
        <f t="shared" si="0"/>
        <v>0</v>
      </c>
      <c r="P10" s="45">
        <f t="shared" si="0"/>
        <v>0</v>
      </c>
      <c r="Q10" s="45">
        <f t="shared" si="0"/>
        <v>0</v>
      </c>
      <c r="R10" s="45">
        <f t="shared" si="0"/>
        <v>0</v>
      </c>
      <c r="S10" s="76">
        <f t="shared" si="0"/>
        <v>0</v>
      </c>
      <c r="T10" s="46"/>
      <c r="U10" s="47"/>
      <c r="V10" s="88"/>
      <c r="W10" s="88"/>
      <c r="X10" s="115"/>
    </row>
    <row r="11" spans="2:24" ht="37.5" thickTop="1" thickBot="1" x14ac:dyDescent="0.3">
      <c r="B11" s="121"/>
      <c r="C11" s="96"/>
      <c r="D11" s="89"/>
      <c r="E11" s="32" t="s">
        <v>7</v>
      </c>
      <c r="F11" s="36">
        <f t="shared" ref="F11:L11" si="1">SUM(F7*F10)</f>
        <v>126</v>
      </c>
      <c r="G11" s="36">
        <f t="shared" si="1"/>
        <v>316</v>
      </c>
      <c r="H11" s="36">
        <f t="shared" si="1"/>
        <v>376</v>
      </c>
      <c r="I11" s="36">
        <f t="shared" si="1"/>
        <v>0</v>
      </c>
      <c r="J11" s="36">
        <f t="shared" si="1"/>
        <v>87</v>
      </c>
      <c r="K11" s="36">
        <f t="shared" si="1"/>
        <v>60</v>
      </c>
      <c r="L11" s="36">
        <f t="shared" si="1"/>
        <v>72</v>
      </c>
      <c r="M11" s="36">
        <f t="shared" ref="M11:S11" si="2">SUM(M7*M10)</f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36">
        <f t="shared" si="2"/>
        <v>0</v>
      </c>
      <c r="R11" s="36">
        <f t="shared" si="2"/>
        <v>0</v>
      </c>
      <c r="S11" s="77">
        <f t="shared" si="2"/>
        <v>0</v>
      </c>
      <c r="T11" s="50">
        <f>SUM(F11:S11)</f>
        <v>1037</v>
      </c>
      <c r="U11" s="51">
        <f>SUM(T11/T7)</f>
        <v>54.578947368421055</v>
      </c>
      <c r="V11" s="89"/>
      <c r="W11" s="89"/>
      <c r="X11" s="116"/>
    </row>
    <row r="12" spans="2:24" ht="20.25" thickTop="1" thickBot="1" x14ac:dyDescent="0.35">
      <c r="B12" s="126">
        <v>-2</v>
      </c>
      <c r="C12" s="94" t="s">
        <v>75</v>
      </c>
      <c r="D12" s="88" t="s">
        <v>131</v>
      </c>
      <c r="E12" s="9" t="s">
        <v>6</v>
      </c>
      <c r="F12" s="38">
        <f>IF(IF(F15=0,0,2),2,0)</f>
        <v>2</v>
      </c>
      <c r="G12" s="38">
        <f>IF(IF(G15=0,0,4),4,0)</f>
        <v>0</v>
      </c>
      <c r="H12" s="38">
        <f>IF(IF(H15=0,0,4),4,0)</f>
        <v>0</v>
      </c>
      <c r="I12" s="38">
        <f>IF(IF(I15=0,0,4),4,0)</f>
        <v>0</v>
      </c>
      <c r="J12" s="38">
        <f>IF(IF(J15=0,0,3),3,0)</f>
        <v>3</v>
      </c>
      <c r="K12" s="38">
        <f>IF(IF(K15=0,0,4),4,0)</f>
        <v>4</v>
      </c>
      <c r="L12" s="38">
        <f>IF(IF(L15=0,0,2),2,0)</f>
        <v>2</v>
      </c>
      <c r="M12" s="38">
        <f>IF(IF(M15=0,0,2),2,0)</f>
        <v>0</v>
      </c>
      <c r="N12" s="38">
        <f>IF(IF(N15=0,0,4),4,0)</f>
        <v>0</v>
      </c>
      <c r="O12" s="38">
        <f>IF(IF(O15=0,0,4),4,0)</f>
        <v>0</v>
      </c>
      <c r="P12" s="38">
        <f>IF(IF(P15=0,0,4),4,0)</f>
        <v>0</v>
      </c>
      <c r="Q12" s="38">
        <f>IF(IF(Q15=0,0,4),4,0)</f>
        <v>0</v>
      </c>
      <c r="R12" s="38">
        <f>IF(IF(R15=0,0,3),3,0)</f>
        <v>0</v>
      </c>
      <c r="S12" s="38">
        <f>IF(IF(S15=0,0,4),4,0)</f>
        <v>0</v>
      </c>
      <c r="T12" s="38">
        <f>SUM(F12:S12)</f>
        <v>11</v>
      </c>
      <c r="U12" s="39"/>
      <c r="V12" s="87"/>
      <c r="W12" s="87"/>
      <c r="X12" s="117"/>
    </row>
    <row r="13" spans="2:24" ht="19.5" thickTop="1" thickBot="1" x14ac:dyDescent="0.3">
      <c r="B13" s="120"/>
      <c r="C13" s="95"/>
      <c r="D13" s="88"/>
      <c r="E13" s="29" t="s">
        <v>142</v>
      </c>
      <c r="F13" s="41">
        <v>22</v>
      </c>
      <c r="G13" s="41">
        <v>0</v>
      </c>
      <c r="H13" s="41">
        <v>0</v>
      </c>
      <c r="I13" s="42">
        <v>0</v>
      </c>
      <c r="J13" s="42">
        <v>27</v>
      </c>
      <c r="K13" s="42">
        <v>29</v>
      </c>
      <c r="L13" s="42">
        <v>39</v>
      </c>
      <c r="M13" s="41">
        <v>0</v>
      </c>
      <c r="N13" s="41">
        <v>0</v>
      </c>
      <c r="O13" s="75">
        <v>0</v>
      </c>
      <c r="P13" s="42">
        <v>0</v>
      </c>
      <c r="Q13" s="41">
        <v>0</v>
      </c>
      <c r="R13" s="42">
        <v>0</v>
      </c>
      <c r="S13" s="78">
        <v>0</v>
      </c>
      <c r="T13" s="42"/>
      <c r="U13" s="43"/>
      <c r="V13" s="88"/>
      <c r="W13" s="88"/>
      <c r="X13" s="115"/>
    </row>
    <row r="14" spans="2:24" ht="19.5" thickTop="1" thickBot="1" x14ac:dyDescent="0.3">
      <c r="B14" s="120"/>
      <c r="C14" s="95"/>
      <c r="D14" s="88"/>
      <c r="E14" s="30" t="s">
        <v>3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5">
        <v>0</v>
      </c>
      <c r="O14" s="76">
        <v>0</v>
      </c>
      <c r="P14" s="45">
        <v>0</v>
      </c>
      <c r="Q14" s="45">
        <v>0</v>
      </c>
      <c r="R14" s="45">
        <v>0</v>
      </c>
      <c r="S14" s="76">
        <v>0</v>
      </c>
      <c r="T14" s="46"/>
      <c r="U14" s="47"/>
      <c r="V14" s="88"/>
      <c r="W14" s="88"/>
      <c r="X14" s="115"/>
    </row>
    <row r="15" spans="2:24" ht="19.5" thickTop="1" thickBot="1" x14ac:dyDescent="0.3">
      <c r="B15" s="120"/>
      <c r="C15" s="95"/>
      <c r="D15" s="88"/>
      <c r="E15" s="31" t="s">
        <v>4</v>
      </c>
      <c r="F15" s="45">
        <f t="shared" ref="F15:S15" si="3">IF(F14&lt;30,F13,F13+F14)</f>
        <v>22</v>
      </c>
      <c r="G15" s="45">
        <f t="shared" si="3"/>
        <v>0</v>
      </c>
      <c r="H15" s="45">
        <f t="shared" si="3"/>
        <v>0</v>
      </c>
      <c r="I15" s="45">
        <f t="shared" si="3"/>
        <v>0</v>
      </c>
      <c r="J15" s="45">
        <f t="shared" si="3"/>
        <v>27</v>
      </c>
      <c r="K15" s="45">
        <f t="shared" si="3"/>
        <v>29</v>
      </c>
      <c r="L15" s="45">
        <f t="shared" si="3"/>
        <v>39</v>
      </c>
      <c r="M15" s="45">
        <f t="shared" si="3"/>
        <v>0</v>
      </c>
      <c r="N15" s="45">
        <f t="shared" si="3"/>
        <v>0</v>
      </c>
      <c r="O15" s="76">
        <f t="shared" si="3"/>
        <v>0</v>
      </c>
      <c r="P15" s="45">
        <f t="shared" si="3"/>
        <v>0</v>
      </c>
      <c r="Q15" s="45">
        <f>IF(Q14&lt;30,Q13,Q13+Q14)</f>
        <v>0</v>
      </c>
      <c r="R15" s="45">
        <f t="shared" si="3"/>
        <v>0</v>
      </c>
      <c r="S15" s="76">
        <f t="shared" si="3"/>
        <v>0</v>
      </c>
      <c r="T15" s="46"/>
      <c r="U15" s="47"/>
      <c r="V15" s="88"/>
      <c r="W15" s="88"/>
      <c r="X15" s="115"/>
    </row>
    <row r="16" spans="2:24" ht="37.5" thickTop="1" thickBot="1" x14ac:dyDescent="0.3">
      <c r="B16" s="121"/>
      <c r="C16" s="96"/>
      <c r="D16" s="89"/>
      <c r="E16" s="32" t="s">
        <v>7</v>
      </c>
      <c r="F16" s="36">
        <f t="shared" ref="F16:S16" si="4">SUM(F12*F15)</f>
        <v>44</v>
      </c>
      <c r="G16" s="36">
        <f t="shared" si="4"/>
        <v>0</v>
      </c>
      <c r="H16" s="36">
        <f t="shared" si="4"/>
        <v>0</v>
      </c>
      <c r="I16" s="36">
        <f t="shared" si="4"/>
        <v>0</v>
      </c>
      <c r="J16" s="36">
        <f t="shared" si="4"/>
        <v>81</v>
      </c>
      <c r="K16" s="36">
        <f t="shared" si="4"/>
        <v>116</v>
      </c>
      <c r="L16" s="36">
        <f t="shared" si="4"/>
        <v>78</v>
      </c>
      <c r="M16" s="36">
        <f t="shared" si="4"/>
        <v>0</v>
      </c>
      <c r="N16" s="36">
        <f t="shared" si="4"/>
        <v>0</v>
      </c>
      <c r="O16" s="77">
        <f t="shared" si="4"/>
        <v>0</v>
      </c>
      <c r="P16" s="36">
        <f t="shared" si="4"/>
        <v>0</v>
      </c>
      <c r="Q16" s="36">
        <f>SUM(Q12*Q15)</f>
        <v>0</v>
      </c>
      <c r="R16" s="36">
        <f t="shared" si="4"/>
        <v>0</v>
      </c>
      <c r="S16" s="77">
        <f t="shared" si="4"/>
        <v>0</v>
      </c>
      <c r="T16" s="50">
        <f>SUM(F16:S16)</f>
        <v>319</v>
      </c>
      <c r="U16" s="51">
        <f>SUM(T16/T12)</f>
        <v>29</v>
      </c>
      <c r="V16" s="89"/>
      <c r="W16" s="89"/>
      <c r="X16" s="116"/>
    </row>
    <row r="17" spans="2:24" ht="20.25" thickTop="1" thickBot="1" x14ac:dyDescent="0.35">
      <c r="B17" s="126">
        <v>-3</v>
      </c>
      <c r="C17" s="94" t="s">
        <v>35</v>
      </c>
      <c r="D17" s="88" t="s">
        <v>132</v>
      </c>
      <c r="E17" s="10" t="s">
        <v>6</v>
      </c>
      <c r="F17" s="38">
        <f>IF(IF(F20=0,0,2),2,0)</f>
        <v>2</v>
      </c>
      <c r="G17" s="38">
        <f>IF(IF(G20=0,0,4),4,0)</f>
        <v>0</v>
      </c>
      <c r="H17" s="38">
        <f>IF(IF(H20=0,0,4),4,0)</f>
        <v>0</v>
      </c>
      <c r="I17" s="38">
        <f>IF(IF(I20=0,0,4),4,0)</f>
        <v>0</v>
      </c>
      <c r="J17" s="38">
        <f>IF(IF(J20=0,0,3),3,0)</f>
        <v>3</v>
      </c>
      <c r="K17" s="38">
        <f>IF(IF(K20=0,0,4),4,0)</f>
        <v>4</v>
      </c>
      <c r="L17" s="38">
        <f>IF(IF(L20=0,0,2),2,0)</f>
        <v>2</v>
      </c>
      <c r="M17" s="38">
        <f>IF(IF(M20=0,0,2),2,0)</f>
        <v>0</v>
      </c>
      <c r="N17" s="38">
        <f>IF(IF(N20=0,0,4),4,0)</f>
        <v>0</v>
      </c>
      <c r="O17" s="38">
        <f>IF(IF(O20=0,0,4),4,0)</f>
        <v>0</v>
      </c>
      <c r="P17" s="38">
        <f>IF(IF(P20=0,0,4),4,0)</f>
        <v>0</v>
      </c>
      <c r="Q17" s="38">
        <f>IF(IF(Q20=0,0,4),4,0)</f>
        <v>4</v>
      </c>
      <c r="R17" s="38">
        <f>IF(IF(R20=0,0,3),3,0)</f>
        <v>0</v>
      </c>
      <c r="S17" s="38">
        <f>IF(IF(S20=0,0,4),4,0)</f>
        <v>0</v>
      </c>
      <c r="T17" s="38">
        <f>SUM(F17:S17)</f>
        <v>15</v>
      </c>
      <c r="U17" s="39"/>
      <c r="V17" s="87"/>
      <c r="W17" s="87"/>
      <c r="X17" s="117"/>
    </row>
    <row r="18" spans="2:24" ht="19.5" thickTop="1" thickBot="1" x14ac:dyDescent="0.3">
      <c r="B18" s="120"/>
      <c r="C18" s="95"/>
      <c r="D18" s="88"/>
      <c r="E18" s="33" t="s">
        <v>142</v>
      </c>
      <c r="F18" s="41">
        <v>36</v>
      </c>
      <c r="G18" s="41">
        <v>0</v>
      </c>
      <c r="H18" s="41">
        <v>0</v>
      </c>
      <c r="I18" s="42">
        <v>0</v>
      </c>
      <c r="J18" s="42">
        <v>31</v>
      </c>
      <c r="K18" s="42">
        <v>30</v>
      </c>
      <c r="L18" s="42">
        <v>39</v>
      </c>
      <c r="M18" s="41">
        <v>0</v>
      </c>
      <c r="N18" s="41">
        <v>0</v>
      </c>
      <c r="O18" s="41">
        <v>0</v>
      </c>
      <c r="P18" s="42">
        <v>0</v>
      </c>
      <c r="Q18" s="78">
        <v>28</v>
      </c>
      <c r="R18" s="42">
        <v>0</v>
      </c>
      <c r="S18" s="42">
        <v>0</v>
      </c>
      <c r="T18" s="42"/>
      <c r="U18" s="43"/>
      <c r="V18" s="88"/>
      <c r="W18" s="88"/>
      <c r="X18" s="115"/>
    </row>
    <row r="19" spans="2:24" ht="19.5" thickTop="1" thickBot="1" x14ac:dyDescent="0.3">
      <c r="B19" s="120"/>
      <c r="C19" s="95"/>
      <c r="D19" s="88"/>
      <c r="E19" s="30" t="s">
        <v>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0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76">
        <v>0</v>
      </c>
      <c r="R19" s="45">
        <v>0</v>
      </c>
      <c r="S19" s="45">
        <v>0</v>
      </c>
      <c r="T19" s="46"/>
      <c r="U19" s="47"/>
      <c r="V19" s="88"/>
      <c r="W19" s="88"/>
      <c r="X19" s="115"/>
    </row>
    <row r="20" spans="2:24" ht="19.5" thickTop="1" thickBot="1" x14ac:dyDescent="0.3">
      <c r="B20" s="120"/>
      <c r="C20" s="95"/>
      <c r="D20" s="88"/>
      <c r="E20" s="31" t="s">
        <v>4</v>
      </c>
      <c r="F20" s="45">
        <f t="shared" ref="F20:S20" si="5">IF(F19&lt;30,F18,F18+F19)</f>
        <v>36</v>
      </c>
      <c r="G20" s="45">
        <f t="shared" si="5"/>
        <v>0</v>
      </c>
      <c r="H20" s="45">
        <f t="shared" si="5"/>
        <v>0</v>
      </c>
      <c r="I20" s="45">
        <f t="shared" si="5"/>
        <v>0</v>
      </c>
      <c r="J20" s="45">
        <f t="shared" si="5"/>
        <v>31</v>
      </c>
      <c r="K20" s="45">
        <f t="shared" si="5"/>
        <v>30</v>
      </c>
      <c r="L20" s="45">
        <f t="shared" si="5"/>
        <v>39</v>
      </c>
      <c r="M20" s="45">
        <f t="shared" si="5"/>
        <v>0</v>
      </c>
      <c r="N20" s="45">
        <f t="shared" si="5"/>
        <v>0</v>
      </c>
      <c r="O20" s="45">
        <f t="shared" si="5"/>
        <v>0</v>
      </c>
      <c r="P20" s="45">
        <f t="shared" si="5"/>
        <v>0</v>
      </c>
      <c r="Q20" s="76">
        <f t="shared" si="5"/>
        <v>28</v>
      </c>
      <c r="R20" s="45">
        <f t="shared" si="5"/>
        <v>0</v>
      </c>
      <c r="S20" s="45">
        <f t="shared" si="5"/>
        <v>0</v>
      </c>
      <c r="T20" s="46"/>
      <c r="U20" s="47"/>
      <c r="V20" s="88"/>
      <c r="W20" s="88"/>
      <c r="X20" s="115"/>
    </row>
    <row r="21" spans="2:24" ht="37.5" thickTop="1" thickBot="1" x14ac:dyDescent="0.3">
      <c r="B21" s="121"/>
      <c r="C21" s="96"/>
      <c r="D21" s="89"/>
      <c r="E21" s="35" t="s">
        <v>7</v>
      </c>
      <c r="F21" s="36">
        <f t="shared" ref="F21:L21" si="6">SUM(F17*F20)</f>
        <v>72</v>
      </c>
      <c r="G21" s="36">
        <f t="shared" si="6"/>
        <v>0</v>
      </c>
      <c r="H21" s="36">
        <f t="shared" si="6"/>
        <v>0</v>
      </c>
      <c r="I21" s="36">
        <f t="shared" si="6"/>
        <v>0</v>
      </c>
      <c r="J21" s="36">
        <f t="shared" si="6"/>
        <v>93</v>
      </c>
      <c r="K21" s="36">
        <f t="shared" si="6"/>
        <v>120</v>
      </c>
      <c r="L21" s="36">
        <f t="shared" si="6"/>
        <v>78</v>
      </c>
      <c r="M21" s="36">
        <f t="shared" ref="M21:S21" si="7">SUM(M17*M20)</f>
        <v>0</v>
      </c>
      <c r="N21" s="36">
        <f t="shared" si="7"/>
        <v>0</v>
      </c>
      <c r="O21" s="36">
        <f t="shared" si="7"/>
        <v>0</v>
      </c>
      <c r="P21" s="36">
        <f t="shared" si="7"/>
        <v>0</v>
      </c>
      <c r="Q21" s="77">
        <f t="shared" si="7"/>
        <v>112</v>
      </c>
      <c r="R21" s="36">
        <f t="shared" si="7"/>
        <v>0</v>
      </c>
      <c r="S21" s="36">
        <f t="shared" si="7"/>
        <v>0</v>
      </c>
      <c r="T21" s="50">
        <f>SUM(F21:S21)</f>
        <v>475</v>
      </c>
      <c r="U21" s="51">
        <f>SUM(T21/T17)</f>
        <v>31.666666666666668</v>
      </c>
      <c r="V21" s="89"/>
      <c r="W21" s="89"/>
      <c r="X21" s="116"/>
    </row>
    <row r="22" spans="2:24" ht="20.25" thickTop="1" thickBot="1" x14ac:dyDescent="0.35">
      <c r="B22" s="126">
        <v>-4</v>
      </c>
      <c r="C22" s="94" t="s">
        <v>36</v>
      </c>
      <c r="D22" s="88" t="s">
        <v>133</v>
      </c>
      <c r="E22" s="10" t="s">
        <v>6</v>
      </c>
      <c r="F22" s="38">
        <f>IF(IF(F25=0,0,2),2,0)</f>
        <v>2</v>
      </c>
      <c r="G22" s="38">
        <f>IF(IF(G25=0,0,4),4,0)</f>
        <v>0</v>
      </c>
      <c r="H22" s="38">
        <f>IF(IF(H25=0,0,4),4,0)</f>
        <v>0</v>
      </c>
      <c r="I22" s="38">
        <f>IF(IF(I25=0,0,4),4,0)</f>
        <v>0</v>
      </c>
      <c r="J22" s="38">
        <f>IF(IF(J25=0,0,3),3,0)</f>
        <v>3</v>
      </c>
      <c r="K22" s="38">
        <f>IF(IF(K25=0,0,4),4,0)</f>
        <v>4</v>
      </c>
      <c r="L22" s="38">
        <f>IF(IF(L25=0,0,2),2,0)</f>
        <v>2</v>
      </c>
      <c r="M22" s="38">
        <f>IF(IF(M25=0,0,2),2,0)</f>
        <v>0</v>
      </c>
      <c r="N22" s="38">
        <f>IF(IF(N25=0,0,4),4,0)</f>
        <v>0</v>
      </c>
      <c r="O22" s="38">
        <f>IF(IF(O25=0,0,4),4,0)</f>
        <v>0</v>
      </c>
      <c r="P22" s="38">
        <f>IF(IF(P25=0,0,4),4,0)</f>
        <v>0</v>
      </c>
      <c r="Q22" s="38">
        <f>IF(IF(Q25=0,0,4),4,0)</f>
        <v>0</v>
      </c>
      <c r="R22" s="38">
        <f>IF(IF(R25=0,0,3),3,0)</f>
        <v>0</v>
      </c>
      <c r="S22" s="38">
        <f>IF(IF(S25=0,0,4),4,0)</f>
        <v>0</v>
      </c>
      <c r="T22" s="38">
        <f>SUM(F22:S22)</f>
        <v>11</v>
      </c>
      <c r="U22" s="39"/>
      <c r="V22" s="87"/>
      <c r="W22" s="87"/>
      <c r="X22" s="117"/>
    </row>
    <row r="23" spans="2:24" ht="19.5" thickTop="1" thickBot="1" x14ac:dyDescent="0.3">
      <c r="B23" s="120"/>
      <c r="C23" s="95"/>
      <c r="D23" s="88"/>
      <c r="E23" s="33" t="s">
        <v>142</v>
      </c>
      <c r="F23" s="41">
        <v>31</v>
      </c>
      <c r="G23" s="41">
        <v>0</v>
      </c>
      <c r="H23" s="41">
        <v>0</v>
      </c>
      <c r="I23" s="42">
        <v>0</v>
      </c>
      <c r="J23" s="42">
        <v>38</v>
      </c>
      <c r="K23" s="42">
        <v>30</v>
      </c>
      <c r="L23" s="42">
        <v>31</v>
      </c>
      <c r="M23" s="41">
        <v>0</v>
      </c>
      <c r="N23" s="41">
        <v>0</v>
      </c>
      <c r="O23" s="41">
        <v>0</v>
      </c>
      <c r="P23" s="42">
        <v>0</v>
      </c>
      <c r="Q23" s="42">
        <v>0</v>
      </c>
      <c r="R23" s="42">
        <v>0</v>
      </c>
      <c r="S23" s="78">
        <v>0</v>
      </c>
      <c r="T23" s="42"/>
      <c r="U23" s="43"/>
      <c r="V23" s="88"/>
      <c r="W23" s="88"/>
      <c r="X23" s="115"/>
    </row>
    <row r="24" spans="2:24" ht="19.5" thickTop="1" thickBot="1" x14ac:dyDescent="0.3">
      <c r="B24" s="120"/>
      <c r="C24" s="95"/>
      <c r="D24" s="88"/>
      <c r="E24" s="30" t="s">
        <v>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0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76">
        <v>0</v>
      </c>
      <c r="T24" s="46"/>
      <c r="U24" s="47"/>
      <c r="V24" s="88"/>
      <c r="W24" s="88"/>
      <c r="X24" s="115"/>
    </row>
    <row r="25" spans="2:24" ht="19.5" thickTop="1" thickBot="1" x14ac:dyDescent="0.3">
      <c r="B25" s="120"/>
      <c r="C25" s="95"/>
      <c r="D25" s="88"/>
      <c r="E25" s="31" t="s">
        <v>4</v>
      </c>
      <c r="F25" s="45">
        <f t="shared" ref="F25:S25" si="8">IF(F24&lt;30,F23,F23+F24)</f>
        <v>31</v>
      </c>
      <c r="G25" s="45">
        <f t="shared" si="8"/>
        <v>0</v>
      </c>
      <c r="H25" s="45">
        <f t="shared" si="8"/>
        <v>0</v>
      </c>
      <c r="I25" s="45">
        <f t="shared" si="8"/>
        <v>0</v>
      </c>
      <c r="J25" s="45">
        <f t="shared" si="8"/>
        <v>38</v>
      </c>
      <c r="K25" s="45">
        <f t="shared" si="8"/>
        <v>30</v>
      </c>
      <c r="L25" s="45">
        <f t="shared" si="8"/>
        <v>31</v>
      </c>
      <c r="M25" s="45">
        <f t="shared" si="8"/>
        <v>0</v>
      </c>
      <c r="N25" s="45">
        <f t="shared" si="8"/>
        <v>0</v>
      </c>
      <c r="O25" s="45">
        <f t="shared" si="8"/>
        <v>0</v>
      </c>
      <c r="P25" s="45">
        <f t="shared" si="8"/>
        <v>0</v>
      </c>
      <c r="Q25" s="45">
        <f t="shared" si="8"/>
        <v>0</v>
      </c>
      <c r="R25" s="45">
        <f t="shared" si="8"/>
        <v>0</v>
      </c>
      <c r="S25" s="76">
        <f t="shared" si="8"/>
        <v>0</v>
      </c>
      <c r="T25" s="46"/>
      <c r="U25" s="47"/>
      <c r="V25" s="88"/>
      <c r="W25" s="88"/>
      <c r="X25" s="115"/>
    </row>
    <row r="26" spans="2:24" ht="37.5" thickTop="1" thickBot="1" x14ac:dyDescent="0.3">
      <c r="B26" s="121"/>
      <c r="C26" s="96"/>
      <c r="D26" s="89"/>
      <c r="E26" s="35" t="s">
        <v>7</v>
      </c>
      <c r="F26" s="36">
        <f t="shared" ref="F26:L26" si="9">SUM(F22*F25)</f>
        <v>62</v>
      </c>
      <c r="G26" s="36">
        <f t="shared" si="9"/>
        <v>0</v>
      </c>
      <c r="H26" s="36">
        <f t="shared" si="9"/>
        <v>0</v>
      </c>
      <c r="I26" s="36">
        <f t="shared" si="9"/>
        <v>0</v>
      </c>
      <c r="J26" s="36">
        <f t="shared" si="9"/>
        <v>114</v>
      </c>
      <c r="K26" s="36">
        <f t="shared" si="9"/>
        <v>120</v>
      </c>
      <c r="L26" s="36">
        <f t="shared" si="9"/>
        <v>62</v>
      </c>
      <c r="M26" s="36">
        <f t="shared" ref="M26:S26" si="10">SUM(M22*M25)</f>
        <v>0</v>
      </c>
      <c r="N26" s="36">
        <f t="shared" si="10"/>
        <v>0</v>
      </c>
      <c r="O26" s="36">
        <f t="shared" si="10"/>
        <v>0</v>
      </c>
      <c r="P26" s="36">
        <f t="shared" si="10"/>
        <v>0</v>
      </c>
      <c r="Q26" s="36">
        <f t="shared" si="10"/>
        <v>0</v>
      </c>
      <c r="R26" s="36">
        <f t="shared" si="10"/>
        <v>0</v>
      </c>
      <c r="S26" s="77">
        <f t="shared" si="10"/>
        <v>0</v>
      </c>
      <c r="T26" s="50">
        <f>SUM(F26:S26)</f>
        <v>358</v>
      </c>
      <c r="U26" s="51">
        <f>SUM(T26/T22)</f>
        <v>32.545454545454547</v>
      </c>
      <c r="V26" s="89"/>
      <c r="W26" s="89"/>
      <c r="X26" s="116"/>
    </row>
    <row r="27" spans="2:24" ht="20.25" thickTop="1" thickBot="1" x14ac:dyDescent="0.35">
      <c r="B27" s="126">
        <v>-5</v>
      </c>
      <c r="C27" s="94" t="s">
        <v>21</v>
      </c>
      <c r="D27" s="104" t="s">
        <v>134</v>
      </c>
      <c r="E27" s="10" t="s">
        <v>6</v>
      </c>
      <c r="F27" s="38">
        <f>IF(IF(F30=0,0,2),2,0)</f>
        <v>2</v>
      </c>
      <c r="G27" s="38">
        <f>IF(IF(G30=0,0,4),4,0)</f>
        <v>0</v>
      </c>
      <c r="H27" s="38">
        <f>IF(IF(H30=0,0,4),4,0)</f>
        <v>0</v>
      </c>
      <c r="I27" s="38">
        <f>IF(IF(I30=0,0,4),4,0)</f>
        <v>0</v>
      </c>
      <c r="J27" s="38">
        <f>IF(IF(J30=0,0,3),3,0)</f>
        <v>3</v>
      </c>
      <c r="K27" s="38">
        <f>IF(IF(K30=0,0,4),4,0)</f>
        <v>4</v>
      </c>
      <c r="L27" s="38">
        <f>IF(IF(L30=0,0,2),2,0)</f>
        <v>2</v>
      </c>
      <c r="M27" s="38">
        <f>IF(IF(M30=0,0,2),2,0)</f>
        <v>0</v>
      </c>
      <c r="N27" s="38">
        <f>IF(IF(N30=0,0,4),4,0)</f>
        <v>0</v>
      </c>
      <c r="O27" s="38">
        <f>IF(IF(O30=0,0,4),4,0)</f>
        <v>0</v>
      </c>
      <c r="P27" s="38">
        <f>IF(IF(P30=0,0,4),4,0)</f>
        <v>0</v>
      </c>
      <c r="Q27" s="38">
        <f>IF(IF(Q30=0,0,4),4,0)</f>
        <v>4</v>
      </c>
      <c r="R27" s="38">
        <f>IF(IF(R30=0,0,3),3,0)</f>
        <v>0</v>
      </c>
      <c r="S27" s="38">
        <f>IF(IF(S30=0,0,4),4,0)</f>
        <v>0</v>
      </c>
      <c r="T27" s="38">
        <f>SUM(F27:S27)</f>
        <v>15</v>
      </c>
      <c r="U27" s="39"/>
      <c r="V27" s="87"/>
      <c r="W27" s="87"/>
      <c r="X27" s="117"/>
    </row>
    <row r="28" spans="2:24" ht="19.5" thickTop="1" thickBot="1" x14ac:dyDescent="0.3">
      <c r="B28" s="120"/>
      <c r="C28" s="95"/>
      <c r="D28" s="88"/>
      <c r="E28" s="33" t="s">
        <v>142</v>
      </c>
      <c r="F28" s="41">
        <v>23</v>
      </c>
      <c r="G28" s="41">
        <v>0</v>
      </c>
      <c r="H28" s="41">
        <v>0</v>
      </c>
      <c r="I28" s="42">
        <v>0</v>
      </c>
      <c r="J28" s="42">
        <v>22</v>
      </c>
      <c r="K28" s="42">
        <v>19</v>
      </c>
      <c r="L28" s="42">
        <v>36</v>
      </c>
      <c r="M28" s="41">
        <v>0</v>
      </c>
      <c r="N28" s="41">
        <v>0</v>
      </c>
      <c r="O28" s="41">
        <v>0</v>
      </c>
      <c r="P28" s="42">
        <v>0</v>
      </c>
      <c r="Q28" s="78">
        <v>14</v>
      </c>
      <c r="R28" s="42">
        <v>0</v>
      </c>
      <c r="S28" s="78">
        <v>0</v>
      </c>
      <c r="T28" s="42"/>
      <c r="U28" s="43"/>
      <c r="V28" s="88"/>
      <c r="W28" s="88"/>
      <c r="X28" s="115"/>
    </row>
    <row r="29" spans="2:24" ht="19.5" thickTop="1" thickBot="1" x14ac:dyDescent="0.3">
      <c r="B29" s="120"/>
      <c r="C29" s="95"/>
      <c r="D29" s="88"/>
      <c r="E29" s="30" t="s">
        <v>3</v>
      </c>
      <c r="F29" s="45">
        <v>0</v>
      </c>
      <c r="G29" s="45">
        <v>0</v>
      </c>
      <c r="H29" s="45">
        <v>0</v>
      </c>
      <c r="I29" s="45">
        <v>0</v>
      </c>
      <c r="J29" s="45">
        <v>0</v>
      </c>
      <c r="K29" s="45">
        <v>0</v>
      </c>
      <c r="L29" s="45">
        <v>0</v>
      </c>
      <c r="M29" s="45">
        <v>0</v>
      </c>
      <c r="N29" s="45">
        <v>0</v>
      </c>
      <c r="O29" s="45">
        <v>0</v>
      </c>
      <c r="P29" s="45">
        <v>0</v>
      </c>
      <c r="Q29" s="76">
        <v>0</v>
      </c>
      <c r="R29" s="45">
        <v>0</v>
      </c>
      <c r="S29" s="76">
        <v>0</v>
      </c>
      <c r="T29" s="46"/>
      <c r="U29" s="47"/>
      <c r="V29" s="88"/>
      <c r="W29" s="88"/>
      <c r="X29" s="115"/>
    </row>
    <row r="30" spans="2:24" ht="19.5" thickTop="1" thickBot="1" x14ac:dyDescent="0.3">
      <c r="B30" s="120"/>
      <c r="C30" s="95"/>
      <c r="D30" s="88"/>
      <c r="E30" s="31" t="s">
        <v>4</v>
      </c>
      <c r="F30" s="45">
        <f t="shared" ref="F30:S30" si="11">IF(F29&lt;30,F28,F28+F29)</f>
        <v>23</v>
      </c>
      <c r="G30" s="45">
        <f t="shared" si="11"/>
        <v>0</v>
      </c>
      <c r="H30" s="45">
        <f t="shared" si="11"/>
        <v>0</v>
      </c>
      <c r="I30" s="45">
        <f t="shared" si="11"/>
        <v>0</v>
      </c>
      <c r="J30" s="45">
        <f t="shared" si="11"/>
        <v>22</v>
      </c>
      <c r="K30" s="45">
        <f t="shared" si="11"/>
        <v>19</v>
      </c>
      <c r="L30" s="45">
        <f t="shared" si="11"/>
        <v>36</v>
      </c>
      <c r="M30" s="45">
        <f t="shared" si="11"/>
        <v>0</v>
      </c>
      <c r="N30" s="45">
        <f t="shared" si="11"/>
        <v>0</v>
      </c>
      <c r="O30" s="45">
        <f t="shared" si="11"/>
        <v>0</v>
      </c>
      <c r="P30" s="45">
        <f t="shared" si="11"/>
        <v>0</v>
      </c>
      <c r="Q30" s="76">
        <f t="shared" si="11"/>
        <v>14</v>
      </c>
      <c r="R30" s="45">
        <f t="shared" si="11"/>
        <v>0</v>
      </c>
      <c r="S30" s="76">
        <f t="shared" si="11"/>
        <v>0</v>
      </c>
      <c r="T30" s="46"/>
      <c r="U30" s="47"/>
      <c r="V30" s="88"/>
      <c r="W30" s="88"/>
      <c r="X30" s="115"/>
    </row>
    <row r="31" spans="2:24" ht="37.5" thickTop="1" thickBot="1" x14ac:dyDescent="0.3">
      <c r="B31" s="121"/>
      <c r="C31" s="96"/>
      <c r="D31" s="89"/>
      <c r="E31" s="32" t="s">
        <v>7</v>
      </c>
      <c r="F31" s="36">
        <f t="shared" ref="F31:L31" si="12">SUM(F27*F30)</f>
        <v>46</v>
      </c>
      <c r="G31" s="36">
        <f t="shared" si="12"/>
        <v>0</v>
      </c>
      <c r="H31" s="36">
        <f t="shared" si="12"/>
        <v>0</v>
      </c>
      <c r="I31" s="36">
        <f t="shared" si="12"/>
        <v>0</v>
      </c>
      <c r="J31" s="36">
        <f t="shared" si="12"/>
        <v>66</v>
      </c>
      <c r="K31" s="36">
        <f t="shared" si="12"/>
        <v>76</v>
      </c>
      <c r="L31" s="36">
        <f t="shared" si="12"/>
        <v>72</v>
      </c>
      <c r="M31" s="36">
        <f t="shared" ref="M31:S31" si="13">SUM(M27*M30)</f>
        <v>0</v>
      </c>
      <c r="N31" s="36">
        <f t="shared" si="13"/>
        <v>0</v>
      </c>
      <c r="O31" s="36">
        <f t="shared" si="13"/>
        <v>0</v>
      </c>
      <c r="P31" s="36">
        <f t="shared" si="13"/>
        <v>0</v>
      </c>
      <c r="Q31" s="77">
        <f t="shared" si="13"/>
        <v>56</v>
      </c>
      <c r="R31" s="36">
        <f t="shared" si="13"/>
        <v>0</v>
      </c>
      <c r="S31" s="77">
        <f t="shared" si="13"/>
        <v>0</v>
      </c>
      <c r="T31" s="50">
        <f>SUM(F31:S31)</f>
        <v>316</v>
      </c>
      <c r="U31" s="51">
        <f>SUM(T31/T27)</f>
        <v>21.066666666666666</v>
      </c>
      <c r="V31" s="89"/>
      <c r="W31" s="89"/>
      <c r="X31" s="116"/>
    </row>
    <row r="32" spans="2:24" ht="20.25" thickTop="1" thickBot="1" x14ac:dyDescent="0.35">
      <c r="B32" s="126">
        <v>-6</v>
      </c>
      <c r="C32" s="94" t="s">
        <v>103</v>
      </c>
      <c r="D32" s="104" t="s">
        <v>135</v>
      </c>
      <c r="E32" s="10" t="s">
        <v>6</v>
      </c>
      <c r="F32" s="38">
        <f>IF(IF(F35=0,0,2),2,0)</f>
        <v>2</v>
      </c>
      <c r="G32" s="38">
        <f>IF(IF(G35=0,0,4),4,0)</f>
        <v>0</v>
      </c>
      <c r="H32" s="38">
        <f>IF(IF(H35=0,0,4),4,0)</f>
        <v>0</v>
      </c>
      <c r="I32" s="38">
        <f>IF(IF(I35=0,0,4),4,0)</f>
        <v>0</v>
      </c>
      <c r="J32" s="38">
        <f>IF(IF(J35=0,0,3),3,0)</f>
        <v>3</v>
      </c>
      <c r="K32" s="38">
        <f>IF(IF(K35=0,0,4),4,0)</f>
        <v>4</v>
      </c>
      <c r="L32" s="38">
        <f>IF(IF(L35=0,0,2),2,0)</f>
        <v>2</v>
      </c>
      <c r="M32" s="38">
        <f>IF(IF(M35=0,0,2),2,0)</f>
        <v>0</v>
      </c>
      <c r="N32" s="38">
        <f>IF(IF(N35=0,0,4),4,0)</f>
        <v>0</v>
      </c>
      <c r="O32" s="38">
        <f>IF(IF(O35=0,0,4),4,0)</f>
        <v>0</v>
      </c>
      <c r="P32" s="38">
        <f>IF(IF(P35=0,0,4),4,0)</f>
        <v>0</v>
      </c>
      <c r="Q32" s="38">
        <f>IF(IF(Q35=0,0,4),4,0)</f>
        <v>0</v>
      </c>
      <c r="R32" s="38">
        <f>IF(IF(R35=0,0,3),3,0)</f>
        <v>0</v>
      </c>
      <c r="S32" s="38">
        <f>IF(IF(S35=0,0,4),4,0)</f>
        <v>0</v>
      </c>
      <c r="T32" s="38">
        <f>SUM(F32:S32)</f>
        <v>11</v>
      </c>
      <c r="U32" s="39"/>
      <c r="V32" s="87"/>
      <c r="W32" s="87"/>
      <c r="X32" s="117"/>
    </row>
    <row r="33" spans="2:24" ht="19.5" thickTop="1" thickBot="1" x14ac:dyDescent="0.3">
      <c r="B33" s="120"/>
      <c r="C33" s="95"/>
      <c r="D33" s="88"/>
      <c r="E33" s="33" t="s">
        <v>142</v>
      </c>
      <c r="F33" s="41">
        <v>24</v>
      </c>
      <c r="G33" s="41">
        <v>0</v>
      </c>
      <c r="H33" s="41">
        <v>0</v>
      </c>
      <c r="I33" s="42">
        <v>0</v>
      </c>
      <c r="J33" s="42">
        <v>37</v>
      </c>
      <c r="K33" s="42">
        <v>15</v>
      </c>
      <c r="L33" s="42">
        <v>31</v>
      </c>
      <c r="M33" s="41">
        <v>0</v>
      </c>
      <c r="N33" s="41">
        <v>0</v>
      </c>
      <c r="O33" s="41">
        <v>0</v>
      </c>
      <c r="P33" s="42">
        <v>0</v>
      </c>
      <c r="Q33" s="42">
        <v>0</v>
      </c>
      <c r="R33" s="42">
        <v>0</v>
      </c>
      <c r="S33" s="78">
        <v>0</v>
      </c>
      <c r="T33" s="42"/>
      <c r="U33" s="43"/>
      <c r="V33" s="88"/>
      <c r="W33" s="88"/>
      <c r="X33" s="115"/>
    </row>
    <row r="34" spans="2:24" ht="19.5" thickTop="1" thickBot="1" x14ac:dyDescent="0.3">
      <c r="B34" s="120"/>
      <c r="C34" s="95"/>
      <c r="D34" s="88"/>
      <c r="E34" s="30" t="s">
        <v>3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76">
        <v>0</v>
      </c>
      <c r="T34" s="46"/>
      <c r="U34" s="47"/>
      <c r="V34" s="88"/>
      <c r="W34" s="88"/>
      <c r="X34" s="115"/>
    </row>
    <row r="35" spans="2:24" ht="19.5" thickTop="1" thickBot="1" x14ac:dyDescent="0.3">
      <c r="B35" s="120"/>
      <c r="C35" s="95"/>
      <c r="D35" s="88"/>
      <c r="E35" s="31" t="s">
        <v>4</v>
      </c>
      <c r="F35" s="45">
        <f t="shared" ref="F35:S35" si="14">IF(F34&lt;30,F33,F33+F34)</f>
        <v>24</v>
      </c>
      <c r="G35" s="45">
        <f t="shared" si="14"/>
        <v>0</v>
      </c>
      <c r="H35" s="45">
        <f t="shared" si="14"/>
        <v>0</v>
      </c>
      <c r="I35" s="45">
        <f t="shared" si="14"/>
        <v>0</v>
      </c>
      <c r="J35" s="45">
        <f t="shared" si="14"/>
        <v>37</v>
      </c>
      <c r="K35" s="45">
        <f t="shared" si="14"/>
        <v>15</v>
      </c>
      <c r="L35" s="45">
        <f t="shared" si="14"/>
        <v>31</v>
      </c>
      <c r="M35" s="45">
        <f t="shared" si="14"/>
        <v>0</v>
      </c>
      <c r="N35" s="45">
        <f t="shared" si="14"/>
        <v>0</v>
      </c>
      <c r="O35" s="45">
        <f t="shared" si="14"/>
        <v>0</v>
      </c>
      <c r="P35" s="45">
        <f t="shared" si="14"/>
        <v>0</v>
      </c>
      <c r="Q35" s="45">
        <f t="shared" si="14"/>
        <v>0</v>
      </c>
      <c r="R35" s="45">
        <f t="shared" si="14"/>
        <v>0</v>
      </c>
      <c r="S35" s="76">
        <f t="shared" si="14"/>
        <v>0</v>
      </c>
      <c r="T35" s="46"/>
      <c r="U35" s="47"/>
      <c r="V35" s="88"/>
      <c r="W35" s="88"/>
      <c r="X35" s="115"/>
    </row>
    <row r="36" spans="2:24" ht="37.5" thickTop="1" thickBot="1" x14ac:dyDescent="0.3">
      <c r="B36" s="121"/>
      <c r="C36" s="96"/>
      <c r="D36" s="89"/>
      <c r="E36" s="32" t="s">
        <v>7</v>
      </c>
      <c r="F36" s="36">
        <f t="shared" ref="F36:L36" si="15">SUM(F32*F35)</f>
        <v>48</v>
      </c>
      <c r="G36" s="36">
        <f t="shared" si="15"/>
        <v>0</v>
      </c>
      <c r="H36" s="36">
        <f t="shared" si="15"/>
        <v>0</v>
      </c>
      <c r="I36" s="36">
        <f t="shared" si="15"/>
        <v>0</v>
      </c>
      <c r="J36" s="36">
        <f t="shared" si="15"/>
        <v>111</v>
      </c>
      <c r="K36" s="36">
        <f t="shared" si="15"/>
        <v>60</v>
      </c>
      <c r="L36" s="36">
        <f t="shared" si="15"/>
        <v>62</v>
      </c>
      <c r="M36" s="36">
        <f t="shared" ref="M36:S36" si="16">SUM(M32*M35)</f>
        <v>0</v>
      </c>
      <c r="N36" s="36">
        <f t="shared" si="16"/>
        <v>0</v>
      </c>
      <c r="O36" s="36">
        <f t="shared" si="16"/>
        <v>0</v>
      </c>
      <c r="P36" s="36">
        <f t="shared" si="16"/>
        <v>0</v>
      </c>
      <c r="Q36" s="36">
        <f t="shared" si="16"/>
        <v>0</v>
      </c>
      <c r="R36" s="36">
        <f t="shared" si="16"/>
        <v>0</v>
      </c>
      <c r="S36" s="77">
        <f t="shared" si="16"/>
        <v>0</v>
      </c>
      <c r="T36" s="50">
        <f>SUM(F36:S36)</f>
        <v>281</v>
      </c>
      <c r="U36" s="51">
        <f>SUM(T36/T32)</f>
        <v>25.545454545454547</v>
      </c>
      <c r="V36" s="89"/>
      <c r="W36" s="89"/>
      <c r="X36" s="116"/>
    </row>
    <row r="37" spans="2:24" ht="20.25" thickTop="1" thickBot="1" x14ac:dyDescent="0.35">
      <c r="B37" s="126">
        <v>-7</v>
      </c>
      <c r="C37" s="94" t="s">
        <v>104</v>
      </c>
      <c r="D37" s="104" t="s">
        <v>136</v>
      </c>
      <c r="E37" s="10" t="s">
        <v>6</v>
      </c>
      <c r="F37" s="38">
        <f>IF(IF(F40=0,0,2),2,0)</f>
        <v>2</v>
      </c>
      <c r="G37" s="38">
        <f>IF(IF(G40=0,0,4),4,0)</f>
        <v>0</v>
      </c>
      <c r="H37" s="38">
        <f>IF(IF(H40=0,0,4),4,0)</f>
        <v>0</v>
      </c>
      <c r="I37" s="38">
        <f>IF(IF(I40=0,0,4),4,0)</f>
        <v>0</v>
      </c>
      <c r="J37" s="38">
        <f>IF(IF(J40=0,0,3),3,0)</f>
        <v>3</v>
      </c>
      <c r="K37" s="38">
        <f>IF(IF(K40=0,0,4),4,0)</f>
        <v>4</v>
      </c>
      <c r="L37" s="38">
        <f>IF(IF(L40=0,0,2),2,0)</f>
        <v>2</v>
      </c>
      <c r="M37" s="38">
        <f>IF(IF(M40=0,0,2),2,0)</f>
        <v>0</v>
      </c>
      <c r="N37" s="38">
        <f>IF(IF(N40=0,0,4),4,0)</f>
        <v>0</v>
      </c>
      <c r="O37" s="38">
        <f>IF(IF(O40=0,0,4),4,0)</f>
        <v>0</v>
      </c>
      <c r="P37" s="38">
        <f>IF(IF(P40=0,0,4),4,0)</f>
        <v>0</v>
      </c>
      <c r="Q37" s="38">
        <f>IF(IF(Q40=0,0,4),4,0)</f>
        <v>0</v>
      </c>
      <c r="R37" s="38">
        <f>IF(IF(R40=0,0,3),3,0)</f>
        <v>0</v>
      </c>
      <c r="S37" s="38">
        <f>IF(IF(S40=0,0,4),4,0)</f>
        <v>0</v>
      </c>
      <c r="T37" s="38">
        <f>SUM(F37:S37)</f>
        <v>11</v>
      </c>
      <c r="U37" s="39"/>
      <c r="V37" s="87"/>
      <c r="W37" s="87"/>
      <c r="X37" s="117"/>
    </row>
    <row r="38" spans="2:24" ht="19.5" thickTop="1" thickBot="1" x14ac:dyDescent="0.3">
      <c r="B38" s="120"/>
      <c r="C38" s="95"/>
      <c r="D38" s="88"/>
      <c r="E38" s="33" t="s">
        <v>142</v>
      </c>
      <c r="F38" s="41">
        <v>27</v>
      </c>
      <c r="G38" s="41">
        <v>0</v>
      </c>
      <c r="H38" s="41">
        <v>0</v>
      </c>
      <c r="I38" s="42">
        <v>0</v>
      </c>
      <c r="J38" s="42">
        <v>34</v>
      </c>
      <c r="K38" s="42">
        <v>23</v>
      </c>
      <c r="L38" s="42">
        <v>32</v>
      </c>
      <c r="M38" s="41">
        <v>0</v>
      </c>
      <c r="N38" s="41">
        <v>0</v>
      </c>
      <c r="O38" s="41">
        <v>0</v>
      </c>
      <c r="P38" s="42">
        <v>0</v>
      </c>
      <c r="Q38" s="42">
        <v>0</v>
      </c>
      <c r="R38" s="42">
        <v>0</v>
      </c>
      <c r="S38" s="78">
        <v>0</v>
      </c>
      <c r="T38" s="42"/>
      <c r="U38" s="43"/>
      <c r="V38" s="88"/>
      <c r="W38" s="88"/>
      <c r="X38" s="115"/>
    </row>
    <row r="39" spans="2:24" ht="19.5" thickTop="1" thickBot="1" x14ac:dyDescent="0.3">
      <c r="B39" s="120"/>
      <c r="C39" s="95"/>
      <c r="D39" s="88"/>
      <c r="E39" s="30" t="s">
        <v>3</v>
      </c>
      <c r="F39" s="45">
        <v>0</v>
      </c>
      <c r="G39" s="45">
        <v>0</v>
      </c>
      <c r="H39" s="45">
        <v>0</v>
      </c>
      <c r="I39" s="45">
        <v>0</v>
      </c>
      <c r="J39" s="45">
        <v>0</v>
      </c>
      <c r="K39" s="45">
        <v>0</v>
      </c>
      <c r="L39" s="45">
        <v>0</v>
      </c>
      <c r="M39" s="45">
        <v>0</v>
      </c>
      <c r="N39" s="45">
        <v>0</v>
      </c>
      <c r="O39" s="45">
        <v>0</v>
      </c>
      <c r="P39" s="45">
        <v>0</v>
      </c>
      <c r="Q39" s="45">
        <v>0</v>
      </c>
      <c r="R39" s="45">
        <v>0</v>
      </c>
      <c r="S39" s="76">
        <v>0</v>
      </c>
      <c r="T39" s="46"/>
      <c r="U39" s="47"/>
      <c r="V39" s="88"/>
      <c r="W39" s="88"/>
      <c r="X39" s="115"/>
    </row>
    <row r="40" spans="2:24" ht="19.5" thickTop="1" thickBot="1" x14ac:dyDescent="0.3">
      <c r="B40" s="120"/>
      <c r="C40" s="95"/>
      <c r="D40" s="88"/>
      <c r="E40" s="31" t="s">
        <v>4</v>
      </c>
      <c r="F40" s="45">
        <f t="shared" ref="F40:S40" si="17">IF(F39&lt;30,F38,F38+F39)</f>
        <v>27</v>
      </c>
      <c r="G40" s="45">
        <f t="shared" si="17"/>
        <v>0</v>
      </c>
      <c r="H40" s="45">
        <f t="shared" si="17"/>
        <v>0</v>
      </c>
      <c r="I40" s="45">
        <f t="shared" si="17"/>
        <v>0</v>
      </c>
      <c r="J40" s="45">
        <f t="shared" si="17"/>
        <v>34</v>
      </c>
      <c r="K40" s="45">
        <f t="shared" si="17"/>
        <v>23</v>
      </c>
      <c r="L40" s="45">
        <f t="shared" si="17"/>
        <v>32</v>
      </c>
      <c r="M40" s="45">
        <f t="shared" si="17"/>
        <v>0</v>
      </c>
      <c r="N40" s="45">
        <f t="shared" si="17"/>
        <v>0</v>
      </c>
      <c r="O40" s="45">
        <f t="shared" si="17"/>
        <v>0</v>
      </c>
      <c r="P40" s="45">
        <f t="shared" si="17"/>
        <v>0</v>
      </c>
      <c r="Q40" s="45">
        <f t="shared" si="17"/>
        <v>0</v>
      </c>
      <c r="R40" s="45">
        <f t="shared" si="17"/>
        <v>0</v>
      </c>
      <c r="S40" s="76">
        <f t="shared" si="17"/>
        <v>0</v>
      </c>
      <c r="T40" s="46"/>
      <c r="U40" s="47"/>
      <c r="V40" s="88"/>
      <c r="W40" s="88"/>
      <c r="X40" s="115"/>
    </row>
    <row r="41" spans="2:24" ht="37.5" thickTop="1" thickBot="1" x14ac:dyDescent="0.3">
      <c r="B41" s="121"/>
      <c r="C41" s="96"/>
      <c r="D41" s="89"/>
      <c r="E41" s="32" t="s">
        <v>7</v>
      </c>
      <c r="F41" s="53">
        <f t="shared" ref="F41:L41" si="18">SUM(F37*F40)</f>
        <v>54</v>
      </c>
      <c r="G41" s="53">
        <f t="shared" si="18"/>
        <v>0</v>
      </c>
      <c r="H41" s="53">
        <f t="shared" si="18"/>
        <v>0</v>
      </c>
      <c r="I41" s="53">
        <f t="shared" si="18"/>
        <v>0</v>
      </c>
      <c r="J41" s="53">
        <f t="shared" si="18"/>
        <v>102</v>
      </c>
      <c r="K41" s="53">
        <f t="shared" si="18"/>
        <v>92</v>
      </c>
      <c r="L41" s="53">
        <f t="shared" si="18"/>
        <v>64</v>
      </c>
      <c r="M41" s="53">
        <f t="shared" ref="M41:S41" si="19">SUM(M37*M40)</f>
        <v>0</v>
      </c>
      <c r="N41" s="53">
        <f t="shared" si="19"/>
        <v>0</v>
      </c>
      <c r="O41" s="53">
        <f t="shared" si="19"/>
        <v>0</v>
      </c>
      <c r="P41" s="53">
        <f t="shared" si="19"/>
        <v>0</v>
      </c>
      <c r="Q41" s="53">
        <f t="shared" si="19"/>
        <v>0</v>
      </c>
      <c r="R41" s="53">
        <f t="shared" si="19"/>
        <v>0</v>
      </c>
      <c r="S41" s="79">
        <f t="shared" si="19"/>
        <v>0</v>
      </c>
      <c r="T41" s="54">
        <f>SUM(F41:S41)</f>
        <v>312</v>
      </c>
      <c r="U41" s="53">
        <f>SUM(T41/T37)</f>
        <v>28.363636363636363</v>
      </c>
      <c r="V41" s="89"/>
      <c r="W41" s="89"/>
      <c r="X41" s="116"/>
    </row>
    <row r="42" spans="2:24" ht="20.25" thickTop="1" thickBot="1" x14ac:dyDescent="0.35">
      <c r="B42" s="126">
        <v>-8</v>
      </c>
      <c r="C42" s="94"/>
      <c r="D42" s="87"/>
      <c r="E42" s="9" t="s">
        <v>6</v>
      </c>
      <c r="F42" s="38">
        <f>IF(IF(F45=0,0,2),2,0)</f>
        <v>0</v>
      </c>
      <c r="G42" s="38">
        <f>IF(IF(G45=0,0,4),4,0)</f>
        <v>0</v>
      </c>
      <c r="H42" s="38">
        <f>IF(IF(H45=0,0,4),4,0)</f>
        <v>0</v>
      </c>
      <c r="I42" s="38">
        <f>IF(IF(I45=0,0,4),4,0)</f>
        <v>0</v>
      </c>
      <c r="J42" s="38">
        <f>IF(IF(J45=0,0,3),3,0)</f>
        <v>0</v>
      </c>
      <c r="K42" s="38">
        <f>IF(IF(K45=0,0,4),4,0)</f>
        <v>0</v>
      </c>
      <c r="L42" s="38">
        <f>IF(IF(L45=0,0,2),2,0)</f>
        <v>0</v>
      </c>
      <c r="M42" s="38">
        <f>IF(IF(M45=0,0,2),2,0)</f>
        <v>0</v>
      </c>
      <c r="N42" s="38">
        <f>IF(IF(N45=0,0,4),4,0)</f>
        <v>0</v>
      </c>
      <c r="O42" s="38">
        <f>IF(IF(O45=0,0,4),4,0)</f>
        <v>0</v>
      </c>
      <c r="P42" s="38">
        <f>IF(IF(P45=0,0,4),4,0)</f>
        <v>0</v>
      </c>
      <c r="Q42" s="38">
        <f>IF(IF(Q45=0,0,4),4,0)</f>
        <v>0</v>
      </c>
      <c r="R42" s="38">
        <f>IF(IF(R45=0,0,3),3,0)</f>
        <v>0</v>
      </c>
      <c r="S42" s="38">
        <f>IF(IF(S45=0,0,4),4,0)</f>
        <v>0</v>
      </c>
      <c r="T42" s="38">
        <f>SUM(F42:S42)</f>
        <v>0</v>
      </c>
      <c r="U42" s="39"/>
      <c r="V42" s="87"/>
      <c r="W42" s="87"/>
      <c r="X42" s="117"/>
    </row>
    <row r="43" spans="2:24" ht="19.5" thickTop="1" thickBot="1" x14ac:dyDescent="0.3">
      <c r="B43" s="120"/>
      <c r="C43" s="95"/>
      <c r="D43" s="88"/>
      <c r="E43" s="29" t="s">
        <v>142</v>
      </c>
      <c r="F43" s="41">
        <v>0</v>
      </c>
      <c r="G43" s="41">
        <v>0</v>
      </c>
      <c r="H43" s="41">
        <v>0</v>
      </c>
      <c r="I43" s="42">
        <v>0</v>
      </c>
      <c r="J43" s="42">
        <v>0</v>
      </c>
      <c r="K43" s="42">
        <v>0</v>
      </c>
      <c r="L43" s="42">
        <v>0</v>
      </c>
      <c r="M43" s="41">
        <v>0</v>
      </c>
      <c r="N43" s="41">
        <v>0</v>
      </c>
      <c r="O43" s="41">
        <v>0</v>
      </c>
      <c r="P43" s="42">
        <v>0</v>
      </c>
      <c r="Q43" s="42">
        <v>0</v>
      </c>
      <c r="R43" s="42">
        <v>0</v>
      </c>
      <c r="S43" s="42">
        <v>0</v>
      </c>
      <c r="T43" s="42"/>
      <c r="U43" s="43"/>
      <c r="V43" s="88"/>
      <c r="W43" s="88"/>
      <c r="X43" s="115"/>
    </row>
    <row r="44" spans="2:24" ht="19.5" thickTop="1" thickBot="1" x14ac:dyDescent="0.3">
      <c r="B44" s="120"/>
      <c r="C44" s="95"/>
      <c r="D44" s="88"/>
      <c r="E44" s="30" t="s">
        <v>3</v>
      </c>
      <c r="F44" s="45">
        <v>0</v>
      </c>
      <c r="G44" s="45">
        <v>0</v>
      </c>
      <c r="H44" s="45">
        <v>0</v>
      </c>
      <c r="I44" s="45">
        <v>0</v>
      </c>
      <c r="J44" s="45">
        <v>0</v>
      </c>
      <c r="K44" s="45">
        <v>0</v>
      </c>
      <c r="L44" s="45">
        <v>0</v>
      </c>
      <c r="M44" s="45">
        <v>0</v>
      </c>
      <c r="N44" s="45">
        <v>0</v>
      </c>
      <c r="O44" s="45">
        <v>0</v>
      </c>
      <c r="P44" s="45">
        <v>0</v>
      </c>
      <c r="Q44" s="45">
        <v>0</v>
      </c>
      <c r="R44" s="45">
        <v>0</v>
      </c>
      <c r="S44" s="45">
        <v>0</v>
      </c>
      <c r="T44" s="46"/>
      <c r="U44" s="47"/>
      <c r="V44" s="88"/>
      <c r="W44" s="88"/>
      <c r="X44" s="115"/>
    </row>
    <row r="45" spans="2:24" ht="19.5" thickTop="1" thickBot="1" x14ac:dyDescent="0.3">
      <c r="B45" s="120"/>
      <c r="C45" s="95"/>
      <c r="D45" s="88"/>
      <c r="E45" s="31" t="s">
        <v>4</v>
      </c>
      <c r="F45" s="45">
        <f t="shared" ref="F45:S45" si="20">IF(F44&lt;30,F43,F43+F44)</f>
        <v>0</v>
      </c>
      <c r="G45" s="45">
        <f t="shared" si="20"/>
        <v>0</v>
      </c>
      <c r="H45" s="45">
        <f t="shared" si="20"/>
        <v>0</v>
      </c>
      <c r="I45" s="45">
        <f t="shared" si="20"/>
        <v>0</v>
      </c>
      <c r="J45" s="45">
        <f t="shared" si="20"/>
        <v>0</v>
      </c>
      <c r="K45" s="45">
        <f t="shared" si="20"/>
        <v>0</v>
      </c>
      <c r="L45" s="45">
        <f t="shared" si="20"/>
        <v>0</v>
      </c>
      <c r="M45" s="45">
        <f t="shared" si="20"/>
        <v>0</v>
      </c>
      <c r="N45" s="45">
        <f t="shared" si="20"/>
        <v>0</v>
      </c>
      <c r="O45" s="45">
        <f t="shared" si="20"/>
        <v>0</v>
      </c>
      <c r="P45" s="45">
        <f t="shared" si="20"/>
        <v>0</v>
      </c>
      <c r="Q45" s="45">
        <f t="shared" si="20"/>
        <v>0</v>
      </c>
      <c r="R45" s="45">
        <f t="shared" si="20"/>
        <v>0</v>
      </c>
      <c r="S45" s="45">
        <f t="shared" si="20"/>
        <v>0</v>
      </c>
      <c r="T45" s="46"/>
      <c r="U45" s="47"/>
      <c r="V45" s="88"/>
      <c r="W45" s="88"/>
      <c r="X45" s="115"/>
    </row>
    <row r="46" spans="2:24" ht="37.5" thickTop="1" thickBot="1" x14ac:dyDescent="0.3">
      <c r="B46" s="121"/>
      <c r="C46" s="96"/>
      <c r="D46" s="89"/>
      <c r="E46" s="32" t="s">
        <v>7</v>
      </c>
      <c r="F46" s="36">
        <f t="shared" ref="F46:L46" si="21">SUM(F42*F45)</f>
        <v>0</v>
      </c>
      <c r="G46" s="36">
        <f t="shared" si="21"/>
        <v>0</v>
      </c>
      <c r="H46" s="36">
        <f t="shared" si="21"/>
        <v>0</v>
      </c>
      <c r="I46" s="36">
        <f t="shared" si="21"/>
        <v>0</v>
      </c>
      <c r="J46" s="36">
        <f t="shared" si="21"/>
        <v>0</v>
      </c>
      <c r="K46" s="36">
        <f t="shared" si="21"/>
        <v>0</v>
      </c>
      <c r="L46" s="36">
        <f t="shared" si="21"/>
        <v>0</v>
      </c>
      <c r="M46" s="36">
        <f t="shared" ref="M46:S46" si="22">SUM(M42*M45)</f>
        <v>0</v>
      </c>
      <c r="N46" s="36">
        <f t="shared" si="22"/>
        <v>0</v>
      </c>
      <c r="O46" s="36">
        <f t="shared" si="22"/>
        <v>0</v>
      </c>
      <c r="P46" s="36">
        <f t="shared" si="22"/>
        <v>0</v>
      </c>
      <c r="Q46" s="36">
        <f t="shared" si="22"/>
        <v>0</v>
      </c>
      <c r="R46" s="36">
        <f t="shared" si="22"/>
        <v>0</v>
      </c>
      <c r="S46" s="36">
        <f t="shared" si="22"/>
        <v>0</v>
      </c>
      <c r="T46" s="50">
        <f>SUM(F46:S46)</f>
        <v>0</v>
      </c>
      <c r="U46" s="51" t="e">
        <f>SUM(T46/T42)</f>
        <v>#DIV/0!</v>
      </c>
      <c r="V46" s="89"/>
      <c r="W46" s="89"/>
      <c r="X46" s="116"/>
    </row>
    <row r="47" spans="2:24" ht="20.25" thickTop="1" thickBot="1" x14ac:dyDescent="0.35">
      <c r="B47" s="126">
        <v>-9</v>
      </c>
      <c r="C47" s="94"/>
      <c r="D47" s="87"/>
      <c r="E47" s="9" t="s">
        <v>6</v>
      </c>
      <c r="F47" s="38">
        <f>IF(IF(F50=0,0,2),2,0)</f>
        <v>0</v>
      </c>
      <c r="G47" s="38">
        <f>IF(IF(G50=0,0,4),4,0)</f>
        <v>0</v>
      </c>
      <c r="H47" s="38">
        <f>IF(IF(H50=0,0,4),4,0)</f>
        <v>0</v>
      </c>
      <c r="I47" s="38">
        <f>IF(IF(I50=0,0,4),4,0)</f>
        <v>0</v>
      </c>
      <c r="J47" s="38">
        <f>IF(IF(J50=0,0,3),3,0)</f>
        <v>0</v>
      </c>
      <c r="K47" s="38">
        <f>IF(IF(K50=0,0,4),4,0)</f>
        <v>0</v>
      </c>
      <c r="L47" s="38">
        <f>IF(IF(L50=0,0,2),2,0)</f>
        <v>0</v>
      </c>
      <c r="M47" s="38">
        <f>IF(IF(M50=0,0,2),2,0)</f>
        <v>0</v>
      </c>
      <c r="N47" s="38">
        <f>IF(IF(N50=0,0,4),4,0)</f>
        <v>0</v>
      </c>
      <c r="O47" s="38">
        <f>IF(IF(O50=0,0,4),4,0)</f>
        <v>0</v>
      </c>
      <c r="P47" s="38">
        <f>IF(IF(P50=0,0,4),4,0)</f>
        <v>0</v>
      </c>
      <c r="Q47" s="38">
        <f>IF(IF(Q50=0,0,4),4,0)</f>
        <v>0</v>
      </c>
      <c r="R47" s="38">
        <f>IF(IF(R50=0,0,3),3,0)</f>
        <v>0</v>
      </c>
      <c r="S47" s="38">
        <f>IF(IF(S50=0,0,4),4,0)</f>
        <v>0</v>
      </c>
      <c r="T47" s="38">
        <f>SUM(F47:S47)</f>
        <v>0</v>
      </c>
      <c r="U47" s="39"/>
      <c r="V47" s="87"/>
      <c r="W47" s="87"/>
      <c r="X47" s="117"/>
    </row>
    <row r="48" spans="2:24" ht="19.5" thickTop="1" thickBot="1" x14ac:dyDescent="0.3">
      <c r="B48" s="120"/>
      <c r="C48" s="95"/>
      <c r="D48" s="88"/>
      <c r="E48" s="29" t="s">
        <v>142</v>
      </c>
      <c r="F48" s="41">
        <v>0</v>
      </c>
      <c r="G48" s="41">
        <v>0</v>
      </c>
      <c r="H48" s="41">
        <v>0</v>
      </c>
      <c r="I48" s="42">
        <v>0</v>
      </c>
      <c r="J48" s="42">
        <v>0</v>
      </c>
      <c r="K48" s="42">
        <v>0</v>
      </c>
      <c r="L48" s="42">
        <v>0</v>
      </c>
      <c r="M48" s="41">
        <v>0</v>
      </c>
      <c r="N48" s="41">
        <v>0</v>
      </c>
      <c r="O48" s="41">
        <v>0</v>
      </c>
      <c r="P48" s="42">
        <v>0</v>
      </c>
      <c r="Q48" s="42">
        <v>0</v>
      </c>
      <c r="R48" s="42">
        <v>0</v>
      </c>
      <c r="S48" s="42">
        <v>0</v>
      </c>
      <c r="T48" s="42"/>
      <c r="U48" s="43"/>
      <c r="V48" s="88"/>
      <c r="W48" s="88"/>
      <c r="X48" s="115"/>
    </row>
    <row r="49" spans="2:24" ht="19.5" thickTop="1" thickBot="1" x14ac:dyDescent="0.3">
      <c r="B49" s="120"/>
      <c r="C49" s="95"/>
      <c r="D49" s="88"/>
      <c r="E49" s="30" t="s">
        <v>3</v>
      </c>
      <c r="F49" s="45">
        <v>0</v>
      </c>
      <c r="G49" s="45">
        <v>0</v>
      </c>
      <c r="H49" s="45">
        <v>0</v>
      </c>
      <c r="I49" s="45">
        <v>0</v>
      </c>
      <c r="J49" s="45">
        <v>0</v>
      </c>
      <c r="K49" s="45">
        <v>0</v>
      </c>
      <c r="L49" s="45">
        <v>0</v>
      </c>
      <c r="M49" s="45">
        <v>0</v>
      </c>
      <c r="N49" s="45">
        <v>0</v>
      </c>
      <c r="O49" s="45">
        <v>0</v>
      </c>
      <c r="P49" s="45">
        <v>0</v>
      </c>
      <c r="Q49" s="45">
        <v>0</v>
      </c>
      <c r="R49" s="45">
        <v>0</v>
      </c>
      <c r="S49" s="45">
        <v>0</v>
      </c>
      <c r="T49" s="46"/>
      <c r="U49" s="47"/>
      <c r="V49" s="88"/>
      <c r="W49" s="88"/>
      <c r="X49" s="115"/>
    </row>
    <row r="50" spans="2:24" ht="19.5" thickTop="1" thickBot="1" x14ac:dyDescent="0.3">
      <c r="B50" s="120"/>
      <c r="C50" s="95"/>
      <c r="D50" s="88"/>
      <c r="E50" s="31" t="s">
        <v>4</v>
      </c>
      <c r="F50" s="45">
        <f t="shared" ref="F50:S50" si="23">IF(F49&lt;30,F48,F48+F49)</f>
        <v>0</v>
      </c>
      <c r="G50" s="45">
        <f t="shared" si="23"/>
        <v>0</v>
      </c>
      <c r="H50" s="45">
        <f t="shared" si="23"/>
        <v>0</v>
      </c>
      <c r="I50" s="45">
        <f t="shared" si="23"/>
        <v>0</v>
      </c>
      <c r="J50" s="45">
        <f t="shared" si="23"/>
        <v>0</v>
      </c>
      <c r="K50" s="45">
        <f t="shared" si="23"/>
        <v>0</v>
      </c>
      <c r="L50" s="45">
        <f t="shared" si="23"/>
        <v>0</v>
      </c>
      <c r="M50" s="45">
        <f t="shared" si="23"/>
        <v>0</v>
      </c>
      <c r="N50" s="45">
        <f t="shared" si="23"/>
        <v>0</v>
      </c>
      <c r="O50" s="45">
        <f t="shared" si="23"/>
        <v>0</v>
      </c>
      <c r="P50" s="45">
        <f t="shared" si="23"/>
        <v>0</v>
      </c>
      <c r="Q50" s="45">
        <f t="shared" si="23"/>
        <v>0</v>
      </c>
      <c r="R50" s="45">
        <f t="shared" si="23"/>
        <v>0</v>
      </c>
      <c r="S50" s="45">
        <f t="shared" si="23"/>
        <v>0</v>
      </c>
      <c r="T50" s="46"/>
      <c r="U50" s="47"/>
      <c r="V50" s="88"/>
      <c r="W50" s="88"/>
      <c r="X50" s="115"/>
    </row>
    <row r="51" spans="2:24" ht="37.5" thickTop="1" thickBot="1" x14ac:dyDescent="0.3">
      <c r="B51" s="121"/>
      <c r="C51" s="96"/>
      <c r="D51" s="89"/>
      <c r="E51" s="32" t="s">
        <v>7</v>
      </c>
      <c r="F51" s="36">
        <f t="shared" ref="F51:L51" si="24">SUM(F47*F50)</f>
        <v>0</v>
      </c>
      <c r="G51" s="36">
        <f t="shared" si="24"/>
        <v>0</v>
      </c>
      <c r="H51" s="36">
        <f t="shared" si="24"/>
        <v>0</v>
      </c>
      <c r="I51" s="36">
        <f t="shared" si="24"/>
        <v>0</v>
      </c>
      <c r="J51" s="36">
        <f t="shared" si="24"/>
        <v>0</v>
      </c>
      <c r="K51" s="36">
        <f t="shared" si="24"/>
        <v>0</v>
      </c>
      <c r="L51" s="36">
        <f t="shared" si="24"/>
        <v>0</v>
      </c>
      <c r="M51" s="36">
        <f t="shared" ref="M51:S51" si="25">SUM(M47*M50)</f>
        <v>0</v>
      </c>
      <c r="N51" s="36">
        <f t="shared" si="25"/>
        <v>0</v>
      </c>
      <c r="O51" s="36">
        <f t="shared" si="25"/>
        <v>0</v>
      </c>
      <c r="P51" s="36">
        <f t="shared" si="25"/>
        <v>0</v>
      </c>
      <c r="Q51" s="36">
        <f t="shared" si="25"/>
        <v>0</v>
      </c>
      <c r="R51" s="36">
        <f t="shared" si="25"/>
        <v>0</v>
      </c>
      <c r="S51" s="36">
        <f t="shared" si="25"/>
        <v>0</v>
      </c>
      <c r="T51" s="50">
        <f>SUM(F51:S51)</f>
        <v>0</v>
      </c>
      <c r="U51" s="51" t="e">
        <f>SUM(T51/T47)</f>
        <v>#DIV/0!</v>
      </c>
      <c r="V51" s="89"/>
      <c r="W51" s="89"/>
      <c r="X51" s="116"/>
    </row>
    <row r="52" spans="2:24" ht="20.25" thickTop="1" thickBot="1" x14ac:dyDescent="0.35">
      <c r="B52" s="126">
        <v>-10</v>
      </c>
      <c r="C52" s="94"/>
      <c r="D52" s="87"/>
      <c r="E52" s="10" t="s">
        <v>6</v>
      </c>
      <c r="F52" s="38">
        <f>IF(IF(F55=0,0,2),2,0)</f>
        <v>0</v>
      </c>
      <c r="G52" s="38">
        <f>IF(IF(G55=0,0,4),4,0)</f>
        <v>0</v>
      </c>
      <c r="H52" s="38">
        <f>IF(IF(H55=0,0,4),4,0)</f>
        <v>0</v>
      </c>
      <c r="I52" s="38">
        <f>IF(IF(I55=0,0,4),4,0)</f>
        <v>0</v>
      </c>
      <c r="J52" s="38">
        <f>IF(IF(J55=0,0,3),3,0)</f>
        <v>0</v>
      </c>
      <c r="K52" s="38">
        <f>IF(IF(K55=0,0,4),4,0)</f>
        <v>0</v>
      </c>
      <c r="L52" s="38">
        <f>IF(IF(L55=0,0,2),2,0)</f>
        <v>0</v>
      </c>
      <c r="M52" s="38">
        <f>IF(IF(M55=0,0,2),2,0)</f>
        <v>0</v>
      </c>
      <c r="N52" s="38">
        <f>IF(IF(N55=0,0,4),4,0)</f>
        <v>0</v>
      </c>
      <c r="O52" s="38">
        <f>IF(IF(O55=0,0,4),4,0)</f>
        <v>0</v>
      </c>
      <c r="P52" s="38">
        <f>IF(IF(P55=0,0,4),4,0)</f>
        <v>0</v>
      </c>
      <c r="Q52" s="38">
        <f>IF(IF(Q55=0,0,4),4,0)</f>
        <v>0</v>
      </c>
      <c r="R52" s="38">
        <f>IF(IF(R55=0,0,3),3,0)</f>
        <v>0</v>
      </c>
      <c r="S52" s="38">
        <f>IF(IF(S55=0,0,4),4,0)</f>
        <v>0</v>
      </c>
      <c r="T52" s="38">
        <f>SUM(F52:S52)</f>
        <v>0</v>
      </c>
      <c r="U52" s="39"/>
      <c r="V52" s="101"/>
      <c r="W52" s="101"/>
      <c r="X52" s="117"/>
    </row>
    <row r="53" spans="2:24" ht="19.5" thickTop="1" thickBot="1" x14ac:dyDescent="0.3">
      <c r="B53" s="120"/>
      <c r="C53" s="95"/>
      <c r="D53" s="88"/>
      <c r="E53" s="33" t="s">
        <v>142</v>
      </c>
      <c r="F53" s="41"/>
      <c r="G53" s="41"/>
      <c r="H53" s="41"/>
      <c r="I53" s="42"/>
      <c r="J53" s="42"/>
      <c r="K53" s="42"/>
      <c r="L53" s="42"/>
      <c r="M53" s="41"/>
      <c r="N53" s="41"/>
      <c r="O53" s="41"/>
      <c r="P53" s="42"/>
      <c r="Q53" s="42"/>
      <c r="R53" s="42"/>
      <c r="S53" s="42"/>
      <c r="T53" s="42"/>
      <c r="U53" s="43"/>
      <c r="V53" s="102"/>
      <c r="W53" s="102"/>
      <c r="X53" s="115"/>
    </row>
    <row r="54" spans="2:24" ht="19.5" thickTop="1" thickBot="1" x14ac:dyDescent="0.3">
      <c r="B54" s="120"/>
      <c r="C54" s="95"/>
      <c r="D54" s="88"/>
      <c r="E54" s="30" t="s">
        <v>3</v>
      </c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6"/>
      <c r="U54" s="47"/>
      <c r="V54" s="102"/>
      <c r="W54" s="102"/>
      <c r="X54" s="115"/>
    </row>
    <row r="55" spans="2:24" ht="19.5" thickTop="1" thickBot="1" x14ac:dyDescent="0.3">
      <c r="B55" s="120"/>
      <c r="C55" s="95"/>
      <c r="D55" s="88"/>
      <c r="E55" s="31" t="s">
        <v>4</v>
      </c>
      <c r="F55" s="45">
        <f t="shared" ref="F55:L55" si="26">IF(F54&lt;30,F53,F53+F54)</f>
        <v>0</v>
      </c>
      <c r="G55" s="45">
        <f t="shared" si="26"/>
        <v>0</v>
      </c>
      <c r="H55" s="45">
        <f t="shared" si="26"/>
        <v>0</v>
      </c>
      <c r="I55" s="45">
        <f t="shared" si="26"/>
        <v>0</v>
      </c>
      <c r="J55" s="45">
        <f t="shared" si="26"/>
        <v>0</v>
      </c>
      <c r="K55" s="45">
        <f t="shared" si="26"/>
        <v>0</v>
      </c>
      <c r="L55" s="45">
        <f t="shared" si="26"/>
        <v>0</v>
      </c>
      <c r="M55" s="45">
        <f>IF(M54&lt;30,M53,M53+M54)</f>
        <v>0</v>
      </c>
      <c r="N55" s="45">
        <f>IF(N54&lt;30,N53,N53+N54)</f>
        <v>0</v>
      </c>
      <c r="O55" s="45">
        <f>IF(O54&lt;30,O53,O53+O54)</f>
        <v>0</v>
      </c>
      <c r="P55" s="45">
        <f>IF(P54&lt;30,P53,P53+P54)</f>
        <v>0</v>
      </c>
      <c r="Q55" s="45">
        <f>IF(Q54&lt;30,Q53,Q53+Q54)</f>
        <v>0</v>
      </c>
      <c r="R55" s="45"/>
      <c r="S55" s="45">
        <f>IF(S54&lt;30,S53,S53+S54)</f>
        <v>0</v>
      </c>
      <c r="T55" s="46"/>
      <c r="U55" s="47"/>
      <c r="V55" s="102"/>
      <c r="W55" s="102"/>
      <c r="X55" s="115"/>
    </row>
    <row r="56" spans="2:24" ht="37.5" thickTop="1" thickBot="1" x14ac:dyDescent="0.3">
      <c r="B56" s="121"/>
      <c r="C56" s="96"/>
      <c r="D56" s="89"/>
      <c r="E56" s="35" t="s">
        <v>7</v>
      </c>
      <c r="F56" s="36">
        <f t="shared" ref="F56:L56" si="27">SUM(F52*F55)</f>
        <v>0</v>
      </c>
      <c r="G56" s="36">
        <f t="shared" si="27"/>
        <v>0</v>
      </c>
      <c r="H56" s="36">
        <f t="shared" si="27"/>
        <v>0</v>
      </c>
      <c r="I56" s="36">
        <f t="shared" si="27"/>
        <v>0</v>
      </c>
      <c r="J56" s="36">
        <f t="shared" si="27"/>
        <v>0</v>
      </c>
      <c r="K56" s="36">
        <f t="shared" si="27"/>
        <v>0</v>
      </c>
      <c r="L56" s="36">
        <f t="shared" si="27"/>
        <v>0</v>
      </c>
      <c r="M56" s="36">
        <f>SUM(M52*M55)</f>
        <v>0</v>
      </c>
      <c r="N56" s="36">
        <f>SUM(N52*N55)</f>
        <v>0</v>
      </c>
      <c r="O56" s="36">
        <f>SUM(O52*O55)</f>
        <v>0</v>
      </c>
      <c r="P56" s="36">
        <f>SUM(P52*P55)</f>
        <v>0</v>
      </c>
      <c r="Q56" s="36">
        <f>SUM(Q52*Q55)</f>
        <v>0</v>
      </c>
      <c r="R56" s="36"/>
      <c r="S56" s="36">
        <f>SUM(S52*S55)</f>
        <v>0</v>
      </c>
      <c r="T56" s="50">
        <f>SUM(F56:S56)</f>
        <v>0</v>
      </c>
      <c r="U56" s="51" t="e">
        <f>SUM(T56/T52)</f>
        <v>#DIV/0!</v>
      </c>
      <c r="V56" s="103"/>
      <c r="W56" s="103"/>
      <c r="X56" s="116"/>
    </row>
    <row r="57" spans="2:24" ht="20.25" thickTop="1" thickBot="1" x14ac:dyDescent="0.35">
      <c r="B57" s="126">
        <v>-11</v>
      </c>
      <c r="C57" s="94"/>
      <c r="D57" s="87"/>
      <c r="E57" s="10" t="s">
        <v>6</v>
      </c>
      <c r="F57" s="38">
        <f>IF(IF(F60=0,0,2),2,0)</f>
        <v>0</v>
      </c>
      <c r="G57" s="38">
        <f>IF(IF(G60=0,0,4),4,0)</f>
        <v>0</v>
      </c>
      <c r="H57" s="38">
        <f>IF(IF(H60=0,0,4),4,0)</f>
        <v>0</v>
      </c>
      <c r="I57" s="38">
        <f>IF(IF(I60=0,0,4),4,0)</f>
        <v>0</v>
      </c>
      <c r="J57" s="38">
        <f>IF(IF(J60=0,0,3),3,0)</f>
        <v>0</v>
      </c>
      <c r="K57" s="38">
        <f>IF(IF(K60=0,0,4),4,0)</f>
        <v>0</v>
      </c>
      <c r="L57" s="38">
        <f>IF(IF(L60=0,0,2),2,0)</f>
        <v>0</v>
      </c>
      <c r="M57" s="38">
        <f>IF(IF(M60=0,0,2),2,0)</f>
        <v>0</v>
      </c>
      <c r="N57" s="38">
        <f>IF(IF(N60=0,0,4),4,0)</f>
        <v>0</v>
      </c>
      <c r="O57" s="38">
        <f>IF(IF(O60=0,0,4),4,0)</f>
        <v>0</v>
      </c>
      <c r="P57" s="38">
        <f>IF(IF(P60=0,0,4),4,0)</f>
        <v>0</v>
      </c>
      <c r="Q57" s="38">
        <f>IF(IF(Q60=0,0,4),4,0)</f>
        <v>0</v>
      </c>
      <c r="R57" s="38">
        <f>IF(IF(R60=0,0,3),3,0)</f>
        <v>0</v>
      </c>
      <c r="S57" s="38">
        <f>IF(IF(S60=0,0,4),4,0)</f>
        <v>0</v>
      </c>
      <c r="T57" s="38">
        <f>SUM(F57:S57)</f>
        <v>0</v>
      </c>
      <c r="U57" s="39"/>
      <c r="V57" s="101"/>
      <c r="W57" s="101"/>
      <c r="X57" s="117"/>
    </row>
    <row r="58" spans="2:24" ht="19.5" thickTop="1" thickBot="1" x14ac:dyDescent="0.3">
      <c r="B58" s="120"/>
      <c r="C58" s="95"/>
      <c r="D58" s="88"/>
      <c r="E58" s="33" t="s">
        <v>142</v>
      </c>
      <c r="F58" s="41"/>
      <c r="G58" s="41"/>
      <c r="H58" s="41"/>
      <c r="I58" s="42"/>
      <c r="J58" s="42"/>
      <c r="K58" s="42"/>
      <c r="L58" s="42"/>
      <c r="M58" s="41"/>
      <c r="N58" s="41"/>
      <c r="O58" s="41"/>
      <c r="P58" s="42"/>
      <c r="Q58" s="42"/>
      <c r="R58" s="42"/>
      <c r="S58" s="42"/>
      <c r="T58" s="42"/>
      <c r="U58" s="43"/>
      <c r="V58" s="102"/>
      <c r="W58" s="102"/>
      <c r="X58" s="115"/>
    </row>
    <row r="59" spans="2:24" ht="19.5" thickTop="1" thickBot="1" x14ac:dyDescent="0.3">
      <c r="B59" s="120"/>
      <c r="C59" s="95"/>
      <c r="D59" s="88"/>
      <c r="E59" s="30" t="s">
        <v>3</v>
      </c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6"/>
      <c r="U59" s="47"/>
      <c r="V59" s="102"/>
      <c r="W59" s="102"/>
      <c r="X59" s="115"/>
    </row>
    <row r="60" spans="2:24" ht="19.5" thickTop="1" thickBot="1" x14ac:dyDescent="0.3">
      <c r="B60" s="120"/>
      <c r="C60" s="95"/>
      <c r="D60" s="88"/>
      <c r="E60" s="31" t="s">
        <v>4</v>
      </c>
      <c r="F60" s="45">
        <f t="shared" ref="F60:S60" si="28">IF(F59&lt;30,F58,F58+F59)</f>
        <v>0</v>
      </c>
      <c r="G60" s="45">
        <f t="shared" si="28"/>
        <v>0</v>
      </c>
      <c r="H60" s="45">
        <f t="shared" si="28"/>
        <v>0</v>
      </c>
      <c r="I60" s="45">
        <f t="shared" si="28"/>
        <v>0</v>
      </c>
      <c r="J60" s="45">
        <f t="shared" si="28"/>
        <v>0</v>
      </c>
      <c r="K60" s="45">
        <f t="shared" si="28"/>
        <v>0</v>
      </c>
      <c r="L60" s="45">
        <f t="shared" si="28"/>
        <v>0</v>
      </c>
      <c r="M60" s="45">
        <f t="shared" si="28"/>
        <v>0</v>
      </c>
      <c r="N60" s="45">
        <f t="shared" si="28"/>
        <v>0</v>
      </c>
      <c r="O60" s="45">
        <f t="shared" si="28"/>
        <v>0</v>
      </c>
      <c r="P60" s="45">
        <f t="shared" si="28"/>
        <v>0</v>
      </c>
      <c r="Q60" s="45">
        <f t="shared" si="28"/>
        <v>0</v>
      </c>
      <c r="R60" s="45">
        <f t="shared" si="28"/>
        <v>0</v>
      </c>
      <c r="S60" s="45">
        <f t="shared" si="28"/>
        <v>0</v>
      </c>
      <c r="T60" s="46"/>
      <c r="U60" s="47"/>
      <c r="V60" s="102"/>
      <c r="W60" s="102"/>
      <c r="X60" s="115"/>
    </row>
    <row r="61" spans="2:24" ht="37.5" thickTop="1" thickBot="1" x14ac:dyDescent="0.3">
      <c r="B61" s="121"/>
      <c r="C61" s="96"/>
      <c r="D61" s="89"/>
      <c r="E61" s="35" t="s">
        <v>7</v>
      </c>
      <c r="F61" s="36">
        <f t="shared" ref="F61:L61" si="29">SUM(F57*F60)</f>
        <v>0</v>
      </c>
      <c r="G61" s="36">
        <f t="shared" si="29"/>
        <v>0</v>
      </c>
      <c r="H61" s="36">
        <f t="shared" si="29"/>
        <v>0</v>
      </c>
      <c r="I61" s="36">
        <f t="shared" si="29"/>
        <v>0</v>
      </c>
      <c r="J61" s="36">
        <f t="shared" si="29"/>
        <v>0</v>
      </c>
      <c r="K61" s="36">
        <f t="shared" si="29"/>
        <v>0</v>
      </c>
      <c r="L61" s="36">
        <f t="shared" si="29"/>
        <v>0</v>
      </c>
      <c r="M61" s="36">
        <f t="shared" ref="M61:S61" si="30">SUM(M57*M60)</f>
        <v>0</v>
      </c>
      <c r="N61" s="36">
        <f t="shared" si="30"/>
        <v>0</v>
      </c>
      <c r="O61" s="36">
        <f t="shared" si="30"/>
        <v>0</v>
      </c>
      <c r="P61" s="36">
        <f t="shared" si="30"/>
        <v>0</v>
      </c>
      <c r="Q61" s="36">
        <f t="shared" si="30"/>
        <v>0</v>
      </c>
      <c r="R61" s="36">
        <f t="shared" si="30"/>
        <v>0</v>
      </c>
      <c r="S61" s="36">
        <f t="shared" si="30"/>
        <v>0</v>
      </c>
      <c r="T61" s="50">
        <f>SUM(F61:S61)</f>
        <v>0</v>
      </c>
      <c r="U61" s="51" t="e">
        <f>SUM(T61/T57)</f>
        <v>#DIV/0!</v>
      </c>
      <c r="V61" s="103"/>
      <c r="W61" s="103"/>
      <c r="X61" s="116"/>
    </row>
    <row r="62" spans="2:24" ht="20.25" thickTop="1" thickBot="1" x14ac:dyDescent="0.35">
      <c r="B62" s="126">
        <v>-12</v>
      </c>
      <c r="C62" s="94"/>
      <c r="D62" s="104"/>
      <c r="E62" s="10" t="s">
        <v>6</v>
      </c>
      <c r="F62" s="38">
        <f>IF(IF(F65=0,0,2),2,0)</f>
        <v>0</v>
      </c>
      <c r="G62" s="38">
        <f>IF(IF(G65=0,0,4),4,0)</f>
        <v>0</v>
      </c>
      <c r="H62" s="38">
        <f>IF(IF(H65=0,0,4),4,0)</f>
        <v>0</v>
      </c>
      <c r="I62" s="38">
        <f>IF(IF(I65=0,0,4),4,0)</f>
        <v>0</v>
      </c>
      <c r="J62" s="38">
        <f>IF(IF(J65=0,0,3),3,0)</f>
        <v>0</v>
      </c>
      <c r="K62" s="38">
        <f>IF(IF(K65=0,0,4),4,0)</f>
        <v>0</v>
      </c>
      <c r="L62" s="38">
        <f>IF(IF(L65=0,0,2),2,0)</f>
        <v>0</v>
      </c>
      <c r="M62" s="38">
        <f>IF(IF(M65=0,0,2),2,0)</f>
        <v>0</v>
      </c>
      <c r="N62" s="38">
        <f>IF(IF(N65=0,0,4),4,0)</f>
        <v>0</v>
      </c>
      <c r="O62" s="38">
        <f>IF(IF(O65=0,0,4),4,0)</f>
        <v>0</v>
      </c>
      <c r="P62" s="38">
        <f>IF(IF(P65=0,0,4),4,0)</f>
        <v>0</v>
      </c>
      <c r="Q62" s="38">
        <f>IF(IF(Q65=0,0,4),4,0)</f>
        <v>0</v>
      </c>
      <c r="R62" s="38">
        <f>IF(IF(R65=0,0,3),3,0)</f>
        <v>0</v>
      </c>
      <c r="S62" s="38">
        <f>IF(IF(S65=0,0,4),4,0)</f>
        <v>0</v>
      </c>
      <c r="T62" s="38">
        <f>SUM(F62:S62)</f>
        <v>0</v>
      </c>
      <c r="U62" s="39"/>
      <c r="V62" s="101"/>
      <c r="W62" s="101"/>
      <c r="X62" s="117"/>
    </row>
    <row r="63" spans="2:24" ht="19.5" thickTop="1" thickBot="1" x14ac:dyDescent="0.3">
      <c r="B63" s="120"/>
      <c r="C63" s="95"/>
      <c r="D63" s="88"/>
      <c r="E63" s="33" t="s">
        <v>142</v>
      </c>
      <c r="F63" s="41"/>
      <c r="G63" s="41"/>
      <c r="H63" s="41"/>
      <c r="I63" s="42"/>
      <c r="J63" s="42"/>
      <c r="K63" s="42"/>
      <c r="L63" s="42"/>
      <c r="M63" s="41"/>
      <c r="N63" s="41"/>
      <c r="O63" s="41"/>
      <c r="P63" s="42"/>
      <c r="Q63" s="42"/>
      <c r="R63" s="42"/>
      <c r="S63" s="42"/>
      <c r="T63" s="42"/>
      <c r="U63" s="43"/>
      <c r="V63" s="102"/>
      <c r="W63" s="102"/>
      <c r="X63" s="115"/>
    </row>
    <row r="64" spans="2:24" ht="19.5" thickTop="1" thickBot="1" x14ac:dyDescent="0.3">
      <c r="B64" s="120"/>
      <c r="C64" s="95"/>
      <c r="D64" s="88"/>
      <c r="E64" s="30" t="s">
        <v>3</v>
      </c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6"/>
      <c r="U64" s="47"/>
      <c r="V64" s="102"/>
      <c r="W64" s="102"/>
      <c r="X64" s="115"/>
    </row>
    <row r="65" spans="2:24" ht="19.5" thickTop="1" thickBot="1" x14ac:dyDescent="0.3">
      <c r="B65" s="120"/>
      <c r="C65" s="95"/>
      <c r="D65" s="88"/>
      <c r="E65" s="31" t="s">
        <v>4</v>
      </c>
      <c r="F65" s="45">
        <f t="shared" ref="F65:S65" si="31">IF(F64&lt;30,F63,F63+F64)</f>
        <v>0</v>
      </c>
      <c r="G65" s="45">
        <f t="shared" si="31"/>
        <v>0</v>
      </c>
      <c r="H65" s="45">
        <f t="shared" si="31"/>
        <v>0</v>
      </c>
      <c r="I65" s="45">
        <f t="shared" si="31"/>
        <v>0</v>
      </c>
      <c r="J65" s="45">
        <f t="shared" si="31"/>
        <v>0</v>
      </c>
      <c r="K65" s="45">
        <f t="shared" si="31"/>
        <v>0</v>
      </c>
      <c r="L65" s="45">
        <f t="shared" si="31"/>
        <v>0</v>
      </c>
      <c r="M65" s="45">
        <f t="shared" si="31"/>
        <v>0</v>
      </c>
      <c r="N65" s="45">
        <f t="shared" si="31"/>
        <v>0</v>
      </c>
      <c r="O65" s="45">
        <f t="shared" si="31"/>
        <v>0</v>
      </c>
      <c r="P65" s="45">
        <f t="shared" si="31"/>
        <v>0</v>
      </c>
      <c r="Q65" s="45">
        <f t="shared" si="31"/>
        <v>0</v>
      </c>
      <c r="R65" s="45">
        <f t="shared" si="31"/>
        <v>0</v>
      </c>
      <c r="S65" s="45">
        <f t="shared" si="31"/>
        <v>0</v>
      </c>
      <c r="T65" s="46"/>
      <c r="U65" s="47"/>
      <c r="V65" s="102"/>
      <c r="W65" s="102"/>
      <c r="X65" s="115"/>
    </row>
    <row r="66" spans="2:24" ht="37.5" thickTop="1" thickBot="1" x14ac:dyDescent="0.3">
      <c r="B66" s="121"/>
      <c r="C66" s="96"/>
      <c r="D66" s="89"/>
      <c r="E66" s="32" t="s">
        <v>7</v>
      </c>
      <c r="F66" s="36">
        <f t="shared" ref="F66:L66" si="32">SUM(F62*F65)</f>
        <v>0</v>
      </c>
      <c r="G66" s="36">
        <f t="shared" si="32"/>
        <v>0</v>
      </c>
      <c r="H66" s="36">
        <f t="shared" si="32"/>
        <v>0</v>
      </c>
      <c r="I66" s="36">
        <f t="shared" si="32"/>
        <v>0</v>
      </c>
      <c r="J66" s="36">
        <f t="shared" si="32"/>
        <v>0</v>
      </c>
      <c r="K66" s="36">
        <f t="shared" si="32"/>
        <v>0</v>
      </c>
      <c r="L66" s="36">
        <f t="shared" si="32"/>
        <v>0</v>
      </c>
      <c r="M66" s="36">
        <f t="shared" ref="M66:S66" si="33">SUM(M62*M65)</f>
        <v>0</v>
      </c>
      <c r="N66" s="36">
        <f t="shared" si="33"/>
        <v>0</v>
      </c>
      <c r="O66" s="36">
        <f t="shared" si="33"/>
        <v>0</v>
      </c>
      <c r="P66" s="36">
        <f t="shared" si="33"/>
        <v>0</v>
      </c>
      <c r="Q66" s="36">
        <f t="shared" si="33"/>
        <v>0</v>
      </c>
      <c r="R66" s="36">
        <f t="shared" si="33"/>
        <v>0</v>
      </c>
      <c r="S66" s="36">
        <f t="shared" si="33"/>
        <v>0</v>
      </c>
      <c r="T66" s="50">
        <f>SUM(F66:S66)</f>
        <v>0</v>
      </c>
      <c r="U66" s="51" t="e">
        <f>SUM(T66/T62)</f>
        <v>#DIV/0!</v>
      </c>
      <c r="V66" s="103"/>
      <c r="W66" s="103"/>
      <c r="X66" s="116"/>
    </row>
    <row r="67" spans="2:24" ht="20.25" thickTop="1" thickBot="1" x14ac:dyDescent="0.35">
      <c r="B67" s="126">
        <v>-13</v>
      </c>
      <c r="C67" s="94"/>
      <c r="D67" s="104"/>
      <c r="E67" s="10" t="s">
        <v>6</v>
      </c>
      <c r="F67" s="38">
        <f>IF(IF(F70=0,0,2),2,0)</f>
        <v>0</v>
      </c>
      <c r="G67" s="38">
        <f>IF(IF(G70=0,0,4),4,0)</f>
        <v>0</v>
      </c>
      <c r="H67" s="38">
        <f>IF(IF(H70=0,0,4),4,0)</f>
        <v>0</v>
      </c>
      <c r="I67" s="38">
        <f>IF(IF(I70=0,0,4),4,0)</f>
        <v>0</v>
      </c>
      <c r="J67" s="38">
        <f>IF(IF(J70=0,0,3),3,0)</f>
        <v>0</v>
      </c>
      <c r="K67" s="38">
        <f>IF(IF(K70=0,0,4),4,0)</f>
        <v>0</v>
      </c>
      <c r="L67" s="38">
        <f>IF(IF(L70=0,0,2),2,0)</f>
        <v>0</v>
      </c>
      <c r="M67" s="38">
        <f>IF(IF(M70=0,0,2),2,0)</f>
        <v>0</v>
      </c>
      <c r="N67" s="38">
        <f>IF(IF(N70=0,0,4),4,0)</f>
        <v>0</v>
      </c>
      <c r="O67" s="38">
        <f>IF(IF(O70=0,0,4),4,0)</f>
        <v>0</v>
      </c>
      <c r="P67" s="38">
        <f>IF(IF(P70=0,0,4),4,0)</f>
        <v>0</v>
      </c>
      <c r="Q67" s="38">
        <f>IF(IF(Q70=0,0,4),4,0)</f>
        <v>0</v>
      </c>
      <c r="R67" s="38">
        <f>IF(IF(R70=0,0,3),3,0)</f>
        <v>0</v>
      </c>
      <c r="S67" s="38">
        <f>IF(IF(S70=0,0,4),4,0)</f>
        <v>0</v>
      </c>
      <c r="T67" s="38">
        <f>SUM(F67:S67)</f>
        <v>0</v>
      </c>
      <c r="U67" s="39"/>
      <c r="V67" s="101"/>
      <c r="W67" s="101"/>
      <c r="X67" s="117"/>
    </row>
    <row r="68" spans="2:24" ht="19.5" thickTop="1" thickBot="1" x14ac:dyDescent="0.3">
      <c r="B68" s="120"/>
      <c r="C68" s="95"/>
      <c r="D68" s="88"/>
      <c r="E68" s="33" t="s">
        <v>142</v>
      </c>
      <c r="F68" s="41"/>
      <c r="G68" s="41"/>
      <c r="H68" s="41"/>
      <c r="I68" s="42"/>
      <c r="J68" s="42"/>
      <c r="K68" s="42"/>
      <c r="L68" s="42"/>
      <c r="M68" s="41"/>
      <c r="N68" s="41"/>
      <c r="O68" s="41"/>
      <c r="P68" s="42"/>
      <c r="Q68" s="42"/>
      <c r="R68" s="42"/>
      <c r="S68" s="42"/>
      <c r="T68" s="42"/>
      <c r="U68" s="43"/>
      <c r="V68" s="102"/>
      <c r="W68" s="102"/>
      <c r="X68" s="115"/>
    </row>
    <row r="69" spans="2:24" ht="19.5" thickTop="1" thickBot="1" x14ac:dyDescent="0.3">
      <c r="B69" s="120"/>
      <c r="C69" s="95"/>
      <c r="D69" s="88"/>
      <c r="E69" s="30" t="s">
        <v>3</v>
      </c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6"/>
      <c r="U69" s="47"/>
      <c r="V69" s="102"/>
      <c r="W69" s="102"/>
      <c r="X69" s="115"/>
    </row>
    <row r="70" spans="2:24" ht="19.5" thickTop="1" thickBot="1" x14ac:dyDescent="0.3">
      <c r="B70" s="120"/>
      <c r="C70" s="95"/>
      <c r="D70" s="88"/>
      <c r="E70" s="31" t="s">
        <v>4</v>
      </c>
      <c r="F70" s="45">
        <f t="shared" ref="F70:S70" si="34">IF(F69&lt;30,F68,F68+F69)</f>
        <v>0</v>
      </c>
      <c r="G70" s="45">
        <f t="shared" si="34"/>
        <v>0</v>
      </c>
      <c r="H70" s="45">
        <f t="shared" si="34"/>
        <v>0</v>
      </c>
      <c r="I70" s="45">
        <f t="shared" si="34"/>
        <v>0</v>
      </c>
      <c r="J70" s="45">
        <f t="shared" si="34"/>
        <v>0</v>
      </c>
      <c r="K70" s="45">
        <f t="shared" si="34"/>
        <v>0</v>
      </c>
      <c r="L70" s="45">
        <f t="shared" si="34"/>
        <v>0</v>
      </c>
      <c r="M70" s="45">
        <f t="shared" si="34"/>
        <v>0</v>
      </c>
      <c r="N70" s="45">
        <f t="shared" si="34"/>
        <v>0</v>
      </c>
      <c r="O70" s="45">
        <f t="shared" si="34"/>
        <v>0</v>
      </c>
      <c r="P70" s="45">
        <f t="shared" si="34"/>
        <v>0</v>
      </c>
      <c r="Q70" s="45">
        <f t="shared" si="34"/>
        <v>0</v>
      </c>
      <c r="R70" s="45">
        <f t="shared" si="34"/>
        <v>0</v>
      </c>
      <c r="S70" s="45">
        <f t="shared" si="34"/>
        <v>0</v>
      </c>
      <c r="T70" s="46"/>
      <c r="U70" s="47"/>
      <c r="V70" s="102"/>
      <c r="W70" s="102"/>
      <c r="X70" s="115"/>
    </row>
    <row r="71" spans="2:24" ht="37.5" thickTop="1" thickBot="1" x14ac:dyDescent="0.3">
      <c r="B71" s="121"/>
      <c r="C71" s="96"/>
      <c r="D71" s="89"/>
      <c r="E71" s="32" t="s">
        <v>7</v>
      </c>
      <c r="F71" s="53">
        <f t="shared" ref="F71:L71" si="35">SUM(F67*F70)</f>
        <v>0</v>
      </c>
      <c r="G71" s="53">
        <f t="shared" si="35"/>
        <v>0</v>
      </c>
      <c r="H71" s="53">
        <f t="shared" si="35"/>
        <v>0</v>
      </c>
      <c r="I71" s="53">
        <f t="shared" si="35"/>
        <v>0</v>
      </c>
      <c r="J71" s="53">
        <f t="shared" si="35"/>
        <v>0</v>
      </c>
      <c r="K71" s="53">
        <f t="shared" si="35"/>
        <v>0</v>
      </c>
      <c r="L71" s="53">
        <f t="shared" si="35"/>
        <v>0</v>
      </c>
      <c r="M71" s="53">
        <f t="shared" ref="M71:S71" si="36">SUM(M67*M70)</f>
        <v>0</v>
      </c>
      <c r="N71" s="53">
        <f t="shared" si="36"/>
        <v>0</v>
      </c>
      <c r="O71" s="53">
        <f t="shared" si="36"/>
        <v>0</v>
      </c>
      <c r="P71" s="53">
        <f t="shared" si="36"/>
        <v>0</v>
      </c>
      <c r="Q71" s="53">
        <f t="shared" si="36"/>
        <v>0</v>
      </c>
      <c r="R71" s="53">
        <f t="shared" si="36"/>
        <v>0</v>
      </c>
      <c r="S71" s="53">
        <f t="shared" si="36"/>
        <v>0</v>
      </c>
      <c r="T71" s="54">
        <f>SUM(F71:S71)</f>
        <v>0</v>
      </c>
      <c r="U71" s="53" t="e">
        <f>SUM(T71/T67)</f>
        <v>#DIV/0!</v>
      </c>
      <c r="V71" s="103"/>
      <c r="W71" s="103"/>
      <c r="X71" s="116"/>
    </row>
    <row r="72" spans="2:24" ht="13.5" thickTop="1" x14ac:dyDescent="0.2"/>
  </sheetData>
  <mergeCells count="87">
    <mergeCell ref="B67:B71"/>
    <mergeCell ref="C67:C71"/>
    <mergeCell ref="D67:D71"/>
    <mergeCell ref="V67:V71"/>
    <mergeCell ref="W67:W71"/>
    <mergeCell ref="X67:X71"/>
    <mergeCell ref="B62:B66"/>
    <mergeCell ref="C62:C66"/>
    <mergeCell ref="D62:D66"/>
    <mergeCell ref="V62:V66"/>
    <mergeCell ref="W62:W66"/>
    <mergeCell ref="X62:X66"/>
    <mergeCell ref="B57:B61"/>
    <mergeCell ref="C57:C61"/>
    <mergeCell ref="D57:D61"/>
    <mergeCell ref="V57:V61"/>
    <mergeCell ref="W57:W61"/>
    <mergeCell ref="X57:X61"/>
    <mergeCell ref="B52:B56"/>
    <mergeCell ref="C52:C56"/>
    <mergeCell ref="D52:D56"/>
    <mergeCell ref="V52:V56"/>
    <mergeCell ref="W52:W56"/>
    <mergeCell ref="X52:X56"/>
    <mergeCell ref="B47:B51"/>
    <mergeCell ref="C47:C51"/>
    <mergeCell ref="D47:D51"/>
    <mergeCell ref="V47:V51"/>
    <mergeCell ref="W47:W51"/>
    <mergeCell ref="X47:X51"/>
    <mergeCell ref="B42:B46"/>
    <mergeCell ref="C42:C46"/>
    <mergeCell ref="D42:D46"/>
    <mergeCell ref="V42:V46"/>
    <mergeCell ref="W42:W46"/>
    <mergeCell ref="X42:X46"/>
    <mergeCell ref="B37:B41"/>
    <mergeCell ref="C37:C41"/>
    <mergeCell ref="D37:D41"/>
    <mergeCell ref="V37:V41"/>
    <mergeCell ref="W37:W41"/>
    <mergeCell ref="X37:X41"/>
    <mergeCell ref="B32:B36"/>
    <mergeCell ref="C32:C36"/>
    <mergeCell ref="D32:D36"/>
    <mergeCell ref="V32:V36"/>
    <mergeCell ref="W32:W36"/>
    <mergeCell ref="X32:X36"/>
    <mergeCell ref="B27:B31"/>
    <mergeCell ref="C27:C31"/>
    <mergeCell ref="D27:D31"/>
    <mergeCell ref="V27:V31"/>
    <mergeCell ref="W27:W31"/>
    <mergeCell ref="X27:X31"/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6A9A-2AEC-4B15-996C-F63D630B5460}">
  <dimension ref="B4:X37"/>
  <sheetViews>
    <sheetView rightToLeft="1" topLeftCell="A13" workbookViewId="0">
      <selection activeCell="AA7" sqref="AA7"/>
    </sheetView>
  </sheetViews>
  <sheetFormatPr defaultRowHeight="12.75" x14ac:dyDescent="0.2"/>
  <cols>
    <col min="3" max="3" width="21" customWidth="1"/>
    <col min="5" max="5" width="24.5703125" customWidth="1"/>
    <col min="24" max="24" width="23.42578125" customWidth="1"/>
  </cols>
  <sheetData>
    <row r="4" spans="2:24" ht="13.5" thickBot="1" x14ac:dyDescent="0.25"/>
    <row r="5" spans="2:24" ht="16.5" thickTop="1" thickBot="1" x14ac:dyDescent="0.25">
      <c r="B5" s="137" t="s">
        <v>0</v>
      </c>
      <c r="C5" s="133" t="s">
        <v>8</v>
      </c>
      <c r="D5" s="128" t="s">
        <v>1</v>
      </c>
      <c r="E5" s="133" t="s">
        <v>2</v>
      </c>
      <c r="F5" s="130" t="s">
        <v>67</v>
      </c>
      <c r="G5" s="131"/>
      <c r="H5" s="131"/>
      <c r="I5" s="131"/>
      <c r="J5" s="131"/>
      <c r="K5" s="131"/>
      <c r="L5" s="132"/>
      <c r="M5" s="139" t="s">
        <v>38</v>
      </c>
      <c r="N5" s="140"/>
      <c r="O5" s="140"/>
      <c r="P5" s="140"/>
      <c r="Q5" s="140"/>
      <c r="R5" s="140"/>
      <c r="S5" s="140"/>
      <c r="T5" s="128" t="s">
        <v>4</v>
      </c>
      <c r="U5" s="128" t="s">
        <v>9</v>
      </c>
      <c r="V5" s="27"/>
      <c r="W5" s="128" t="s">
        <v>42</v>
      </c>
      <c r="X5" s="28"/>
    </row>
    <row r="6" spans="2:24" ht="116.25" thickTop="1" thickBot="1" x14ac:dyDescent="0.25">
      <c r="B6" s="138"/>
      <c r="C6" s="143"/>
      <c r="D6" s="135"/>
      <c r="E6" s="134"/>
      <c r="F6" s="25" t="s">
        <v>61</v>
      </c>
      <c r="G6" s="25" t="s">
        <v>62</v>
      </c>
      <c r="H6" s="25" t="s">
        <v>63</v>
      </c>
      <c r="I6" s="25" t="s">
        <v>64</v>
      </c>
      <c r="J6" s="25" t="s">
        <v>65</v>
      </c>
      <c r="K6" s="25" t="s">
        <v>66</v>
      </c>
      <c r="L6" s="25" t="s">
        <v>39</v>
      </c>
      <c r="M6" s="25" t="s">
        <v>53</v>
      </c>
      <c r="N6" s="25" t="s">
        <v>30</v>
      </c>
      <c r="O6" s="25" t="s">
        <v>55</v>
      </c>
      <c r="P6" s="25" t="s">
        <v>56</v>
      </c>
      <c r="Q6" s="25" t="s">
        <v>31</v>
      </c>
      <c r="R6" s="25" t="s">
        <v>57</v>
      </c>
      <c r="S6" s="25" t="s">
        <v>58</v>
      </c>
      <c r="T6" s="129"/>
      <c r="U6" s="129"/>
      <c r="V6" s="25" t="s">
        <v>41</v>
      </c>
      <c r="W6" s="129"/>
      <c r="X6" s="26" t="s">
        <v>43</v>
      </c>
    </row>
    <row r="7" spans="2:24" ht="20.25" thickTop="1" thickBot="1" x14ac:dyDescent="0.35">
      <c r="B7" s="126">
        <v>-1</v>
      </c>
      <c r="C7" s="94" t="s">
        <v>76</v>
      </c>
      <c r="D7" s="87" t="s">
        <v>143</v>
      </c>
      <c r="E7" s="9" t="s">
        <v>6</v>
      </c>
      <c r="F7" s="38">
        <f>IF(IF(F10=0,0,2),2,0)</f>
        <v>2</v>
      </c>
      <c r="G7" s="38">
        <f>IF(IF(G10=0,0,4),4,0)</f>
        <v>4</v>
      </c>
      <c r="H7" s="38">
        <f>IF(IF(H10=0,0,4),4,0)</f>
        <v>4</v>
      </c>
      <c r="I7" s="38">
        <f>IF(IF(I10=0,0,2),2,0)</f>
        <v>2</v>
      </c>
      <c r="J7" s="38">
        <f>IF(IF(J10=0,0,4),4,0)</f>
        <v>4</v>
      </c>
      <c r="K7" s="38">
        <f>IF(IF(K10=0,0,4),4,0)</f>
        <v>4</v>
      </c>
      <c r="L7" s="38">
        <f>IF(IF(L10=0,0,2),2,0)</f>
        <v>2</v>
      </c>
      <c r="M7" s="38">
        <f>IF(IF(M10=0,0,2),2,0)</f>
        <v>0</v>
      </c>
      <c r="N7" s="38">
        <f>IF(IF(N10=0,0,4),4,0)</f>
        <v>0</v>
      </c>
      <c r="O7" s="38">
        <f>IF(IF(O10=0,0,4),4,0)</f>
        <v>0</v>
      </c>
      <c r="P7" s="38">
        <f>IF(IF(P10=0,0,4),4,0)</f>
        <v>0</v>
      </c>
      <c r="Q7" s="38">
        <f>IF(IF(Q10=0,0,3),3,0)</f>
        <v>3</v>
      </c>
      <c r="R7" s="38">
        <f>IF(IF(R10=0,0,4),4,0)</f>
        <v>0</v>
      </c>
      <c r="S7" s="38">
        <f>IF(IF(S10=0,0,2),2,0)</f>
        <v>0</v>
      </c>
      <c r="T7" s="38">
        <f>SUM(F7:S7)</f>
        <v>25</v>
      </c>
      <c r="U7" s="39"/>
      <c r="V7" s="87"/>
      <c r="W7" s="87"/>
      <c r="X7" s="124"/>
    </row>
    <row r="8" spans="2:24" ht="19.5" thickTop="1" thickBot="1" x14ac:dyDescent="0.3">
      <c r="B8" s="120"/>
      <c r="C8" s="95"/>
      <c r="D8" s="88"/>
      <c r="E8" s="29" t="s">
        <v>142</v>
      </c>
      <c r="F8" s="41">
        <v>0</v>
      </c>
      <c r="G8" s="41">
        <v>0</v>
      </c>
      <c r="H8" s="41">
        <v>0</v>
      </c>
      <c r="I8" s="45">
        <v>27</v>
      </c>
      <c r="J8" s="42">
        <v>0</v>
      </c>
      <c r="K8" s="42">
        <v>0</v>
      </c>
      <c r="L8" s="42">
        <v>0</v>
      </c>
      <c r="M8" s="41">
        <v>0</v>
      </c>
      <c r="N8" s="41">
        <v>0</v>
      </c>
      <c r="O8" s="41">
        <v>0</v>
      </c>
      <c r="P8" s="42">
        <v>0</v>
      </c>
      <c r="Q8" s="78">
        <v>38</v>
      </c>
      <c r="R8" s="42">
        <v>0</v>
      </c>
      <c r="S8" s="42">
        <v>0</v>
      </c>
      <c r="T8" s="42"/>
      <c r="U8" s="43"/>
      <c r="V8" s="88"/>
      <c r="W8" s="88"/>
      <c r="X8" s="115"/>
    </row>
    <row r="9" spans="2:24" ht="19.5" thickTop="1" thickBot="1" x14ac:dyDescent="0.3">
      <c r="B9" s="120"/>
      <c r="C9" s="95"/>
      <c r="D9" s="88"/>
      <c r="E9" s="30" t="s">
        <v>3</v>
      </c>
      <c r="F9" s="45">
        <v>78</v>
      </c>
      <c r="G9" s="45">
        <v>72</v>
      </c>
      <c r="H9" s="45">
        <v>70</v>
      </c>
      <c r="I9" s="45">
        <v>0</v>
      </c>
      <c r="J9" s="45">
        <v>77</v>
      </c>
      <c r="K9" s="45">
        <v>73</v>
      </c>
      <c r="L9" s="45">
        <v>75</v>
      </c>
      <c r="M9" s="45">
        <v>0</v>
      </c>
      <c r="N9" s="45">
        <v>0</v>
      </c>
      <c r="O9" s="45">
        <v>0</v>
      </c>
      <c r="P9" s="45">
        <v>0</v>
      </c>
      <c r="Q9" s="76">
        <v>0</v>
      </c>
      <c r="R9" s="45">
        <v>0</v>
      </c>
      <c r="S9" s="45">
        <v>0</v>
      </c>
      <c r="T9" s="46"/>
      <c r="U9" s="47"/>
      <c r="V9" s="88"/>
      <c r="W9" s="88"/>
      <c r="X9" s="115"/>
    </row>
    <row r="10" spans="2:24" ht="19.5" thickTop="1" thickBot="1" x14ac:dyDescent="0.3">
      <c r="B10" s="120"/>
      <c r="C10" s="95"/>
      <c r="D10" s="88"/>
      <c r="E10" s="31" t="s">
        <v>4</v>
      </c>
      <c r="F10" s="45">
        <f t="shared" ref="F10:S10" si="0">IF(F9&lt;30,F8,F8+F9)</f>
        <v>78</v>
      </c>
      <c r="G10" s="45">
        <f t="shared" si="0"/>
        <v>72</v>
      </c>
      <c r="H10" s="45">
        <f t="shared" si="0"/>
        <v>70</v>
      </c>
      <c r="I10" s="45">
        <f t="shared" si="0"/>
        <v>27</v>
      </c>
      <c r="J10" s="45">
        <f t="shared" si="0"/>
        <v>77</v>
      </c>
      <c r="K10" s="45">
        <f t="shared" si="0"/>
        <v>73</v>
      </c>
      <c r="L10" s="45">
        <f t="shared" si="0"/>
        <v>75</v>
      </c>
      <c r="M10" s="45">
        <f t="shared" si="0"/>
        <v>0</v>
      </c>
      <c r="N10" s="45">
        <f t="shared" si="0"/>
        <v>0</v>
      </c>
      <c r="O10" s="45">
        <f t="shared" si="0"/>
        <v>0</v>
      </c>
      <c r="P10" s="45">
        <f t="shared" si="0"/>
        <v>0</v>
      </c>
      <c r="Q10" s="76">
        <f t="shared" si="0"/>
        <v>38</v>
      </c>
      <c r="R10" s="45">
        <f t="shared" si="0"/>
        <v>0</v>
      </c>
      <c r="S10" s="45">
        <f t="shared" si="0"/>
        <v>0</v>
      </c>
      <c r="T10" s="46"/>
      <c r="U10" s="47"/>
      <c r="V10" s="88"/>
      <c r="W10" s="88"/>
      <c r="X10" s="115"/>
    </row>
    <row r="11" spans="2:24" ht="21.75" customHeight="1" thickTop="1" thickBot="1" x14ac:dyDescent="0.3">
      <c r="B11" s="121"/>
      <c r="C11" s="96"/>
      <c r="D11" s="89"/>
      <c r="E11" s="32" t="s">
        <v>7</v>
      </c>
      <c r="F11" s="36">
        <f t="shared" ref="F11:L11" si="1">SUM(F7*F10)</f>
        <v>156</v>
      </c>
      <c r="G11" s="36">
        <f t="shared" si="1"/>
        <v>288</v>
      </c>
      <c r="H11" s="36">
        <f t="shared" si="1"/>
        <v>280</v>
      </c>
      <c r="I11" s="45">
        <f t="shared" si="1"/>
        <v>54</v>
      </c>
      <c r="J11" s="36">
        <f t="shared" si="1"/>
        <v>308</v>
      </c>
      <c r="K11" s="36">
        <f t="shared" si="1"/>
        <v>292</v>
      </c>
      <c r="L11" s="36">
        <f t="shared" si="1"/>
        <v>150</v>
      </c>
      <c r="M11" s="36">
        <f t="shared" ref="M11:S11" si="2">SUM(M7*M10)</f>
        <v>0</v>
      </c>
      <c r="N11" s="36">
        <f t="shared" si="2"/>
        <v>0</v>
      </c>
      <c r="O11" s="36">
        <f t="shared" si="2"/>
        <v>0</v>
      </c>
      <c r="P11" s="36">
        <f t="shared" si="2"/>
        <v>0</v>
      </c>
      <c r="Q11" s="77">
        <f t="shared" si="2"/>
        <v>114</v>
      </c>
      <c r="R11" s="36">
        <f t="shared" si="2"/>
        <v>0</v>
      </c>
      <c r="S11" s="36">
        <f t="shared" si="2"/>
        <v>0</v>
      </c>
      <c r="T11" s="50">
        <f>SUM(F11:S11)</f>
        <v>1642</v>
      </c>
      <c r="U11" s="51">
        <f>SUM(T11/T7)</f>
        <v>65.680000000000007</v>
      </c>
      <c r="V11" s="89"/>
      <c r="W11" s="89"/>
      <c r="X11" s="116"/>
    </row>
    <row r="12" spans="2:24" ht="20.25" thickTop="1" thickBot="1" x14ac:dyDescent="0.35">
      <c r="B12" s="119">
        <v>-2</v>
      </c>
      <c r="C12" s="97" t="s">
        <v>105</v>
      </c>
      <c r="D12" s="88" t="s">
        <v>144</v>
      </c>
      <c r="E12" s="9" t="s">
        <v>6</v>
      </c>
      <c r="F12" s="38">
        <f>IF(IF(F15=0,0,2),2,0)</f>
        <v>0</v>
      </c>
      <c r="G12" s="38">
        <f>IF(IF(G15=0,0,4),4,0)</f>
        <v>0</v>
      </c>
      <c r="H12" s="38">
        <f>IF(IF(H15=0,0,4),4,0)</f>
        <v>0</v>
      </c>
      <c r="I12" s="38">
        <f>IF(IF(I15=0,0,2),2,0)</f>
        <v>2</v>
      </c>
      <c r="J12" s="38">
        <f>IF(IF(J15=0,0,4),4,0)</f>
        <v>4</v>
      </c>
      <c r="K12" s="38">
        <f>IF(IF(K15=0,0,4),4,0)</f>
        <v>4</v>
      </c>
      <c r="L12" s="38">
        <f>IF(IF(L15=0,0,2),2,0)</f>
        <v>2</v>
      </c>
      <c r="M12" s="38">
        <f>IF(IF(M15=0,0,2),2,0)</f>
        <v>0</v>
      </c>
      <c r="N12" s="38">
        <f>IF(IF(N15=0,0,4),4,0)</f>
        <v>0</v>
      </c>
      <c r="O12" s="38">
        <f>IF(IF(O15=0,0,4),4,0)</f>
        <v>0</v>
      </c>
      <c r="P12" s="38">
        <f>IF(IF(P15=0,0,4),4,0)</f>
        <v>0</v>
      </c>
      <c r="Q12" s="38">
        <f>IF(IF(Q15=0,0,3),3,0)</f>
        <v>0</v>
      </c>
      <c r="R12" s="38">
        <f>IF(IF(R15=0,0,4),4,0)</f>
        <v>0</v>
      </c>
      <c r="S12" s="38">
        <f>IF(IF(S15=0,0,2),2,0)</f>
        <v>0</v>
      </c>
      <c r="T12" s="38">
        <f>SUM(F12:S12)</f>
        <v>12</v>
      </c>
      <c r="U12" s="39"/>
      <c r="V12" s="87"/>
      <c r="W12" s="87"/>
      <c r="X12" s="124"/>
    </row>
    <row r="13" spans="2:24" ht="19.5" thickTop="1" thickBot="1" x14ac:dyDescent="0.3">
      <c r="B13" s="120"/>
      <c r="C13" s="95"/>
      <c r="D13" s="88"/>
      <c r="E13" s="29" t="s">
        <v>142</v>
      </c>
      <c r="F13" s="41">
        <v>0</v>
      </c>
      <c r="G13" s="41">
        <v>0</v>
      </c>
      <c r="H13" s="41">
        <v>0</v>
      </c>
      <c r="I13" s="42">
        <v>37</v>
      </c>
      <c r="J13" s="42">
        <v>40</v>
      </c>
      <c r="K13" s="42">
        <v>0</v>
      </c>
      <c r="L13" s="42">
        <v>34</v>
      </c>
      <c r="M13" s="41">
        <v>0</v>
      </c>
      <c r="N13" s="41">
        <v>0</v>
      </c>
      <c r="O13" s="41">
        <v>0</v>
      </c>
      <c r="P13" s="42">
        <v>0</v>
      </c>
      <c r="Q13" s="42">
        <v>0</v>
      </c>
      <c r="R13" s="42">
        <v>0</v>
      </c>
      <c r="S13" s="42">
        <v>0</v>
      </c>
      <c r="T13" s="42"/>
      <c r="U13" s="43"/>
      <c r="V13" s="88"/>
      <c r="W13" s="88"/>
      <c r="X13" s="115"/>
    </row>
    <row r="14" spans="2:24" ht="19.5" thickTop="1" thickBot="1" x14ac:dyDescent="0.3">
      <c r="B14" s="120"/>
      <c r="C14" s="95"/>
      <c r="D14" s="88"/>
      <c r="E14" s="30" t="s">
        <v>3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31</v>
      </c>
      <c r="L14" s="45">
        <v>0</v>
      </c>
      <c r="M14" s="45">
        <v>0</v>
      </c>
      <c r="N14" s="45">
        <v>0</v>
      </c>
      <c r="O14" s="45">
        <v>0</v>
      </c>
      <c r="P14" s="45">
        <v>0</v>
      </c>
      <c r="Q14" s="45">
        <v>0</v>
      </c>
      <c r="R14" s="45">
        <v>0</v>
      </c>
      <c r="S14" s="45">
        <v>0</v>
      </c>
      <c r="T14" s="46"/>
      <c r="U14" s="47"/>
      <c r="V14" s="88"/>
      <c r="W14" s="88"/>
      <c r="X14" s="115"/>
    </row>
    <row r="15" spans="2:24" ht="19.5" thickTop="1" thickBot="1" x14ac:dyDescent="0.3">
      <c r="B15" s="120"/>
      <c r="C15" s="95"/>
      <c r="D15" s="88"/>
      <c r="E15" s="31" t="s">
        <v>4</v>
      </c>
      <c r="F15" s="45">
        <f t="shared" ref="F15:S15" si="3">IF(F14&lt;30,F13,F13+F14)</f>
        <v>0</v>
      </c>
      <c r="G15" s="45">
        <f t="shared" si="3"/>
        <v>0</v>
      </c>
      <c r="H15" s="45">
        <f t="shared" si="3"/>
        <v>0</v>
      </c>
      <c r="I15" s="45">
        <f t="shared" si="3"/>
        <v>37</v>
      </c>
      <c r="J15" s="45">
        <f t="shared" si="3"/>
        <v>40</v>
      </c>
      <c r="K15" s="45">
        <f t="shared" si="3"/>
        <v>31</v>
      </c>
      <c r="L15" s="45">
        <f t="shared" si="3"/>
        <v>34</v>
      </c>
      <c r="M15" s="45">
        <f t="shared" si="3"/>
        <v>0</v>
      </c>
      <c r="N15" s="45">
        <f t="shared" si="3"/>
        <v>0</v>
      </c>
      <c r="O15" s="45">
        <f t="shared" si="3"/>
        <v>0</v>
      </c>
      <c r="P15" s="45">
        <f t="shared" si="3"/>
        <v>0</v>
      </c>
      <c r="Q15" s="45">
        <f t="shared" si="3"/>
        <v>0</v>
      </c>
      <c r="R15" s="45">
        <f t="shared" si="3"/>
        <v>0</v>
      </c>
      <c r="S15" s="45">
        <f t="shared" si="3"/>
        <v>0</v>
      </c>
      <c r="T15" s="46"/>
      <c r="U15" s="47"/>
      <c r="V15" s="88"/>
      <c r="W15" s="88"/>
      <c r="X15" s="115"/>
    </row>
    <row r="16" spans="2:24" ht="16.5" customHeight="1" thickTop="1" thickBot="1" x14ac:dyDescent="0.3">
      <c r="B16" s="120"/>
      <c r="C16" s="95"/>
      <c r="D16" s="89"/>
      <c r="E16" s="32" t="s">
        <v>7</v>
      </c>
      <c r="F16" s="36">
        <f t="shared" ref="F16:L16" si="4">SUM(F12*F15)</f>
        <v>0</v>
      </c>
      <c r="G16" s="36">
        <f t="shared" si="4"/>
        <v>0</v>
      </c>
      <c r="H16" s="36">
        <f t="shared" si="4"/>
        <v>0</v>
      </c>
      <c r="I16" s="36">
        <f t="shared" si="4"/>
        <v>74</v>
      </c>
      <c r="J16" s="36">
        <f t="shared" si="4"/>
        <v>160</v>
      </c>
      <c r="K16" s="36">
        <f t="shared" si="4"/>
        <v>124</v>
      </c>
      <c r="L16" s="36">
        <f t="shared" si="4"/>
        <v>68</v>
      </c>
      <c r="M16" s="36">
        <f t="shared" ref="M16:S16" si="5">SUM(M12*M15)</f>
        <v>0</v>
      </c>
      <c r="N16" s="36">
        <f t="shared" si="5"/>
        <v>0</v>
      </c>
      <c r="O16" s="36">
        <f t="shared" si="5"/>
        <v>0</v>
      </c>
      <c r="P16" s="36">
        <f t="shared" si="5"/>
        <v>0</v>
      </c>
      <c r="Q16" s="36">
        <f t="shared" si="5"/>
        <v>0</v>
      </c>
      <c r="R16" s="36">
        <f t="shared" si="5"/>
        <v>0</v>
      </c>
      <c r="S16" s="36">
        <f t="shared" si="5"/>
        <v>0</v>
      </c>
      <c r="T16" s="50">
        <f>SUM(F16:S16)</f>
        <v>426</v>
      </c>
      <c r="U16" s="51">
        <f>SUM(T16/T12)</f>
        <v>35.5</v>
      </c>
      <c r="V16" s="89"/>
      <c r="W16" s="89"/>
      <c r="X16" s="116"/>
    </row>
    <row r="17" spans="2:24" ht="20.25" thickTop="1" thickBot="1" x14ac:dyDescent="0.35">
      <c r="B17" s="126">
        <v>-3</v>
      </c>
      <c r="C17" s="94" t="s">
        <v>106</v>
      </c>
      <c r="D17" s="88" t="s">
        <v>145</v>
      </c>
      <c r="E17" s="10" t="s">
        <v>6</v>
      </c>
      <c r="F17" s="38">
        <f>IF(IF(F20=0,0,2),2,0)</f>
        <v>0</v>
      </c>
      <c r="G17" s="38">
        <f>IF(IF(G20=0,0,4),4,0)</f>
        <v>0</v>
      </c>
      <c r="H17" s="38">
        <f>IF(IF(H20=0,0,4),4,0)</f>
        <v>0</v>
      </c>
      <c r="I17" s="38">
        <f>IF(IF(I20=0,0,2),2,0)</f>
        <v>2</v>
      </c>
      <c r="J17" s="38">
        <f>IF(IF(J20=0,0,4),4,0)</f>
        <v>4</v>
      </c>
      <c r="K17" s="38">
        <f>IF(IF(K20=0,0,4),4,0)</f>
        <v>4</v>
      </c>
      <c r="L17" s="38">
        <f>IF(IF(L20=0,0,2),2,0)</f>
        <v>2</v>
      </c>
      <c r="M17" s="38">
        <f>IF(IF(M20=0,0,2),2,0)</f>
        <v>0</v>
      </c>
      <c r="N17" s="38">
        <f>IF(IF(N20=0,0,4),4,0)</f>
        <v>0</v>
      </c>
      <c r="O17" s="38">
        <f>IF(IF(O20=0,0,4),4,0)</f>
        <v>0</v>
      </c>
      <c r="P17" s="38">
        <f>IF(IF(P20=0,0,4),4,0)</f>
        <v>0</v>
      </c>
      <c r="Q17" s="38">
        <f>IF(IF(Q20=0,0,3),3,0)</f>
        <v>0</v>
      </c>
      <c r="R17" s="38">
        <f>IF(IF(R20=0,0,4),4,0)</f>
        <v>0</v>
      </c>
      <c r="S17" s="38">
        <f>IF(IF(S20=0,0,2),2,0)</f>
        <v>0</v>
      </c>
      <c r="T17" s="38">
        <f>SUM(F17:S17)</f>
        <v>12</v>
      </c>
      <c r="U17" s="39"/>
      <c r="V17" s="87"/>
      <c r="W17" s="87"/>
      <c r="X17" s="124"/>
    </row>
    <row r="18" spans="2:24" ht="19.5" thickTop="1" thickBot="1" x14ac:dyDescent="0.3">
      <c r="B18" s="120"/>
      <c r="C18" s="95"/>
      <c r="D18" s="88"/>
      <c r="E18" s="33" t="s">
        <v>142</v>
      </c>
      <c r="F18" s="41">
        <v>0</v>
      </c>
      <c r="G18" s="41">
        <v>0</v>
      </c>
      <c r="H18" s="41">
        <v>0</v>
      </c>
      <c r="I18" s="42">
        <v>37</v>
      </c>
      <c r="J18" s="42">
        <v>36</v>
      </c>
      <c r="K18" s="42">
        <v>0</v>
      </c>
      <c r="L18" s="42">
        <v>34</v>
      </c>
      <c r="M18" s="41">
        <v>0</v>
      </c>
      <c r="N18" s="41">
        <v>0</v>
      </c>
      <c r="O18" s="41">
        <v>0</v>
      </c>
      <c r="P18" s="42">
        <v>0</v>
      </c>
      <c r="Q18" s="42">
        <v>0</v>
      </c>
      <c r="R18" s="42">
        <v>0</v>
      </c>
      <c r="S18" s="42">
        <v>0</v>
      </c>
      <c r="T18" s="42"/>
      <c r="U18" s="43"/>
      <c r="V18" s="88"/>
      <c r="W18" s="88"/>
      <c r="X18" s="115"/>
    </row>
    <row r="19" spans="2:24" ht="19.5" thickTop="1" thickBot="1" x14ac:dyDescent="0.3">
      <c r="B19" s="120"/>
      <c r="C19" s="95"/>
      <c r="D19" s="88"/>
      <c r="E19" s="30" t="s">
        <v>3</v>
      </c>
      <c r="F19" s="45">
        <v>0</v>
      </c>
      <c r="G19" s="45">
        <v>0</v>
      </c>
      <c r="H19" s="45">
        <v>0</v>
      </c>
      <c r="I19" s="45">
        <v>0</v>
      </c>
      <c r="J19" s="45">
        <v>0</v>
      </c>
      <c r="K19" s="45">
        <v>35</v>
      </c>
      <c r="L19" s="45">
        <v>0</v>
      </c>
      <c r="M19" s="45">
        <v>0</v>
      </c>
      <c r="N19" s="45">
        <v>0</v>
      </c>
      <c r="O19" s="45">
        <v>0</v>
      </c>
      <c r="P19" s="45">
        <v>0</v>
      </c>
      <c r="Q19" s="45">
        <v>0</v>
      </c>
      <c r="R19" s="45">
        <v>0</v>
      </c>
      <c r="S19" s="45">
        <v>0</v>
      </c>
      <c r="T19" s="46"/>
      <c r="U19" s="47"/>
      <c r="V19" s="88"/>
      <c r="W19" s="88"/>
      <c r="X19" s="115"/>
    </row>
    <row r="20" spans="2:24" ht="19.5" thickTop="1" thickBot="1" x14ac:dyDescent="0.3">
      <c r="B20" s="120"/>
      <c r="C20" s="95"/>
      <c r="D20" s="88"/>
      <c r="E20" s="31" t="s">
        <v>4</v>
      </c>
      <c r="F20" s="45">
        <f t="shared" ref="F20:S20" si="6">IF(F19&lt;30,F18,F18+F19)</f>
        <v>0</v>
      </c>
      <c r="G20" s="45">
        <f t="shared" si="6"/>
        <v>0</v>
      </c>
      <c r="H20" s="45">
        <f t="shared" si="6"/>
        <v>0</v>
      </c>
      <c r="I20" s="45">
        <f t="shared" si="6"/>
        <v>37</v>
      </c>
      <c r="J20" s="45">
        <f t="shared" si="6"/>
        <v>36</v>
      </c>
      <c r="K20" s="45">
        <f t="shared" si="6"/>
        <v>35</v>
      </c>
      <c r="L20" s="45">
        <f t="shared" si="6"/>
        <v>34</v>
      </c>
      <c r="M20" s="45">
        <f t="shared" si="6"/>
        <v>0</v>
      </c>
      <c r="N20" s="45">
        <f t="shared" si="6"/>
        <v>0</v>
      </c>
      <c r="O20" s="45">
        <f t="shared" si="6"/>
        <v>0</v>
      </c>
      <c r="P20" s="45">
        <f t="shared" si="6"/>
        <v>0</v>
      </c>
      <c r="Q20" s="45">
        <f t="shared" si="6"/>
        <v>0</v>
      </c>
      <c r="R20" s="45">
        <f t="shared" si="6"/>
        <v>0</v>
      </c>
      <c r="S20" s="45">
        <f t="shared" si="6"/>
        <v>0</v>
      </c>
      <c r="T20" s="46"/>
      <c r="U20" s="47"/>
      <c r="V20" s="88"/>
      <c r="W20" s="88"/>
      <c r="X20" s="115"/>
    </row>
    <row r="21" spans="2:24" ht="15" customHeight="1" thickTop="1" thickBot="1" x14ac:dyDescent="0.3">
      <c r="B21" s="125"/>
      <c r="C21" s="110"/>
      <c r="D21" s="89"/>
      <c r="E21" s="35" t="s">
        <v>7</v>
      </c>
      <c r="F21" s="36">
        <f t="shared" ref="F21:L21" si="7">SUM(F17*F20)</f>
        <v>0</v>
      </c>
      <c r="G21" s="36">
        <f t="shared" si="7"/>
        <v>0</v>
      </c>
      <c r="H21" s="36">
        <f t="shared" si="7"/>
        <v>0</v>
      </c>
      <c r="I21" s="36">
        <f t="shared" si="7"/>
        <v>74</v>
      </c>
      <c r="J21" s="36">
        <f t="shared" si="7"/>
        <v>144</v>
      </c>
      <c r="K21" s="36">
        <f t="shared" si="7"/>
        <v>140</v>
      </c>
      <c r="L21" s="36">
        <f t="shared" si="7"/>
        <v>68</v>
      </c>
      <c r="M21" s="36">
        <f t="shared" ref="M21:S21" si="8">SUM(M17*M20)</f>
        <v>0</v>
      </c>
      <c r="N21" s="36">
        <f t="shared" si="8"/>
        <v>0</v>
      </c>
      <c r="O21" s="36">
        <f t="shared" si="8"/>
        <v>0</v>
      </c>
      <c r="P21" s="36">
        <f t="shared" si="8"/>
        <v>0</v>
      </c>
      <c r="Q21" s="36">
        <f t="shared" si="8"/>
        <v>0</v>
      </c>
      <c r="R21" s="36">
        <f t="shared" si="8"/>
        <v>0</v>
      </c>
      <c r="S21" s="36">
        <f t="shared" si="8"/>
        <v>0</v>
      </c>
      <c r="T21" s="50">
        <f>SUM(F21:S21)</f>
        <v>426</v>
      </c>
      <c r="U21" s="51">
        <f>SUM(T21/T17)</f>
        <v>35.5</v>
      </c>
      <c r="V21" s="89"/>
      <c r="W21" s="89"/>
      <c r="X21" s="116"/>
    </row>
    <row r="22" spans="2:24" ht="20.25" thickTop="1" thickBot="1" x14ac:dyDescent="0.35">
      <c r="B22" s="122">
        <v>-4</v>
      </c>
      <c r="C22" s="109" t="s">
        <v>22</v>
      </c>
      <c r="D22" s="88" t="s">
        <v>146</v>
      </c>
      <c r="E22" s="10" t="s">
        <v>6</v>
      </c>
      <c r="F22" s="38">
        <f>IF(IF(F25=0,0,2),2,0)</f>
        <v>0</v>
      </c>
      <c r="G22" s="38">
        <f>IF(IF(G25=0,0,4),4,0)</f>
        <v>0</v>
      </c>
      <c r="H22" s="38">
        <f>IF(IF(H25=0,0,4),4,0)</f>
        <v>0</v>
      </c>
      <c r="I22" s="38">
        <f>IF(IF(I25=0,0,2),2,0)</f>
        <v>2</v>
      </c>
      <c r="J22" s="38">
        <f>IF(IF(J25=0,0,4),4,0)</f>
        <v>4</v>
      </c>
      <c r="K22" s="38">
        <f>IF(IF(K25=0,0,4),4,0)</f>
        <v>4</v>
      </c>
      <c r="L22" s="38">
        <f>IF(IF(L25=0,0,2),2,0)</f>
        <v>2</v>
      </c>
      <c r="M22" s="38">
        <f>IF(IF(M25=0,0,2),2,0)</f>
        <v>0</v>
      </c>
      <c r="N22" s="38">
        <f>IF(IF(N25=0,0,4),4,0)</f>
        <v>0</v>
      </c>
      <c r="O22" s="38">
        <f>IF(IF(O25=0,0,4),4,0)</f>
        <v>0</v>
      </c>
      <c r="P22" s="38">
        <f>IF(IF(P25=0,0,4),4,0)</f>
        <v>0</v>
      </c>
      <c r="Q22" s="38">
        <f>IF(IF(Q25=0,0,3),3,0)</f>
        <v>0</v>
      </c>
      <c r="R22" s="38">
        <f>IF(IF(R25=0,0,4),4,0)</f>
        <v>0</v>
      </c>
      <c r="S22" s="38">
        <f>IF(IF(S25=0,0,2),2,0)</f>
        <v>0</v>
      </c>
      <c r="T22" s="38">
        <f>SUM(F22:S22)</f>
        <v>12</v>
      </c>
      <c r="U22" s="39"/>
      <c r="V22" s="87"/>
      <c r="W22" s="87"/>
      <c r="X22" s="124"/>
    </row>
    <row r="23" spans="2:24" ht="19.5" thickTop="1" thickBot="1" x14ac:dyDescent="0.3">
      <c r="B23" s="120"/>
      <c r="C23" s="95"/>
      <c r="D23" s="88"/>
      <c r="E23" s="33" t="s">
        <v>142</v>
      </c>
      <c r="F23" s="41">
        <v>0</v>
      </c>
      <c r="G23" s="41">
        <v>0</v>
      </c>
      <c r="H23" s="41">
        <v>0</v>
      </c>
      <c r="I23" s="42">
        <v>37</v>
      </c>
      <c r="J23" s="42">
        <v>36</v>
      </c>
      <c r="K23" s="42">
        <v>0</v>
      </c>
      <c r="L23" s="42">
        <v>32</v>
      </c>
      <c r="M23" s="41">
        <v>0</v>
      </c>
      <c r="N23" s="41">
        <v>0</v>
      </c>
      <c r="O23" s="41">
        <v>0</v>
      </c>
      <c r="P23" s="42">
        <v>0</v>
      </c>
      <c r="Q23" s="42">
        <v>0</v>
      </c>
      <c r="R23" s="42">
        <v>0</v>
      </c>
      <c r="S23" s="42">
        <v>0</v>
      </c>
      <c r="T23" s="42"/>
      <c r="U23" s="43"/>
      <c r="V23" s="88"/>
      <c r="W23" s="88"/>
      <c r="X23" s="115"/>
    </row>
    <row r="24" spans="2:24" ht="19.5" thickTop="1" thickBot="1" x14ac:dyDescent="0.3">
      <c r="B24" s="120"/>
      <c r="C24" s="95"/>
      <c r="D24" s="88"/>
      <c r="E24" s="30" t="s">
        <v>3</v>
      </c>
      <c r="F24" s="45">
        <v>0</v>
      </c>
      <c r="G24" s="45">
        <v>0</v>
      </c>
      <c r="H24" s="45">
        <v>0</v>
      </c>
      <c r="I24" s="45">
        <v>0</v>
      </c>
      <c r="J24" s="45">
        <v>0</v>
      </c>
      <c r="K24" s="45">
        <v>32</v>
      </c>
      <c r="L24" s="45">
        <v>0</v>
      </c>
      <c r="M24" s="45">
        <v>0</v>
      </c>
      <c r="N24" s="45">
        <v>0</v>
      </c>
      <c r="O24" s="45">
        <v>0</v>
      </c>
      <c r="P24" s="45">
        <v>0</v>
      </c>
      <c r="Q24" s="45">
        <v>0</v>
      </c>
      <c r="R24" s="45">
        <v>0</v>
      </c>
      <c r="S24" s="45">
        <v>0</v>
      </c>
      <c r="T24" s="46"/>
      <c r="U24" s="47"/>
      <c r="V24" s="88"/>
      <c r="W24" s="88"/>
      <c r="X24" s="115"/>
    </row>
    <row r="25" spans="2:24" ht="19.5" thickTop="1" thickBot="1" x14ac:dyDescent="0.3">
      <c r="B25" s="120"/>
      <c r="C25" s="95"/>
      <c r="D25" s="88"/>
      <c r="E25" s="31" t="s">
        <v>4</v>
      </c>
      <c r="F25" s="45">
        <f t="shared" ref="F25:S25" si="9">IF(F24&lt;30,F23,F23+F24)</f>
        <v>0</v>
      </c>
      <c r="G25" s="45">
        <f t="shared" si="9"/>
        <v>0</v>
      </c>
      <c r="H25" s="45">
        <f t="shared" si="9"/>
        <v>0</v>
      </c>
      <c r="I25" s="45">
        <f t="shared" si="9"/>
        <v>37</v>
      </c>
      <c r="J25" s="45">
        <f t="shared" si="9"/>
        <v>36</v>
      </c>
      <c r="K25" s="45">
        <f t="shared" si="9"/>
        <v>32</v>
      </c>
      <c r="L25" s="45">
        <f t="shared" si="9"/>
        <v>32</v>
      </c>
      <c r="M25" s="45">
        <f t="shared" si="9"/>
        <v>0</v>
      </c>
      <c r="N25" s="45">
        <f t="shared" si="9"/>
        <v>0</v>
      </c>
      <c r="O25" s="45">
        <f t="shared" si="9"/>
        <v>0</v>
      </c>
      <c r="P25" s="45">
        <f t="shared" si="9"/>
        <v>0</v>
      </c>
      <c r="Q25" s="45">
        <f t="shared" si="9"/>
        <v>0</v>
      </c>
      <c r="R25" s="45">
        <f t="shared" si="9"/>
        <v>0</v>
      </c>
      <c r="S25" s="45">
        <f t="shared" si="9"/>
        <v>0</v>
      </c>
      <c r="T25" s="46"/>
      <c r="U25" s="47"/>
      <c r="V25" s="88"/>
      <c r="W25" s="88"/>
      <c r="X25" s="115"/>
    </row>
    <row r="26" spans="2:24" ht="18" customHeight="1" thickTop="1" thickBot="1" x14ac:dyDescent="0.3">
      <c r="B26" s="125"/>
      <c r="C26" s="110"/>
      <c r="D26" s="89"/>
      <c r="E26" s="35" t="s">
        <v>7</v>
      </c>
      <c r="F26" s="36">
        <f t="shared" ref="F26:L26" si="10">SUM(F22*F25)</f>
        <v>0</v>
      </c>
      <c r="G26" s="36">
        <f t="shared" si="10"/>
        <v>0</v>
      </c>
      <c r="H26" s="36">
        <f t="shared" si="10"/>
        <v>0</v>
      </c>
      <c r="I26" s="36">
        <f t="shared" si="10"/>
        <v>74</v>
      </c>
      <c r="J26" s="36">
        <f t="shared" si="10"/>
        <v>144</v>
      </c>
      <c r="K26" s="36">
        <f t="shared" si="10"/>
        <v>128</v>
      </c>
      <c r="L26" s="36">
        <f t="shared" si="10"/>
        <v>64</v>
      </c>
      <c r="M26" s="36">
        <f t="shared" ref="M26:S26" si="11">SUM(M22*M25)</f>
        <v>0</v>
      </c>
      <c r="N26" s="36">
        <f t="shared" si="11"/>
        <v>0</v>
      </c>
      <c r="O26" s="36">
        <f t="shared" si="11"/>
        <v>0</v>
      </c>
      <c r="P26" s="36">
        <f t="shared" si="11"/>
        <v>0</v>
      </c>
      <c r="Q26" s="36">
        <f t="shared" si="11"/>
        <v>0</v>
      </c>
      <c r="R26" s="36">
        <f t="shared" si="11"/>
        <v>0</v>
      </c>
      <c r="S26" s="36">
        <f t="shared" si="11"/>
        <v>0</v>
      </c>
      <c r="T26" s="50">
        <f>SUM(F26:S26)</f>
        <v>410</v>
      </c>
      <c r="U26" s="51">
        <f>SUM(T26/T22)</f>
        <v>34.166666666666664</v>
      </c>
      <c r="V26" s="89"/>
      <c r="W26" s="89"/>
      <c r="X26" s="116"/>
    </row>
    <row r="27" spans="2:24" ht="20.25" thickTop="1" thickBot="1" x14ac:dyDescent="0.35">
      <c r="B27" s="122">
        <v>-5</v>
      </c>
      <c r="C27" s="109" t="s">
        <v>107</v>
      </c>
      <c r="D27" s="87" t="s">
        <v>147</v>
      </c>
      <c r="E27" s="10" t="s">
        <v>6</v>
      </c>
      <c r="F27" s="38">
        <f>IF(IF(F30=0,0,2),2,0)</f>
        <v>0</v>
      </c>
      <c r="G27" s="38">
        <f>IF(IF(G30=0,0,4),4,0)</f>
        <v>0</v>
      </c>
      <c r="H27" s="38">
        <f>IF(IF(H30=0,0,4),4,0)</f>
        <v>0</v>
      </c>
      <c r="I27" s="38">
        <f>IF(IF(I30=0,0,2),2,0)</f>
        <v>0</v>
      </c>
      <c r="J27" s="38">
        <f>IF(IF(J30=0,0,4),4,0)</f>
        <v>4</v>
      </c>
      <c r="K27" s="38">
        <f>IF(IF(K30=0,0,4),4,0)</f>
        <v>4</v>
      </c>
      <c r="L27" s="38">
        <f>IF(IF(L30=0,0,2),2,0)</f>
        <v>2</v>
      </c>
      <c r="M27" s="38">
        <f>IF(IF(M30=0,0,2),2,0)</f>
        <v>2</v>
      </c>
      <c r="N27" s="38">
        <f>IF(IF(N30=0,0,4),4,0)</f>
        <v>0</v>
      </c>
      <c r="O27" s="38">
        <f>IF(IF(O30=0,0,4),4,0)</f>
        <v>0</v>
      </c>
      <c r="P27" s="38">
        <f>IF(IF(P30=0,0,4),4,0)</f>
        <v>0</v>
      </c>
      <c r="Q27" s="38">
        <f>IF(IF(Q30=0,0,3),3,0)</f>
        <v>3</v>
      </c>
      <c r="R27" s="38">
        <f>IF(IF(R30=0,0,4),4,0)</f>
        <v>0</v>
      </c>
      <c r="S27" s="38">
        <f>IF(IF(S30=0,0,2),2,0)</f>
        <v>0</v>
      </c>
      <c r="T27" s="38">
        <f>SUM(F27:S27)</f>
        <v>15</v>
      </c>
      <c r="U27" s="39"/>
      <c r="V27" s="87"/>
      <c r="W27" s="87"/>
      <c r="X27" s="124"/>
    </row>
    <row r="28" spans="2:24" ht="19.5" thickTop="1" thickBot="1" x14ac:dyDescent="0.3">
      <c r="B28" s="120"/>
      <c r="C28" s="95"/>
      <c r="D28" s="88"/>
      <c r="E28" s="33" t="s">
        <v>142</v>
      </c>
      <c r="F28" s="41">
        <v>0</v>
      </c>
      <c r="G28" s="41">
        <v>0</v>
      </c>
      <c r="H28" s="41">
        <v>0</v>
      </c>
      <c r="I28" s="76">
        <v>0</v>
      </c>
      <c r="J28" s="42">
        <v>36</v>
      </c>
      <c r="K28" s="42">
        <v>0</v>
      </c>
      <c r="L28" s="42">
        <v>30</v>
      </c>
      <c r="M28" s="76">
        <v>33</v>
      </c>
      <c r="N28" s="41">
        <v>0</v>
      </c>
      <c r="O28" s="41">
        <v>0</v>
      </c>
      <c r="P28" s="42">
        <v>0</v>
      </c>
      <c r="Q28" s="76">
        <v>23</v>
      </c>
      <c r="R28" s="42">
        <v>0</v>
      </c>
      <c r="S28" s="42">
        <v>0</v>
      </c>
      <c r="T28" s="42"/>
      <c r="U28" s="43"/>
      <c r="V28" s="88"/>
      <c r="W28" s="88"/>
      <c r="X28" s="115"/>
    </row>
    <row r="29" spans="2:24" ht="19.5" thickTop="1" thickBot="1" x14ac:dyDescent="0.3">
      <c r="B29" s="120"/>
      <c r="C29" s="95"/>
      <c r="D29" s="88"/>
      <c r="E29" s="30" t="s">
        <v>3</v>
      </c>
      <c r="F29" s="45">
        <v>0</v>
      </c>
      <c r="G29" s="45">
        <v>0</v>
      </c>
      <c r="H29" s="45">
        <v>0</v>
      </c>
      <c r="I29" s="76">
        <v>0</v>
      </c>
      <c r="J29" s="45">
        <v>0</v>
      </c>
      <c r="K29" s="45">
        <v>32</v>
      </c>
      <c r="L29" s="45">
        <v>0</v>
      </c>
      <c r="M29" s="76">
        <v>0</v>
      </c>
      <c r="N29" s="45">
        <v>0</v>
      </c>
      <c r="O29" s="45">
        <v>0</v>
      </c>
      <c r="P29" s="45">
        <v>0</v>
      </c>
      <c r="Q29" s="76">
        <v>0</v>
      </c>
      <c r="R29" s="45">
        <v>0</v>
      </c>
      <c r="S29" s="45">
        <v>0</v>
      </c>
      <c r="T29" s="46"/>
      <c r="U29" s="47"/>
      <c r="V29" s="88"/>
      <c r="W29" s="88"/>
      <c r="X29" s="115"/>
    </row>
    <row r="30" spans="2:24" ht="19.5" thickTop="1" thickBot="1" x14ac:dyDescent="0.3">
      <c r="B30" s="120"/>
      <c r="C30" s="95"/>
      <c r="D30" s="88"/>
      <c r="E30" s="31" t="s">
        <v>4</v>
      </c>
      <c r="F30" s="45">
        <f t="shared" ref="F30:S30" si="12">IF(F29&lt;30,F28,F28+F29)</f>
        <v>0</v>
      </c>
      <c r="G30" s="45">
        <f t="shared" si="12"/>
        <v>0</v>
      </c>
      <c r="H30" s="45">
        <f t="shared" si="12"/>
        <v>0</v>
      </c>
      <c r="I30" s="76">
        <f t="shared" si="12"/>
        <v>0</v>
      </c>
      <c r="J30" s="45">
        <f t="shared" si="12"/>
        <v>36</v>
      </c>
      <c r="K30" s="45">
        <f t="shared" si="12"/>
        <v>32</v>
      </c>
      <c r="L30" s="45">
        <f t="shared" si="12"/>
        <v>30</v>
      </c>
      <c r="M30" s="76">
        <f t="shared" si="12"/>
        <v>33</v>
      </c>
      <c r="N30" s="45">
        <f t="shared" si="12"/>
        <v>0</v>
      </c>
      <c r="O30" s="45">
        <f t="shared" si="12"/>
        <v>0</v>
      </c>
      <c r="P30" s="45">
        <f t="shared" si="12"/>
        <v>0</v>
      </c>
      <c r="Q30" s="76">
        <f t="shared" si="12"/>
        <v>23</v>
      </c>
      <c r="R30" s="45">
        <f t="shared" si="12"/>
        <v>0</v>
      </c>
      <c r="S30" s="45">
        <f t="shared" si="12"/>
        <v>0</v>
      </c>
      <c r="T30" s="46"/>
      <c r="U30" s="47"/>
      <c r="V30" s="88"/>
      <c r="W30" s="88"/>
      <c r="X30" s="115"/>
    </row>
    <row r="31" spans="2:24" ht="20.25" customHeight="1" thickTop="1" thickBot="1" x14ac:dyDescent="0.3">
      <c r="B31" s="121"/>
      <c r="C31" s="96"/>
      <c r="D31" s="89"/>
      <c r="E31" s="32" t="s">
        <v>7</v>
      </c>
      <c r="F31" s="36">
        <f t="shared" ref="F31:L31" si="13">SUM(F27*F30)</f>
        <v>0</v>
      </c>
      <c r="G31" s="36">
        <f t="shared" si="13"/>
        <v>0</v>
      </c>
      <c r="H31" s="36">
        <f t="shared" si="13"/>
        <v>0</v>
      </c>
      <c r="I31" s="76">
        <f t="shared" si="13"/>
        <v>0</v>
      </c>
      <c r="J31" s="36">
        <f t="shared" si="13"/>
        <v>144</v>
      </c>
      <c r="K31" s="36">
        <f t="shared" si="13"/>
        <v>128</v>
      </c>
      <c r="L31" s="36">
        <f t="shared" si="13"/>
        <v>60</v>
      </c>
      <c r="M31" s="76">
        <f t="shared" ref="M31:S31" si="14">SUM(M27*M30)</f>
        <v>66</v>
      </c>
      <c r="N31" s="36">
        <f t="shared" si="14"/>
        <v>0</v>
      </c>
      <c r="O31" s="36">
        <f t="shared" si="14"/>
        <v>0</v>
      </c>
      <c r="P31" s="36">
        <f t="shared" si="14"/>
        <v>0</v>
      </c>
      <c r="Q31" s="76">
        <f t="shared" si="14"/>
        <v>69</v>
      </c>
      <c r="R31" s="36">
        <f t="shared" si="14"/>
        <v>0</v>
      </c>
      <c r="S31" s="36">
        <f t="shared" si="14"/>
        <v>0</v>
      </c>
      <c r="T31" s="50">
        <f>SUM(F31:S31)</f>
        <v>467</v>
      </c>
      <c r="U31" s="51">
        <f>SUM(T31/T27)</f>
        <v>31.133333333333333</v>
      </c>
      <c r="V31" s="89"/>
      <c r="W31" s="89"/>
      <c r="X31" s="116"/>
    </row>
    <row r="32" spans="2:24" ht="20.25" thickTop="1" thickBot="1" x14ac:dyDescent="0.35">
      <c r="B32" s="119">
        <v>-6</v>
      </c>
      <c r="C32" s="97"/>
      <c r="D32" s="87"/>
      <c r="E32" s="10" t="s">
        <v>6</v>
      </c>
      <c r="F32" s="38">
        <f>IF(IF(F35=0,0,2),2,0)</f>
        <v>0</v>
      </c>
      <c r="G32" s="38">
        <f>IF(IF(G35=0,0,4),4,0)</f>
        <v>0</v>
      </c>
      <c r="H32" s="38">
        <f>IF(IF(H35=0,0,4),4,0)</f>
        <v>0</v>
      </c>
      <c r="I32" s="38">
        <f>IF(IF(I35=0,0,2),2,0)</f>
        <v>0</v>
      </c>
      <c r="J32" s="38">
        <f>IF(IF(J35=0,0,4),4,0)</f>
        <v>0</v>
      </c>
      <c r="K32" s="38">
        <f>IF(IF(K35=0,0,4),4,0)</f>
        <v>0</v>
      </c>
      <c r="L32" s="38">
        <f>IF(IF(L35=0,0,2),2,0)</f>
        <v>0</v>
      </c>
      <c r="M32" s="38">
        <f>IF(IF(M35=0,0,2),2,0)</f>
        <v>0</v>
      </c>
      <c r="N32" s="38">
        <f>IF(IF(N35=0,0,4),4,0)</f>
        <v>0</v>
      </c>
      <c r="O32" s="38">
        <f>IF(IF(O35=0,0,4),4,0)</f>
        <v>0</v>
      </c>
      <c r="P32" s="38">
        <f>IF(IF(P35=0,0,4),4,0)</f>
        <v>0</v>
      </c>
      <c r="Q32" s="38">
        <f>IF(IF(Q35=0,0,3),3,0)</f>
        <v>0</v>
      </c>
      <c r="R32" s="38">
        <f>IF(IF(R35=0,0,4),4,0)</f>
        <v>0</v>
      </c>
      <c r="S32" s="38">
        <f>IF(IF(S35=0,0,2),2,0)</f>
        <v>0</v>
      </c>
      <c r="T32" s="38">
        <f>SUM(F32:S32)</f>
        <v>0</v>
      </c>
      <c r="U32" s="39"/>
      <c r="V32" s="87"/>
      <c r="W32" s="87"/>
      <c r="X32" s="124"/>
    </row>
    <row r="33" spans="2:24" ht="19.5" thickTop="1" thickBot="1" x14ac:dyDescent="0.3">
      <c r="B33" s="120"/>
      <c r="C33" s="95"/>
      <c r="D33" s="88"/>
      <c r="E33" s="33" t="s">
        <v>142</v>
      </c>
      <c r="F33" s="41">
        <v>0</v>
      </c>
      <c r="G33" s="41">
        <v>0</v>
      </c>
      <c r="H33" s="41">
        <v>0</v>
      </c>
      <c r="I33" s="42">
        <v>0</v>
      </c>
      <c r="J33" s="42">
        <v>0</v>
      </c>
      <c r="K33" s="42">
        <v>0</v>
      </c>
      <c r="L33" s="42">
        <v>0</v>
      </c>
      <c r="M33" s="41">
        <v>0</v>
      </c>
      <c r="N33" s="41">
        <v>0</v>
      </c>
      <c r="O33" s="41">
        <v>0</v>
      </c>
      <c r="P33" s="42">
        <v>0</v>
      </c>
      <c r="Q33" s="42">
        <v>0</v>
      </c>
      <c r="R33" s="42">
        <v>0</v>
      </c>
      <c r="S33" s="42">
        <v>0</v>
      </c>
      <c r="T33" s="42"/>
      <c r="U33" s="43"/>
      <c r="V33" s="88"/>
      <c r="W33" s="88"/>
      <c r="X33" s="115"/>
    </row>
    <row r="34" spans="2:24" ht="19.5" thickTop="1" thickBot="1" x14ac:dyDescent="0.3">
      <c r="B34" s="120"/>
      <c r="C34" s="95"/>
      <c r="D34" s="88"/>
      <c r="E34" s="30" t="s">
        <v>3</v>
      </c>
      <c r="F34" s="45">
        <v>0</v>
      </c>
      <c r="G34" s="45">
        <v>0</v>
      </c>
      <c r="H34" s="45">
        <v>0</v>
      </c>
      <c r="I34" s="45">
        <v>0</v>
      </c>
      <c r="J34" s="45">
        <v>0</v>
      </c>
      <c r="K34" s="45">
        <v>0</v>
      </c>
      <c r="L34" s="45">
        <v>0</v>
      </c>
      <c r="M34" s="45">
        <v>0</v>
      </c>
      <c r="N34" s="45">
        <v>0</v>
      </c>
      <c r="O34" s="45">
        <v>0</v>
      </c>
      <c r="P34" s="45">
        <v>0</v>
      </c>
      <c r="Q34" s="45">
        <v>0</v>
      </c>
      <c r="R34" s="45">
        <v>0</v>
      </c>
      <c r="S34" s="45">
        <v>0</v>
      </c>
      <c r="T34" s="46"/>
      <c r="U34" s="47"/>
      <c r="V34" s="88"/>
      <c r="W34" s="88"/>
      <c r="X34" s="115"/>
    </row>
    <row r="35" spans="2:24" ht="19.5" thickTop="1" thickBot="1" x14ac:dyDescent="0.3">
      <c r="B35" s="120"/>
      <c r="C35" s="95"/>
      <c r="D35" s="88"/>
      <c r="E35" s="31" t="s">
        <v>4</v>
      </c>
      <c r="F35" s="45">
        <f t="shared" ref="F35:S35" si="15">IF(F34&lt;30,F33,F33+F34)</f>
        <v>0</v>
      </c>
      <c r="G35" s="45">
        <f t="shared" si="15"/>
        <v>0</v>
      </c>
      <c r="H35" s="45">
        <f t="shared" si="15"/>
        <v>0</v>
      </c>
      <c r="I35" s="45">
        <f t="shared" si="15"/>
        <v>0</v>
      </c>
      <c r="J35" s="45">
        <f t="shared" si="15"/>
        <v>0</v>
      </c>
      <c r="K35" s="45">
        <f t="shared" si="15"/>
        <v>0</v>
      </c>
      <c r="L35" s="45">
        <f t="shared" si="15"/>
        <v>0</v>
      </c>
      <c r="M35" s="45">
        <f t="shared" si="15"/>
        <v>0</v>
      </c>
      <c r="N35" s="45">
        <f t="shared" si="15"/>
        <v>0</v>
      </c>
      <c r="O35" s="45">
        <f t="shared" si="15"/>
        <v>0</v>
      </c>
      <c r="P35" s="45">
        <f t="shared" si="15"/>
        <v>0</v>
      </c>
      <c r="Q35" s="45">
        <f t="shared" si="15"/>
        <v>0</v>
      </c>
      <c r="R35" s="45">
        <f t="shared" si="15"/>
        <v>0</v>
      </c>
      <c r="S35" s="45">
        <f t="shared" si="15"/>
        <v>0</v>
      </c>
      <c r="T35" s="46"/>
      <c r="U35" s="47"/>
      <c r="V35" s="88"/>
      <c r="W35" s="88"/>
      <c r="X35" s="115"/>
    </row>
    <row r="36" spans="2:24" ht="17.25" customHeight="1" thickTop="1" thickBot="1" x14ac:dyDescent="0.3">
      <c r="B36" s="121"/>
      <c r="C36" s="96"/>
      <c r="D36" s="89"/>
      <c r="E36" s="32" t="s">
        <v>7</v>
      </c>
      <c r="F36" s="53">
        <f t="shared" ref="F36:L36" si="16">SUM(F32*F35)</f>
        <v>0</v>
      </c>
      <c r="G36" s="53">
        <f t="shared" si="16"/>
        <v>0</v>
      </c>
      <c r="H36" s="53">
        <f t="shared" si="16"/>
        <v>0</v>
      </c>
      <c r="I36" s="53">
        <f t="shared" si="16"/>
        <v>0</v>
      </c>
      <c r="J36" s="53">
        <f t="shared" si="16"/>
        <v>0</v>
      </c>
      <c r="K36" s="53">
        <f t="shared" si="16"/>
        <v>0</v>
      </c>
      <c r="L36" s="53">
        <f t="shared" si="16"/>
        <v>0</v>
      </c>
      <c r="M36" s="53">
        <f t="shared" ref="M36:S36" si="17">SUM(M32*M35)</f>
        <v>0</v>
      </c>
      <c r="N36" s="53">
        <f t="shared" si="17"/>
        <v>0</v>
      </c>
      <c r="O36" s="53">
        <f t="shared" si="17"/>
        <v>0</v>
      </c>
      <c r="P36" s="53">
        <f t="shared" si="17"/>
        <v>0</v>
      </c>
      <c r="Q36" s="53">
        <f t="shared" si="17"/>
        <v>0</v>
      </c>
      <c r="R36" s="53">
        <f t="shared" si="17"/>
        <v>0</v>
      </c>
      <c r="S36" s="53">
        <f t="shared" si="17"/>
        <v>0</v>
      </c>
      <c r="T36" s="54">
        <f>SUM(F36:S36)</f>
        <v>0</v>
      </c>
      <c r="U36" s="53" t="e">
        <f>SUM(T36/T32)</f>
        <v>#DIV/0!</v>
      </c>
      <c r="V36" s="89"/>
      <c r="W36" s="89"/>
      <c r="X36" s="116"/>
    </row>
    <row r="37" spans="2:24" ht="13.5" thickTop="1" x14ac:dyDescent="0.2"/>
  </sheetData>
  <mergeCells count="45">
    <mergeCell ref="B32:B36"/>
    <mergeCell ref="C32:C36"/>
    <mergeCell ref="D32:D36"/>
    <mergeCell ref="V32:V36"/>
    <mergeCell ref="W32:W36"/>
    <mergeCell ref="X32:X36"/>
    <mergeCell ref="B27:B31"/>
    <mergeCell ref="C27:C31"/>
    <mergeCell ref="D27:D31"/>
    <mergeCell ref="V27:V31"/>
    <mergeCell ref="W27:W31"/>
    <mergeCell ref="X27:X31"/>
    <mergeCell ref="B22:B26"/>
    <mergeCell ref="C22:C26"/>
    <mergeCell ref="D22:D26"/>
    <mergeCell ref="V22:V26"/>
    <mergeCell ref="W22:W26"/>
    <mergeCell ref="X22:X26"/>
    <mergeCell ref="B17:B21"/>
    <mergeCell ref="C17:C21"/>
    <mergeCell ref="D17:D21"/>
    <mergeCell ref="V17:V21"/>
    <mergeCell ref="W17:W21"/>
    <mergeCell ref="X17:X21"/>
    <mergeCell ref="X7:X11"/>
    <mergeCell ref="B12:B16"/>
    <mergeCell ref="C12:C16"/>
    <mergeCell ref="D12:D16"/>
    <mergeCell ref="V12:V16"/>
    <mergeCell ref="W12:W16"/>
    <mergeCell ref="X12:X16"/>
    <mergeCell ref="T5:T6"/>
    <mergeCell ref="U5:U6"/>
    <mergeCell ref="W5:W6"/>
    <mergeCell ref="B7:B11"/>
    <mergeCell ref="C7:C11"/>
    <mergeCell ref="D7:D11"/>
    <mergeCell ref="V7:V11"/>
    <mergeCell ref="W7:W11"/>
    <mergeCell ref="B5:B6"/>
    <mergeCell ref="C5:C6"/>
    <mergeCell ref="D5:D6"/>
    <mergeCell ref="E5:E6"/>
    <mergeCell ref="F5:L5"/>
    <mergeCell ref="M5:S5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A3C764-9671-4C57-A699-1380216B5F22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الاول حاسوب</vt:lpstr>
      <vt:lpstr>الثاني حاسوب</vt:lpstr>
      <vt:lpstr>الثالث حاسوب</vt:lpstr>
      <vt:lpstr>الرابع حاسوب</vt:lpstr>
      <vt:lpstr>الخامس حاسوب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GAREANE ALGREANE</cp:lastModifiedBy>
  <cp:lastPrinted>2025-04-29T09:16:35Z</cp:lastPrinted>
  <dcterms:created xsi:type="dcterms:W3CDTF">2015-06-04T06:53:41Z</dcterms:created>
  <dcterms:modified xsi:type="dcterms:W3CDTF">2026-01-24T05:22:00Z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{A9A3C764-9671-4C57-A699-1380216B5F22}</vt:lpwstr>
  </property>
</Properties>
</file>