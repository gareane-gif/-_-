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B9057E1B-97AD-42B5-AAE4-91D55AF2BBA0}" xr6:coauthVersionLast="47" xr6:coauthVersionMax="47" xr10:uidLastSave="{00000000-0000-0000-0000-000000000000}"/>
  <bookViews>
    <workbookView xWindow="-120" yWindow="-120" windowWidth="29040" windowHeight="15720" activeTab="4" xr2:uid="{A2EA8C52-239D-4626-B3BD-A7EE1365D14B}"/>
  </bookViews>
  <sheets>
    <sheet name="الاول طاقة" sheetId="7" r:id="rId1"/>
    <sheet name="الثاني طاقة" sheetId="8" r:id="rId2"/>
    <sheet name="الثالث طاقة" sheetId="9" r:id="rId3"/>
    <sheet name="الرابع طاقة" sheetId="10" r:id="rId4"/>
    <sheet name="الخامس طاقة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1" l="1"/>
  <c r="R22" i="11" s="1"/>
  <c r="R26" i="11" s="1"/>
  <c r="Q25" i="11"/>
  <c r="P25" i="11"/>
  <c r="O25" i="11"/>
  <c r="O22" i="11" s="1"/>
  <c r="O26" i="11" s="1"/>
  <c r="N25" i="11"/>
  <c r="N22" i="11" s="1"/>
  <c r="N26" i="11" s="1"/>
  <c r="M25" i="11"/>
  <c r="M22" i="11" s="1"/>
  <c r="M26" i="11" s="1"/>
  <c r="L25" i="11"/>
  <c r="K25" i="11"/>
  <c r="J25" i="11"/>
  <c r="J22" i="11" s="1"/>
  <c r="J26" i="11" s="1"/>
  <c r="I25" i="11"/>
  <c r="I22" i="11" s="1"/>
  <c r="I26" i="11" s="1"/>
  <c r="H25" i="11"/>
  <c r="H22" i="11" s="1"/>
  <c r="H26" i="11" s="1"/>
  <c r="G25" i="11"/>
  <c r="G22" i="11" s="1"/>
  <c r="G26" i="11" s="1"/>
  <c r="F25" i="11"/>
  <c r="F22" i="11" s="1"/>
  <c r="Q22" i="11"/>
  <c r="Q26" i="11" s="1"/>
  <c r="P22" i="11"/>
  <c r="P26" i="11" s="1"/>
  <c r="L22" i="11"/>
  <c r="L26" i="11" s="1"/>
  <c r="K22" i="11"/>
  <c r="K26" i="11" s="1"/>
  <c r="R20" i="11"/>
  <c r="R17" i="11" s="1"/>
  <c r="R21" i="11" s="1"/>
  <c r="Q20" i="11"/>
  <c r="Q17" i="11" s="1"/>
  <c r="Q21" i="11" s="1"/>
  <c r="P20" i="11"/>
  <c r="P17" i="11" s="1"/>
  <c r="P21" i="11" s="1"/>
  <c r="O20" i="11"/>
  <c r="O17" i="11" s="1"/>
  <c r="O21" i="11" s="1"/>
  <c r="N20" i="11"/>
  <c r="N17" i="11" s="1"/>
  <c r="N21" i="11" s="1"/>
  <c r="M20" i="11"/>
  <c r="M17" i="11" s="1"/>
  <c r="M21" i="11" s="1"/>
  <c r="L20" i="11"/>
  <c r="L17" i="11" s="1"/>
  <c r="L21" i="11" s="1"/>
  <c r="K20" i="11"/>
  <c r="J20" i="11"/>
  <c r="I20" i="11"/>
  <c r="I17" i="11" s="1"/>
  <c r="I21" i="11" s="1"/>
  <c r="H20" i="11"/>
  <c r="H17" i="11" s="1"/>
  <c r="H21" i="11" s="1"/>
  <c r="G20" i="11"/>
  <c r="G17" i="11" s="1"/>
  <c r="G21" i="11" s="1"/>
  <c r="F20" i="11"/>
  <c r="K17" i="11"/>
  <c r="K21" i="11" s="1"/>
  <c r="J17" i="11"/>
  <c r="J21" i="11" s="1"/>
  <c r="F17" i="11"/>
  <c r="N16" i="11"/>
  <c r="R15" i="11"/>
  <c r="R12" i="11" s="1"/>
  <c r="R16" i="11" s="1"/>
  <c r="Q15" i="11"/>
  <c r="Q12" i="11" s="1"/>
  <c r="Q16" i="11" s="1"/>
  <c r="P15" i="11"/>
  <c r="O15" i="11"/>
  <c r="N15" i="11"/>
  <c r="M15" i="11"/>
  <c r="M12" i="11" s="1"/>
  <c r="M16" i="11" s="1"/>
  <c r="L15" i="11"/>
  <c r="L12" i="11" s="1"/>
  <c r="L16" i="11" s="1"/>
  <c r="K15" i="11"/>
  <c r="K12" i="11" s="1"/>
  <c r="K16" i="11" s="1"/>
  <c r="J15" i="11"/>
  <c r="J12" i="11" s="1"/>
  <c r="J16" i="11" s="1"/>
  <c r="I15" i="11"/>
  <c r="I12" i="11" s="1"/>
  <c r="I16" i="11" s="1"/>
  <c r="H15" i="11"/>
  <c r="G15" i="11"/>
  <c r="G12" i="11" s="1"/>
  <c r="G16" i="11" s="1"/>
  <c r="F15" i="11"/>
  <c r="F12" i="11" s="1"/>
  <c r="P12" i="11"/>
  <c r="P16" i="11" s="1"/>
  <c r="O12" i="11"/>
  <c r="O16" i="11" s="1"/>
  <c r="N12" i="11"/>
  <c r="H12" i="11"/>
  <c r="H16" i="11" s="1"/>
  <c r="H11" i="11"/>
  <c r="R10" i="11"/>
  <c r="Q10" i="11"/>
  <c r="Q7" i="11" s="1"/>
  <c r="Q11" i="11" s="1"/>
  <c r="P10" i="11"/>
  <c r="P7" i="11" s="1"/>
  <c r="P11" i="11" s="1"/>
  <c r="O10" i="11"/>
  <c r="N10" i="11"/>
  <c r="M10" i="11"/>
  <c r="M7" i="11" s="1"/>
  <c r="M11" i="11" s="1"/>
  <c r="L10" i="11"/>
  <c r="L7" i="11" s="1"/>
  <c r="L11" i="11" s="1"/>
  <c r="K10" i="11"/>
  <c r="K7" i="11" s="1"/>
  <c r="K11" i="11" s="1"/>
  <c r="J10" i="11"/>
  <c r="I10" i="11"/>
  <c r="H10" i="11"/>
  <c r="G10" i="11"/>
  <c r="G7" i="11" s="1"/>
  <c r="G11" i="11" s="1"/>
  <c r="F10" i="11"/>
  <c r="F7" i="11" s="1"/>
  <c r="R7" i="11"/>
  <c r="R11" i="11" s="1"/>
  <c r="O7" i="11"/>
  <c r="O11" i="11" s="1"/>
  <c r="N7" i="11"/>
  <c r="N11" i="11" s="1"/>
  <c r="J7" i="11"/>
  <c r="J11" i="11" s="1"/>
  <c r="I7" i="11"/>
  <c r="I11" i="11" s="1"/>
  <c r="H7" i="11"/>
  <c r="T26" i="10"/>
  <c r="P26" i="10"/>
  <c r="N26" i="10"/>
  <c r="J26" i="10"/>
  <c r="H26" i="10"/>
  <c r="T25" i="10"/>
  <c r="S25" i="10"/>
  <c r="S22" i="10" s="1"/>
  <c r="S26" i="10" s="1"/>
  <c r="R25" i="10"/>
  <c r="Q25" i="10"/>
  <c r="P25" i="10"/>
  <c r="O25" i="10"/>
  <c r="N25" i="10"/>
  <c r="M25" i="10"/>
  <c r="M22" i="10" s="1"/>
  <c r="M26" i="10" s="1"/>
  <c r="L25" i="10"/>
  <c r="L22" i="10" s="1"/>
  <c r="L26" i="10" s="1"/>
  <c r="K25" i="10"/>
  <c r="K22" i="10" s="1"/>
  <c r="K26" i="10" s="1"/>
  <c r="J25" i="10"/>
  <c r="I25" i="10"/>
  <c r="I22" i="10" s="1"/>
  <c r="I26" i="10" s="1"/>
  <c r="H25" i="10"/>
  <c r="G25" i="10"/>
  <c r="G22" i="10" s="1"/>
  <c r="G26" i="10" s="1"/>
  <c r="F25" i="10"/>
  <c r="T22" i="10"/>
  <c r="R22" i="10"/>
  <c r="R26" i="10" s="1"/>
  <c r="Q22" i="10"/>
  <c r="Q26" i="10" s="1"/>
  <c r="P22" i="10"/>
  <c r="O22" i="10"/>
  <c r="O26" i="10" s="1"/>
  <c r="N22" i="10"/>
  <c r="J22" i="10"/>
  <c r="H22" i="10"/>
  <c r="F22" i="10"/>
  <c r="F26" i="10" s="1"/>
  <c r="T21" i="10"/>
  <c r="R21" i="10"/>
  <c r="P21" i="10"/>
  <c r="N21" i="10"/>
  <c r="K21" i="10"/>
  <c r="T20" i="10"/>
  <c r="S20" i="10"/>
  <c r="R20" i="10"/>
  <c r="Q20" i="10"/>
  <c r="P20" i="10"/>
  <c r="O20" i="10"/>
  <c r="N20" i="10"/>
  <c r="M20" i="10"/>
  <c r="M17" i="10" s="1"/>
  <c r="M21" i="10" s="1"/>
  <c r="L20" i="10"/>
  <c r="L17" i="10" s="1"/>
  <c r="L21" i="10" s="1"/>
  <c r="K20" i="10"/>
  <c r="J20" i="10"/>
  <c r="J17" i="10" s="1"/>
  <c r="J21" i="10" s="1"/>
  <c r="I20" i="10"/>
  <c r="I17" i="10" s="1"/>
  <c r="I21" i="10" s="1"/>
  <c r="H20" i="10"/>
  <c r="H17" i="10" s="1"/>
  <c r="H21" i="10" s="1"/>
  <c r="G20" i="10"/>
  <c r="F20" i="10"/>
  <c r="T17" i="10"/>
  <c r="S17" i="10"/>
  <c r="S21" i="10" s="1"/>
  <c r="R17" i="10"/>
  <c r="Q17" i="10"/>
  <c r="Q21" i="10" s="1"/>
  <c r="P17" i="10"/>
  <c r="O17" i="10"/>
  <c r="O21" i="10" s="1"/>
  <c r="N17" i="10"/>
  <c r="K17" i="10"/>
  <c r="G17" i="10"/>
  <c r="G21" i="10" s="1"/>
  <c r="F17" i="10"/>
  <c r="F21" i="10" s="1"/>
  <c r="T16" i="10"/>
  <c r="R16" i="10"/>
  <c r="P16" i="10"/>
  <c r="N16" i="10"/>
  <c r="I16" i="10"/>
  <c r="T15" i="10"/>
  <c r="S15" i="10"/>
  <c r="R15" i="10"/>
  <c r="Q15" i="10"/>
  <c r="P15" i="10"/>
  <c r="O15" i="10"/>
  <c r="N15" i="10"/>
  <c r="M15" i="10"/>
  <c r="M12" i="10" s="1"/>
  <c r="M16" i="10" s="1"/>
  <c r="L15" i="10"/>
  <c r="L12" i="10" s="1"/>
  <c r="L16" i="10" s="1"/>
  <c r="K15" i="10"/>
  <c r="K12" i="10" s="1"/>
  <c r="K16" i="10" s="1"/>
  <c r="J15" i="10"/>
  <c r="J12" i="10" s="1"/>
  <c r="J16" i="10" s="1"/>
  <c r="I15" i="10"/>
  <c r="H15" i="10"/>
  <c r="H12" i="10" s="1"/>
  <c r="H16" i="10" s="1"/>
  <c r="G15" i="10"/>
  <c r="F15" i="10"/>
  <c r="T12" i="10"/>
  <c r="S12" i="10"/>
  <c r="S16" i="10" s="1"/>
  <c r="R12" i="10"/>
  <c r="Q12" i="10"/>
  <c r="Q16" i="10" s="1"/>
  <c r="P12" i="10"/>
  <c r="O12" i="10"/>
  <c r="O16" i="10" s="1"/>
  <c r="N12" i="10"/>
  <c r="I12" i="10"/>
  <c r="G12" i="10"/>
  <c r="G16" i="10" s="1"/>
  <c r="F12" i="10"/>
  <c r="F16" i="10" s="1"/>
  <c r="T11" i="10"/>
  <c r="R11" i="10"/>
  <c r="P11" i="10"/>
  <c r="N11" i="10"/>
  <c r="M11" i="10"/>
  <c r="T10" i="10"/>
  <c r="S10" i="10"/>
  <c r="R10" i="10"/>
  <c r="Q10" i="10"/>
  <c r="P10" i="10"/>
  <c r="O10" i="10"/>
  <c r="O7" i="10" s="1"/>
  <c r="O11" i="10" s="1"/>
  <c r="N10" i="10"/>
  <c r="M10" i="10"/>
  <c r="L10" i="10"/>
  <c r="L7" i="10" s="1"/>
  <c r="L11" i="10" s="1"/>
  <c r="K10" i="10"/>
  <c r="K7" i="10" s="1"/>
  <c r="K11" i="10" s="1"/>
  <c r="J10" i="10"/>
  <c r="J7" i="10" s="1"/>
  <c r="J11" i="10" s="1"/>
  <c r="I10" i="10"/>
  <c r="I7" i="10" s="1"/>
  <c r="I11" i="10" s="1"/>
  <c r="H10" i="10"/>
  <c r="H7" i="10" s="1"/>
  <c r="H11" i="10" s="1"/>
  <c r="G10" i="10"/>
  <c r="G7" i="10" s="1"/>
  <c r="G11" i="10" s="1"/>
  <c r="F10" i="10"/>
  <c r="T7" i="10"/>
  <c r="S7" i="10"/>
  <c r="S11" i="10" s="1"/>
  <c r="R7" i="10"/>
  <c r="Q7" i="10"/>
  <c r="Q11" i="10" s="1"/>
  <c r="P7" i="10"/>
  <c r="N7" i="10"/>
  <c r="M7" i="10"/>
  <c r="F7" i="10"/>
  <c r="F11" i="10" s="1"/>
  <c r="U25" i="9"/>
  <c r="T25" i="9"/>
  <c r="R25" i="9"/>
  <c r="Q25" i="9"/>
  <c r="Q22" i="9" s="1"/>
  <c r="Q26" i="9" s="1"/>
  <c r="P25" i="9"/>
  <c r="O25" i="9"/>
  <c r="N25" i="9"/>
  <c r="M25" i="9"/>
  <c r="L25" i="9"/>
  <c r="K25" i="9"/>
  <c r="J25" i="9"/>
  <c r="I25" i="9"/>
  <c r="H25" i="9"/>
  <c r="G25" i="9"/>
  <c r="G22" i="9" s="1"/>
  <c r="G26" i="9" s="1"/>
  <c r="F25" i="9"/>
  <c r="U22" i="9"/>
  <c r="U26" i="9" s="1"/>
  <c r="T22" i="9"/>
  <c r="T26" i="9" s="1"/>
  <c r="S22" i="9"/>
  <c r="S26" i="9" s="1"/>
  <c r="R22" i="9"/>
  <c r="R26" i="9" s="1"/>
  <c r="P22" i="9"/>
  <c r="P26" i="9" s="1"/>
  <c r="O22" i="9"/>
  <c r="O26" i="9" s="1"/>
  <c r="N22" i="9"/>
  <c r="N26" i="9" s="1"/>
  <c r="M22" i="9"/>
  <c r="M26" i="9" s="1"/>
  <c r="L22" i="9"/>
  <c r="L26" i="9" s="1"/>
  <c r="K22" i="9"/>
  <c r="K26" i="9" s="1"/>
  <c r="J22" i="9"/>
  <c r="J26" i="9" s="1"/>
  <c r="I22" i="9"/>
  <c r="I26" i="9" s="1"/>
  <c r="H22" i="9"/>
  <c r="H26" i="9" s="1"/>
  <c r="F22" i="9"/>
  <c r="F26" i="9" s="1"/>
  <c r="N21" i="9"/>
  <c r="J21" i="9"/>
  <c r="U20" i="9"/>
  <c r="T20" i="9"/>
  <c r="R20" i="9"/>
  <c r="Q20" i="9"/>
  <c r="P20" i="9"/>
  <c r="O20" i="9"/>
  <c r="N20" i="9"/>
  <c r="M20" i="9"/>
  <c r="M17" i="9" s="1"/>
  <c r="M21" i="9" s="1"/>
  <c r="L20" i="9"/>
  <c r="K20" i="9"/>
  <c r="J20" i="9"/>
  <c r="I20" i="9"/>
  <c r="I17" i="9" s="1"/>
  <c r="I21" i="9" s="1"/>
  <c r="H20" i="9"/>
  <c r="G20" i="9"/>
  <c r="G17" i="9" s="1"/>
  <c r="F20" i="9"/>
  <c r="U17" i="9"/>
  <c r="U21" i="9" s="1"/>
  <c r="T17" i="9"/>
  <c r="T21" i="9" s="1"/>
  <c r="S17" i="9"/>
  <c r="S21" i="9" s="1"/>
  <c r="R17" i="9"/>
  <c r="R21" i="9" s="1"/>
  <c r="Q17" i="9"/>
  <c r="Q21" i="9" s="1"/>
  <c r="P17" i="9"/>
  <c r="P21" i="9" s="1"/>
  <c r="O17" i="9"/>
  <c r="O21" i="9" s="1"/>
  <c r="N17" i="9"/>
  <c r="L17" i="9"/>
  <c r="L21" i="9" s="1"/>
  <c r="K17" i="9"/>
  <c r="K21" i="9" s="1"/>
  <c r="J17" i="9"/>
  <c r="H17" i="9"/>
  <c r="H21" i="9" s="1"/>
  <c r="F17" i="9"/>
  <c r="F21" i="9" s="1"/>
  <c r="Q16" i="9"/>
  <c r="U15" i="9"/>
  <c r="T15" i="9"/>
  <c r="R15" i="9"/>
  <c r="Q15" i="9"/>
  <c r="P15" i="9"/>
  <c r="O15" i="9"/>
  <c r="N15" i="9"/>
  <c r="M15" i="9"/>
  <c r="L15" i="9"/>
  <c r="K15" i="9"/>
  <c r="K12" i="9" s="1"/>
  <c r="K16" i="9" s="1"/>
  <c r="J15" i="9"/>
  <c r="I15" i="9"/>
  <c r="I12" i="9" s="1"/>
  <c r="I16" i="9" s="1"/>
  <c r="H15" i="9"/>
  <c r="G15" i="9"/>
  <c r="G12" i="9" s="1"/>
  <c r="G16" i="9" s="1"/>
  <c r="F15" i="9"/>
  <c r="U12" i="9"/>
  <c r="U16" i="9" s="1"/>
  <c r="T12" i="9"/>
  <c r="T16" i="9" s="1"/>
  <c r="S12" i="9"/>
  <c r="S16" i="9" s="1"/>
  <c r="R12" i="9"/>
  <c r="R16" i="9" s="1"/>
  <c r="Q12" i="9"/>
  <c r="P12" i="9"/>
  <c r="P16" i="9" s="1"/>
  <c r="O12" i="9"/>
  <c r="O16" i="9" s="1"/>
  <c r="N12" i="9"/>
  <c r="N16" i="9" s="1"/>
  <c r="M12" i="9"/>
  <c r="M16" i="9" s="1"/>
  <c r="L12" i="9"/>
  <c r="L16" i="9" s="1"/>
  <c r="J12" i="9"/>
  <c r="J16" i="9" s="1"/>
  <c r="H12" i="9"/>
  <c r="H16" i="9" s="1"/>
  <c r="F12" i="9"/>
  <c r="F16" i="9" s="1"/>
  <c r="U10" i="9"/>
  <c r="T10" i="9"/>
  <c r="R10" i="9"/>
  <c r="Q10" i="9"/>
  <c r="P10" i="9"/>
  <c r="O10" i="9"/>
  <c r="N10" i="9"/>
  <c r="M10" i="9"/>
  <c r="M7" i="9" s="1"/>
  <c r="M11" i="9" s="1"/>
  <c r="L10" i="9"/>
  <c r="K10" i="9"/>
  <c r="K7" i="9" s="1"/>
  <c r="K11" i="9" s="1"/>
  <c r="J10" i="9"/>
  <c r="I10" i="9"/>
  <c r="I7" i="9" s="1"/>
  <c r="I11" i="9" s="1"/>
  <c r="H10" i="9"/>
  <c r="G10" i="9"/>
  <c r="G7" i="9" s="1"/>
  <c r="G11" i="9" s="1"/>
  <c r="F10" i="9"/>
  <c r="U7" i="9"/>
  <c r="U11" i="9" s="1"/>
  <c r="T7" i="9"/>
  <c r="T11" i="9" s="1"/>
  <c r="S7" i="9"/>
  <c r="S11" i="9" s="1"/>
  <c r="R7" i="9"/>
  <c r="R11" i="9" s="1"/>
  <c r="Q7" i="9"/>
  <c r="Q11" i="9" s="1"/>
  <c r="P7" i="9"/>
  <c r="P11" i="9" s="1"/>
  <c r="O7" i="9"/>
  <c r="O11" i="9" s="1"/>
  <c r="N7" i="9"/>
  <c r="N11" i="9" s="1"/>
  <c r="L7" i="9"/>
  <c r="L11" i="9" s="1"/>
  <c r="J7" i="9"/>
  <c r="J11" i="9" s="1"/>
  <c r="H7" i="9"/>
  <c r="H11" i="9" s="1"/>
  <c r="F7" i="9"/>
  <c r="F11" i="9" s="1"/>
  <c r="U25" i="8"/>
  <c r="T25" i="8"/>
  <c r="S25" i="8"/>
  <c r="S26" i="8" s="1"/>
  <c r="R25" i="8"/>
  <c r="R22" i="8" s="1"/>
  <c r="Q25" i="8"/>
  <c r="P25" i="8"/>
  <c r="P22" i="8" s="1"/>
  <c r="O25" i="8"/>
  <c r="N25" i="8"/>
  <c r="N22" i="8" s="1"/>
  <c r="P26" i="8" s="1"/>
  <c r="M25" i="8"/>
  <c r="L25" i="8"/>
  <c r="K25" i="8"/>
  <c r="J25" i="8"/>
  <c r="I25" i="8"/>
  <c r="I22" i="8" s="1"/>
  <c r="J26" i="8" s="1"/>
  <c r="H25" i="8"/>
  <c r="H22" i="8" s="1"/>
  <c r="G25" i="8"/>
  <c r="G22" i="8" s="1"/>
  <c r="F25" i="8"/>
  <c r="U22" i="8"/>
  <c r="T22" i="8"/>
  <c r="Q26" i="8" s="1"/>
  <c r="Q22" i="8"/>
  <c r="R26" i="8" s="1"/>
  <c r="O22" i="8"/>
  <c r="N26" i="8" s="1"/>
  <c r="M22" i="8"/>
  <c r="L22" i="8"/>
  <c r="M26" i="8" s="1"/>
  <c r="K22" i="8"/>
  <c r="L26" i="8" s="1"/>
  <c r="J22" i="8"/>
  <c r="F22" i="8"/>
  <c r="G26" i="8" s="1"/>
  <c r="Q21" i="8"/>
  <c r="U20" i="8"/>
  <c r="U17" i="8" s="1"/>
  <c r="S21" i="8" s="1"/>
  <c r="T20" i="8"/>
  <c r="S20" i="8"/>
  <c r="S17" i="8" s="1"/>
  <c r="U21" i="8" s="1"/>
  <c r="R20" i="8"/>
  <c r="Q20" i="8"/>
  <c r="Q17" i="8" s="1"/>
  <c r="R21" i="8" s="1"/>
  <c r="P20" i="8"/>
  <c r="O20" i="8"/>
  <c r="O21" i="8" s="1"/>
  <c r="N20" i="8"/>
  <c r="M20" i="8"/>
  <c r="L20" i="8"/>
  <c r="L17" i="8" s="1"/>
  <c r="M21" i="8" s="1"/>
  <c r="K20" i="8"/>
  <c r="K17" i="8" s="1"/>
  <c r="J20" i="8"/>
  <c r="J17" i="8" s="1"/>
  <c r="I20" i="8"/>
  <c r="H20" i="8"/>
  <c r="G20" i="8"/>
  <c r="F20" i="8"/>
  <c r="F21" i="8" s="1"/>
  <c r="T17" i="8"/>
  <c r="R17" i="8"/>
  <c r="T21" i="8" s="1"/>
  <c r="P17" i="8"/>
  <c r="O17" i="8"/>
  <c r="N21" i="8" s="1"/>
  <c r="N17" i="8"/>
  <c r="P21" i="8" s="1"/>
  <c r="M17" i="8"/>
  <c r="I17" i="8"/>
  <c r="J21" i="8" s="1"/>
  <c r="H17" i="8"/>
  <c r="I21" i="8" s="1"/>
  <c r="G17" i="8"/>
  <c r="U15" i="8"/>
  <c r="T15" i="8"/>
  <c r="T12" i="8" s="1"/>
  <c r="Q16" i="8" s="1"/>
  <c r="S15" i="8"/>
  <c r="R15" i="8"/>
  <c r="Q15" i="8"/>
  <c r="P15" i="8"/>
  <c r="O15" i="8"/>
  <c r="O16" i="8" s="1"/>
  <c r="N15" i="8"/>
  <c r="N12" i="8" s="1"/>
  <c r="P16" i="8" s="1"/>
  <c r="M15" i="8"/>
  <c r="M12" i="8" s="1"/>
  <c r="L15" i="8"/>
  <c r="K15" i="8"/>
  <c r="J15" i="8"/>
  <c r="I15" i="8"/>
  <c r="I12" i="8" s="1"/>
  <c r="J16" i="8" s="1"/>
  <c r="H15" i="8"/>
  <c r="H12" i="8" s="1"/>
  <c r="G15" i="8"/>
  <c r="F15" i="8"/>
  <c r="F12" i="8" s="1"/>
  <c r="U12" i="8"/>
  <c r="S16" i="8" s="1"/>
  <c r="S12" i="8"/>
  <c r="U16" i="8" s="1"/>
  <c r="R12" i="8"/>
  <c r="T16" i="8" s="1"/>
  <c r="Q12" i="8"/>
  <c r="R16" i="8" s="1"/>
  <c r="P12" i="8"/>
  <c r="L12" i="8"/>
  <c r="M16" i="8" s="1"/>
  <c r="K12" i="8"/>
  <c r="L16" i="8" s="1"/>
  <c r="J12" i="8"/>
  <c r="G12" i="8"/>
  <c r="S11" i="8"/>
  <c r="U10" i="8"/>
  <c r="T10" i="8"/>
  <c r="S10" i="8"/>
  <c r="R10" i="8"/>
  <c r="R7" i="8" s="1"/>
  <c r="Q10" i="8"/>
  <c r="Q7" i="8" s="1"/>
  <c r="R11" i="8" s="1"/>
  <c r="P10" i="8"/>
  <c r="P7" i="8" s="1"/>
  <c r="O10" i="8"/>
  <c r="N10" i="8"/>
  <c r="M10" i="8"/>
  <c r="L10" i="8"/>
  <c r="L7" i="8" s="1"/>
  <c r="M11" i="8" s="1"/>
  <c r="K10" i="8"/>
  <c r="K7" i="8" s="1"/>
  <c r="J10" i="8"/>
  <c r="I10" i="8"/>
  <c r="I7" i="8" s="1"/>
  <c r="J11" i="8" s="1"/>
  <c r="H10" i="8"/>
  <c r="G10" i="8"/>
  <c r="G7" i="8" s="1"/>
  <c r="F10" i="8"/>
  <c r="U7" i="8"/>
  <c r="T7" i="8"/>
  <c r="Q11" i="8" s="1"/>
  <c r="S7" i="8"/>
  <c r="U11" i="8" s="1"/>
  <c r="O7" i="8"/>
  <c r="N11" i="8" s="1"/>
  <c r="N7" i="8"/>
  <c r="P11" i="8" s="1"/>
  <c r="M7" i="8"/>
  <c r="J7" i="8"/>
  <c r="H7" i="8"/>
  <c r="I11" i="8" s="1"/>
  <c r="F7" i="8"/>
  <c r="G25" i="7"/>
  <c r="M24" i="7"/>
  <c r="M21" i="7" s="1"/>
  <c r="M25" i="7" s="1"/>
  <c r="L24" i="7"/>
  <c r="K24" i="7"/>
  <c r="K21" i="7" s="1"/>
  <c r="K25" i="7" s="1"/>
  <c r="J24" i="7"/>
  <c r="J25" i="7" s="1"/>
  <c r="I24" i="7"/>
  <c r="I21" i="7" s="1"/>
  <c r="I25" i="7" s="1"/>
  <c r="H24" i="7"/>
  <c r="H21" i="7" s="1"/>
  <c r="H25" i="7" s="1"/>
  <c r="G24" i="7"/>
  <c r="F24" i="7"/>
  <c r="L21" i="7"/>
  <c r="L25" i="7" s="1"/>
  <c r="J21" i="7"/>
  <c r="G21" i="7"/>
  <c r="F21" i="7"/>
  <c r="N21" i="7" s="1"/>
  <c r="M19" i="7"/>
  <c r="L19" i="7"/>
  <c r="K19" i="7"/>
  <c r="K16" i="7" s="1"/>
  <c r="K20" i="7" s="1"/>
  <c r="J19" i="7"/>
  <c r="I19" i="7"/>
  <c r="I16" i="7" s="1"/>
  <c r="I20" i="7" s="1"/>
  <c r="H19" i="7"/>
  <c r="H16" i="7" s="1"/>
  <c r="G19" i="7"/>
  <c r="J16" i="7" s="1"/>
  <c r="J20" i="7" s="1"/>
  <c r="F19" i="7"/>
  <c r="M16" i="7"/>
  <c r="M20" i="7" s="1"/>
  <c r="L16" i="7"/>
  <c r="L20" i="7" s="1"/>
  <c r="G16" i="7"/>
  <c r="G20" i="7" s="1"/>
  <c r="F16" i="7"/>
  <c r="F20" i="7" s="1"/>
  <c r="M15" i="7"/>
  <c r="M14" i="7"/>
  <c r="L14" i="7"/>
  <c r="K14" i="7"/>
  <c r="K11" i="7" s="1"/>
  <c r="K15" i="7" s="1"/>
  <c r="J14" i="7"/>
  <c r="I14" i="7"/>
  <c r="H14" i="7"/>
  <c r="G14" i="7"/>
  <c r="J11" i="7" s="1"/>
  <c r="J15" i="7" s="1"/>
  <c r="F14" i="7"/>
  <c r="F11" i="7" s="1"/>
  <c r="M11" i="7"/>
  <c r="L11" i="7"/>
  <c r="L15" i="7" s="1"/>
  <c r="I11" i="7"/>
  <c r="I15" i="7" s="1"/>
  <c r="H11" i="7"/>
  <c r="H15" i="7" s="1"/>
  <c r="G11" i="7"/>
  <c r="G15" i="7" s="1"/>
  <c r="H10" i="7"/>
  <c r="F10" i="7"/>
  <c r="M9" i="7"/>
  <c r="L9" i="7"/>
  <c r="L6" i="7" s="1"/>
  <c r="L10" i="7" s="1"/>
  <c r="K9" i="7"/>
  <c r="K6" i="7" s="1"/>
  <c r="K10" i="7" s="1"/>
  <c r="J9" i="7"/>
  <c r="I9" i="7"/>
  <c r="I6" i="7" s="1"/>
  <c r="I10" i="7" s="1"/>
  <c r="H9" i="7"/>
  <c r="G9" i="7"/>
  <c r="F9" i="7"/>
  <c r="M6" i="7"/>
  <c r="M10" i="7" s="1"/>
  <c r="J6" i="7"/>
  <c r="J10" i="7" s="1"/>
  <c r="H6" i="7"/>
  <c r="G6" i="7"/>
  <c r="G10" i="7" s="1"/>
  <c r="F6" i="7"/>
  <c r="S22" i="11" l="1"/>
  <c r="F26" i="11"/>
  <c r="S26" i="11" s="1"/>
  <c r="T26" i="11" s="1"/>
  <c r="S12" i="11"/>
  <c r="F16" i="11"/>
  <c r="S16" i="11" s="1"/>
  <c r="T16" i="11" s="1"/>
  <c r="S7" i="11"/>
  <c r="F11" i="11"/>
  <c r="S11" i="11" s="1"/>
  <c r="T11" i="11" s="1"/>
  <c r="S17" i="11"/>
  <c r="F21" i="11"/>
  <c r="S21" i="11" s="1"/>
  <c r="T21" i="11" s="1"/>
  <c r="U21" i="10"/>
  <c r="U16" i="10"/>
  <c r="U26" i="10"/>
  <c r="U11" i="10"/>
  <c r="U7" i="10"/>
  <c r="U12" i="10"/>
  <c r="U17" i="10"/>
  <c r="U22" i="10"/>
  <c r="V26" i="9"/>
  <c r="G21" i="9"/>
  <c r="V21" i="9" s="1"/>
  <c r="W21" i="9" s="1"/>
  <c r="V17" i="9"/>
  <c r="V16" i="9"/>
  <c r="V11" i="9"/>
  <c r="V7" i="9"/>
  <c r="V12" i="9"/>
  <c r="V22" i="9"/>
  <c r="L11" i="8"/>
  <c r="K11" i="8"/>
  <c r="F26" i="8"/>
  <c r="I26" i="8"/>
  <c r="H26" i="8"/>
  <c r="V7" i="8"/>
  <c r="T26" i="8"/>
  <c r="O26" i="8"/>
  <c r="G16" i="8"/>
  <c r="V12" i="8"/>
  <c r="L21" i="8"/>
  <c r="K21" i="8"/>
  <c r="O11" i="8"/>
  <c r="T11" i="8"/>
  <c r="I16" i="8"/>
  <c r="H16" i="8"/>
  <c r="F16" i="8"/>
  <c r="O12" i="8"/>
  <c r="N16" i="8" s="1"/>
  <c r="K26" i="8"/>
  <c r="F11" i="8"/>
  <c r="G11" i="8"/>
  <c r="H11" i="8"/>
  <c r="F17" i="8"/>
  <c r="S22" i="8"/>
  <c r="U26" i="8" s="1"/>
  <c r="K16" i="8"/>
  <c r="H21" i="8"/>
  <c r="V22" i="8"/>
  <c r="N10" i="7"/>
  <c r="N6" i="7"/>
  <c r="H20" i="7"/>
  <c r="N20" i="7" s="1"/>
  <c r="O20" i="7" s="1"/>
  <c r="N16" i="7"/>
  <c r="N11" i="7"/>
  <c r="F15" i="7"/>
  <c r="N15" i="7" s="1"/>
  <c r="O15" i="7" s="1"/>
  <c r="F25" i="7"/>
  <c r="N25" i="7" s="1"/>
  <c r="O25" i="7" s="1"/>
  <c r="V16" i="10" l="1"/>
  <c r="V11" i="10"/>
  <c r="V26" i="10"/>
  <c r="V21" i="10"/>
  <c r="W16" i="9"/>
  <c r="W11" i="9"/>
  <c r="W26" i="9"/>
  <c r="G21" i="8"/>
  <c r="V21" i="8" s="1"/>
  <c r="W21" i="8" s="1"/>
  <c r="V17" i="8"/>
  <c r="V11" i="8"/>
  <c r="W11" i="8" s="1"/>
  <c r="V16" i="8"/>
  <c r="W16" i="8" s="1"/>
  <c r="V26" i="8"/>
  <c r="W26" i="8" s="1"/>
  <c r="O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8AAFDF4D-738D-47C7-BB67-DFBA0AD48112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55583601-AEC8-4BB3-8EAA-64913327015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2F721271-33EC-4737-A6A3-CB7F8BC92F7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ACF33FFD-4BE1-45F0-A73D-3C01949021DF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<sst xmlns="http://schemas.openxmlformats.org/spreadsheetml/2006/main" count="229" uniqueCount="67">
  <si>
    <t>رقم تسلسل</t>
  </si>
  <si>
    <t>رقم القيد</t>
  </si>
  <si>
    <t>التقييم</t>
  </si>
  <si>
    <t>أعمال السنة</t>
  </si>
  <si>
    <t>الأمتحان النهائي</t>
  </si>
  <si>
    <t>المجموع</t>
  </si>
  <si>
    <t>عدد الوحدات</t>
  </si>
  <si>
    <t>التقييم النهائي</t>
  </si>
  <si>
    <t>اســــــم الطالـــــب</t>
  </si>
  <si>
    <t>معدل الفصل</t>
  </si>
  <si>
    <t>صحة وسلامة مهنية</t>
  </si>
  <si>
    <t>مواد مطالب بها من الفصل الاول</t>
  </si>
  <si>
    <t>رياضة1</t>
  </si>
  <si>
    <t>رياضة 2</t>
  </si>
  <si>
    <t>مواد مطالب بها من الفصل الرابع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</si>
  <si>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</si>
  <si>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</si>
  <si>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</si>
  <si>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</si>
  <si>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>مـــــواد الفصــــــــــــــل الثااـــث</t>
  </si>
  <si>
    <t>مواد مطالب بها من الفصل الثاني</t>
  </si>
  <si>
    <t>مواد مطالب بها من الفصل الثالــث</t>
  </si>
  <si>
    <t>مـــــواد الفصــــــــــــــل الرابـــع</t>
  </si>
  <si>
    <t>مـــــواد الفصــــــــــــــل الخامس</t>
  </si>
  <si>
    <t>لغـــة عربية</t>
  </si>
  <si>
    <t>لغة انجليزية 1</t>
  </si>
  <si>
    <t>رسم هندسي 1</t>
  </si>
  <si>
    <t>أسس هندسة كهربائية</t>
  </si>
  <si>
    <t>مبادئ حاسوب</t>
  </si>
  <si>
    <t>الفيزياء</t>
  </si>
  <si>
    <t>اللغة انجليزية التخصصية 2</t>
  </si>
  <si>
    <t xml:space="preserve">الدوائرالكهربائية </t>
  </si>
  <si>
    <t>انتقال حرارة</t>
  </si>
  <si>
    <t>مصادر الطاقة</t>
  </si>
  <si>
    <t>الطاقة الشمسية 1</t>
  </si>
  <si>
    <t>الالكترونات الكهروضوئية</t>
  </si>
  <si>
    <t>خواص مواد</t>
  </si>
  <si>
    <t>الطاقة الشمسية 2</t>
  </si>
  <si>
    <t>نظم هندسة كهربية وقوي</t>
  </si>
  <si>
    <t>اللغة الإنجليزية</t>
  </si>
  <si>
    <t>الكترونات القدرة</t>
  </si>
  <si>
    <t>أجهزة نظم والقياس</t>
  </si>
  <si>
    <t>ديناميكا حراري</t>
  </si>
  <si>
    <t>تطبيقات الحاسوب(ماتلاب)</t>
  </si>
  <si>
    <t>الطاقة الشمسية 3</t>
  </si>
  <si>
    <t>طاقة الكتلة العضوية</t>
  </si>
  <si>
    <t>أنظمة التحكم</t>
  </si>
  <si>
    <t>شبكة التوزيع الكهربائية</t>
  </si>
  <si>
    <t>طاقة الرياح 1</t>
  </si>
  <si>
    <t>طاقة الرياح 2</t>
  </si>
  <si>
    <t>ميكانيكا موائع</t>
  </si>
  <si>
    <t>الطاقة الكهرومائية والهيدروجين</t>
  </si>
  <si>
    <t>أنظمة الطاقة الحرارية</t>
  </si>
  <si>
    <t>استراتيجيات الطاقة المتجددة</t>
  </si>
  <si>
    <t>أنظمة نقل و تحزين الطاقة</t>
  </si>
  <si>
    <t>تصنيع الخلايا الكهروضوئية</t>
  </si>
  <si>
    <t>كتابة تقارير</t>
  </si>
  <si>
    <t>هندسة البيئية</t>
  </si>
  <si>
    <t>سالمة أحمد السنوسي</t>
  </si>
  <si>
    <t>مؤيد أحمد عتيق</t>
  </si>
  <si>
    <t>راســب</t>
  </si>
  <si>
    <t>ضعيــف</t>
  </si>
  <si>
    <t>ابوبكر احمد محمد الزوي</t>
  </si>
  <si>
    <t>RE242003</t>
  </si>
  <si>
    <t>RE222001</t>
  </si>
  <si>
    <t>RE211008</t>
  </si>
  <si>
    <t>اعمال الفصل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</si>
</sst>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i/>
      <sz val="2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6" fillId="0" borderId="4" xfId="0" applyFont="1" applyBorder="1"/>
    <xf numFmtId="0" fontId="6" fillId="2" borderId="5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wrapText="1"/>
    </xf>
    <xf numFmtId="0" fontId="4" fillId="4" borderId="8" xfId="0" applyFont="1" applyFill="1" applyBorder="1" applyAlignment="1">
      <alignment horizontal="center"/>
    </xf>
    <xf numFmtId="0" fontId="6" fillId="5" borderId="9" xfId="0" applyFont="1" applyFill="1" applyBorder="1"/>
    <xf numFmtId="0" fontId="7" fillId="3" borderId="6" xfId="0" applyFont="1" applyFill="1" applyBorder="1" applyAlignment="1">
      <alignment horizontal="center" vertical="center" textRotation="90"/>
    </xf>
    <xf numFmtId="0" fontId="7" fillId="3" borderId="10" xfId="0" applyFont="1" applyFill="1" applyBorder="1" applyAlignment="1">
      <alignment horizontal="center" vertical="center" textRotation="90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 textRotation="90"/>
    </xf>
    <xf numFmtId="0" fontId="8" fillId="0" borderId="4" xfId="0" applyFont="1" applyBorder="1"/>
    <xf numFmtId="0" fontId="8" fillId="0" borderId="1" xfId="0" applyFont="1" applyBorder="1"/>
    <xf numFmtId="0" fontId="8" fillId="0" borderId="9" xfId="0" applyFont="1" applyBorder="1"/>
    <xf numFmtId="0" fontId="8" fillId="0" borderId="13" xfId="0" applyFont="1" applyBorder="1" applyAlignment="1">
      <alignment wrapText="1"/>
    </xf>
    <xf numFmtId="0" fontId="8" fillId="0" borderId="2" xfId="0" applyFont="1" applyBorder="1"/>
    <xf numFmtId="0" fontId="8" fillId="0" borderId="7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textRotation="90"/>
    </xf>
    <xf numFmtId="0" fontId="4" fillId="3" borderId="20" xfId="0" applyFont="1" applyFill="1" applyBorder="1" applyAlignment="1">
      <alignment horizontal="center" textRotation="90"/>
    </xf>
    <xf numFmtId="0" fontId="4" fillId="4" borderId="21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textRotation="90"/>
    </xf>
    <xf numFmtId="0" fontId="4" fillId="3" borderId="19" xfId="0" applyFont="1" applyFill="1" applyBorder="1" applyAlignment="1">
      <alignment horizontal="center" vertical="center" textRotation="90"/>
    </xf>
    <xf numFmtId="0" fontId="4" fillId="3" borderId="12" xfId="0" applyFont="1" applyFill="1" applyBorder="1" applyAlignment="1">
      <alignment horizontal="center" vertical="center" textRotation="90"/>
    </xf>
    <xf numFmtId="0" fontId="7" fillId="3" borderId="23" xfId="0" applyFont="1" applyFill="1" applyBorder="1" applyAlignment="1">
      <alignment horizontal="center" vertical="center" textRotation="90"/>
    </xf>
    <xf numFmtId="0" fontId="4" fillId="3" borderId="1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27" xfId="0" applyFont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 textRotation="90"/>
    </xf>
    <xf numFmtId="0" fontId="6" fillId="2" borderId="13" xfId="0" applyFont="1" applyFill="1" applyBorder="1" applyAlignment="1">
      <alignment wrapText="1"/>
    </xf>
    <xf numFmtId="0" fontId="6" fillId="2" borderId="18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90"/>
    </xf>
    <xf numFmtId="0" fontId="4" fillId="0" borderId="33" xfId="0" applyFont="1" applyBorder="1" applyAlignment="1">
      <alignment horizontal="center" vertical="center" textRotation="90"/>
    </xf>
    <xf numFmtId="0" fontId="4" fillId="0" borderId="34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textRotation="90"/>
    </xf>
    <xf numFmtId="0" fontId="9" fillId="0" borderId="6" xfId="0" applyFont="1" applyBorder="1" applyAlignment="1">
      <alignment textRotation="90"/>
    </xf>
    <xf numFmtId="0" fontId="4" fillId="0" borderId="7" xfId="0" applyFont="1" applyBorder="1" applyAlignment="1">
      <alignment horizontal="center"/>
    </xf>
    <xf numFmtId="0" fontId="7" fillId="3" borderId="6" xfId="0" applyFont="1" applyFill="1" applyBorder="1" applyAlignment="1">
      <alignment horizontal="center" vertical="center" textRotation="90"/>
    </xf>
    <xf numFmtId="0" fontId="9" fillId="0" borderId="6" xfId="0" applyFont="1" applyBorder="1"/>
    <xf numFmtId="0" fontId="7" fillId="3" borderId="20" xfId="0" applyFont="1" applyFill="1" applyBorder="1" applyAlignment="1">
      <alignment horizontal="center" vertical="center" textRotation="90"/>
    </xf>
    <xf numFmtId="0" fontId="7" fillId="3" borderId="30" xfId="0" applyFont="1" applyFill="1" applyBorder="1" applyAlignment="1">
      <alignment horizontal="center" vertical="center" textRotation="90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B2F2-C8D7-41DE-985F-F4B3AEE1CD86}">
  <dimension ref="B4:R26"/>
  <sheetViews>
    <sheetView rightToLeft="1" workbookViewId="0">
      <selection activeCell="D37" sqref="D37"/>
    </sheetView>
  </sheetViews>
  <sheetFormatPr defaultRowHeight="12.75" x14ac:dyDescent="0.2"/>
  <cols>
    <col min="3" max="3" width="25.7109375" customWidth="1"/>
    <col min="5" max="5" width="26.7109375" customWidth="1"/>
    <col min="18" max="18" width="24.7109375" customWidth="1"/>
  </cols>
  <sheetData>
    <row r="4" spans="2:18" ht="13.5" thickBot="1" x14ac:dyDescent="0.25"/>
    <row r="5" spans="2:18" ht="108" thickTop="1" thickBot="1" x14ac:dyDescent="0.25">
      <c r="B5" s="35" t="s">
        <v>0</v>
      </c>
      <c r="C5" s="42" t="s">
        <v>8</v>
      </c>
      <c r="D5" s="41" t="s">
        <v>1</v>
      </c>
      <c r="E5" s="42" t="s">
        <v>2</v>
      </c>
      <c r="F5" s="39" t="s">
        <v>25</v>
      </c>
      <c r="G5" s="39" t="s">
        <v>12</v>
      </c>
      <c r="H5" s="39" t="s">
        <v>10</v>
      </c>
      <c r="I5" s="39" t="s">
        <v>28</v>
      </c>
      <c r="J5" s="39" t="s">
        <v>29</v>
      </c>
      <c r="K5" s="39" t="s">
        <v>27</v>
      </c>
      <c r="L5" s="39" t="s">
        <v>24</v>
      </c>
      <c r="M5" s="39" t="s">
        <v>26</v>
      </c>
      <c r="N5" s="39" t="s">
        <v>5</v>
      </c>
      <c r="O5" s="40" t="s">
        <v>9</v>
      </c>
      <c r="P5" s="38" t="s">
        <v>16</v>
      </c>
      <c r="Q5" s="34" t="s">
        <v>17</v>
      </c>
      <c r="R5" s="60" t="s">
        <v>18</v>
      </c>
    </row>
    <row r="6" spans="2:18" ht="20.25" thickTop="1" thickBot="1" x14ac:dyDescent="0.35">
      <c r="B6" s="75">
        <v>-1</v>
      </c>
      <c r="C6" s="67"/>
      <c r="D6" s="74"/>
      <c r="E6" s="36" t="s">
        <v>6</v>
      </c>
      <c r="F6" s="37">
        <f>IF(IF(F9=0,0,2),2,0)</f>
        <v>0</v>
      </c>
      <c r="G6" s="37">
        <f>IF(IF(G9=0,0,4),4,0)</f>
        <v>0</v>
      </c>
      <c r="H6" s="37">
        <f>IF(IF(H9=0,0,2),2,0)</f>
        <v>0</v>
      </c>
      <c r="I6" s="37">
        <f>IF(IF(I9=0,0,3),3,0)</f>
        <v>0</v>
      </c>
      <c r="J6" s="37">
        <f>IF(IF(G9=0,0,3),3,0)</f>
        <v>0</v>
      </c>
      <c r="K6" s="37">
        <f>IF(IF(K9=0,0,3),3,0)</f>
        <v>0</v>
      </c>
      <c r="L6" s="37">
        <f>IF(IF(L9=0,0,2),2,0)</f>
        <v>0</v>
      </c>
      <c r="M6" s="37">
        <f>IF(IF(M9=0,0,3),3,0)</f>
        <v>0</v>
      </c>
      <c r="N6" s="37">
        <f>SUM(F6:M6)</f>
        <v>0</v>
      </c>
      <c r="O6" s="54"/>
      <c r="P6" s="71"/>
      <c r="Q6" s="71"/>
      <c r="R6" s="64"/>
    </row>
    <row r="7" spans="2:18" ht="19.5" thickTop="1" thickBot="1" x14ac:dyDescent="0.3">
      <c r="B7" s="76"/>
      <c r="C7" s="68"/>
      <c r="D7" s="72"/>
      <c r="E7" s="3" t="s">
        <v>3</v>
      </c>
      <c r="F7" s="43"/>
      <c r="G7" s="43"/>
      <c r="H7" s="43"/>
      <c r="I7" s="44"/>
      <c r="J7" s="44"/>
      <c r="K7" s="44"/>
      <c r="L7" s="43"/>
      <c r="M7" s="44"/>
      <c r="N7" s="46"/>
      <c r="O7" s="50"/>
      <c r="P7" s="72"/>
      <c r="Q7" s="72"/>
      <c r="R7" s="65"/>
    </row>
    <row r="8" spans="2:18" ht="19.5" thickTop="1" thickBot="1" x14ac:dyDescent="0.3">
      <c r="B8" s="76"/>
      <c r="C8" s="68"/>
      <c r="D8" s="72"/>
      <c r="E8" s="1" t="s">
        <v>4</v>
      </c>
      <c r="F8" s="45"/>
      <c r="G8" s="45"/>
      <c r="H8" s="45"/>
      <c r="I8" s="45"/>
      <c r="J8" s="45"/>
      <c r="K8" s="45"/>
      <c r="L8" s="45"/>
      <c r="M8" s="45"/>
      <c r="N8" s="46"/>
      <c r="O8" s="50"/>
      <c r="P8" s="72"/>
      <c r="Q8" s="72"/>
      <c r="R8" s="65"/>
    </row>
    <row r="9" spans="2:18" ht="19.5" thickTop="1" thickBot="1" x14ac:dyDescent="0.3">
      <c r="B9" s="76"/>
      <c r="C9" s="68"/>
      <c r="D9" s="72"/>
      <c r="E9" s="9" t="s">
        <v>5</v>
      </c>
      <c r="F9" s="47">
        <f t="shared" ref="F9:M9" si="0">IF(F8&lt;30,F7,F7+F8)</f>
        <v>0</v>
      </c>
      <c r="G9" s="47">
        <f t="shared" si="0"/>
        <v>0</v>
      </c>
      <c r="H9" s="47">
        <f t="shared" si="0"/>
        <v>0</v>
      </c>
      <c r="I9" s="47">
        <f t="shared" si="0"/>
        <v>0</v>
      </c>
      <c r="J9" s="47">
        <f t="shared" si="0"/>
        <v>0</v>
      </c>
      <c r="K9" s="47">
        <f t="shared" si="0"/>
        <v>0</v>
      </c>
      <c r="L9" s="47">
        <f>IF(L8&lt;30,L7,L7+L8)</f>
        <v>0</v>
      </c>
      <c r="M9" s="47">
        <f t="shared" si="0"/>
        <v>0</v>
      </c>
      <c r="N9" s="48"/>
      <c r="O9" s="51"/>
      <c r="P9" s="72"/>
      <c r="Q9" s="72"/>
      <c r="R9" s="65"/>
    </row>
    <row r="10" spans="2:18" ht="22.5" customHeight="1" thickTop="1" thickBot="1" x14ac:dyDescent="0.3">
      <c r="B10" s="77"/>
      <c r="C10" s="69"/>
      <c r="D10" s="73"/>
      <c r="E10" s="7" t="s">
        <v>7</v>
      </c>
      <c r="F10" s="49">
        <f t="shared" ref="F10:M10" si="1">SUM(F6*F9)</f>
        <v>0</v>
      </c>
      <c r="G10" s="49">
        <f t="shared" si="1"/>
        <v>0</v>
      </c>
      <c r="H10" s="49">
        <f t="shared" si="1"/>
        <v>0</v>
      </c>
      <c r="I10" s="49">
        <f t="shared" si="1"/>
        <v>0</v>
      </c>
      <c r="J10" s="49">
        <f t="shared" si="1"/>
        <v>0</v>
      </c>
      <c r="K10" s="49">
        <f t="shared" si="1"/>
        <v>0</v>
      </c>
      <c r="L10" s="49">
        <f t="shared" si="1"/>
        <v>0</v>
      </c>
      <c r="M10" s="49">
        <f t="shared" si="1"/>
        <v>0</v>
      </c>
      <c r="N10" s="52">
        <f>SUM(F10:M10)</f>
        <v>0</v>
      </c>
      <c r="O10" s="55" t="e">
        <f>SUM(N10/N6)</f>
        <v>#DIV/0!</v>
      </c>
      <c r="P10" s="73"/>
      <c r="Q10" s="73"/>
      <c r="R10" s="66"/>
    </row>
    <row r="11" spans="2:18" ht="20.25" thickTop="1" thickBot="1" x14ac:dyDescent="0.35">
      <c r="B11" s="75">
        <v>-2</v>
      </c>
      <c r="C11" s="67"/>
      <c r="D11" s="74"/>
      <c r="E11" s="8" t="s">
        <v>6</v>
      </c>
      <c r="F11" s="37">
        <f>IF(IF(F14=0,0,2),2,0)</f>
        <v>0</v>
      </c>
      <c r="G11" s="37">
        <f>IF(IF(G14=0,0,4),4,0)</f>
        <v>0</v>
      </c>
      <c r="H11" s="37">
        <f>IF(IF(H14=0,0,2),2,0)</f>
        <v>0</v>
      </c>
      <c r="I11" s="37">
        <f>IF(IF(I14=0,0,3),3,0)</f>
        <v>0</v>
      </c>
      <c r="J11" s="37">
        <f>IF(IF(G14=0,0,3),3,0)</f>
        <v>0</v>
      </c>
      <c r="K11" s="37">
        <f>IF(IF(K14=0,0,3),3,0)</f>
        <v>0</v>
      </c>
      <c r="L11" s="37">
        <f>IF(IF(L14=0,0,2),2,0)</f>
        <v>0</v>
      </c>
      <c r="M11" s="37">
        <f>IF(IF(M14=0,0,3),3,0)</f>
        <v>0</v>
      </c>
      <c r="N11" s="37">
        <f>SUM(F11:M11)</f>
        <v>0</v>
      </c>
      <c r="O11" s="54"/>
      <c r="P11" s="71"/>
      <c r="Q11" s="71"/>
      <c r="R11" s="64"/>
    </row>
    <row r="12" spans="2:18" ht="19.5" thickTop="1" thickBot="1" x14ac:dyDescent="0.3">
      <c r="B12" s="76"/>
      <c r="C12" s="68"/>
      <c r="D12" s="72"/>
      <c r="E12" s="2" t="s">
        <v>3</v>
      </c>
      <c r="F12" s="43"/>
      <c r="G12" s="43"/>
      <c r="H12" s="43"/>
      <c r="I12" s="44"/>
      <c r="J12" s="44"/>
      <c r="K12" s="44"/>
      <c r="L12" s="43"/>
      <c r="M12" s="44"/>
      <c r="N12" s="46"/>
      <c r="O12" s="50"/>
      <c r="P12" s="72"/>
      <c r="Q12" s="72"/>
      <c r="R12" s="65"/>
    </row>
    <row r="13" spans="2:18" ht="19.5" thickTop="1" thickBot="1" x14ac:dyDescent="0.3">
      <c r="B13" s="76"/>
      <c r="C13" s="68"/>
      <c r="D13" s="72"/>
      <c r="E13" s="1" t="s">
        <v>4</v>
      </c>
      <c r="F13" s="45"/>
      <c r="G13" s="45"/>
      <c r="H13" s="45"/>
      <c r="I13" s="45"/>
      <c r="J13" s="45"/>
      <c r="K13" s="45"/>
      <c r="L13" s="45"/>
      <c r="M13" s="45"/>
      <c r="N13" s="46"/>
      <c r="O13" s="50"/>
      <c r="P13" s="72"/>
      <c r="Q13" s="72"/>
      <c r="R13" s="65"/>
    </row>
    <row r="14" spans="2:18" ht="19.5" thickTop="1" thickBot="1" x14ac:dyDescent="0.3">
      <c r="B14" s="76"/>
      <c r="C14" s="68"/>
      <c r="D14" s="72"/>
      <c r="E14" s="9" t="s">
        <v>5</v>
      </c>
      <c r="F14" s="47">
        <f t="shared" ref="F14:K14" si="2">IF(F13&lt;30,F12,F12+F13)</f>
        <v>0</v>
      </c>
      <c r="G14" s="47">
        <f t="shared" si="2"/>
        <v>0</v>
      </c>
      <c r="H14" s="47">
        <f t="shared" si="2"/>
        <v>0</v>
      </c>
      <c r="I14" s="47">
        <f t="shared" si="2"/>
        <v>0</v>
      </c>
      <c r="J14" s="47">
        <f t="shared" si="2"/>
        <v>0</v>
      </c>
      <c r="K14" s="47">
        <f t="shared" si="2"/>
        <v>0</v>
      </c>
      <c r="L14" s="47">
        <f>IF(L13&lt;30,L12,L12+L13)</f>
        <v>0</v>
      </c>
      <c r="M14" s="47">
        <f>IF(M13&lt;30,M12,M12+M13)</f>
        <v>0</v>
      </c>
      <c r="N14" s="48"/>
      <c r="O14" s="51"/>
      <c r="P14" s="72"/>
      <c r="Q14" s="72"/>
      <c r="R14" s="65"/>
    </row>
    <row r="15" spans="2:18" ht="21.75" customHeight="1" thickTop="1" thickBot="1" x14ac:dyDescent="0.3">
      <c r="B15" s="77"/>
      <c r="C15" s="69"/>
      <c r="D15" s="73"/>
      <c r="E15" s="7" t="s">
        <v>7</v>
      </c>
      <c r="F15" s="49">
        <f t="shared" ref="F15:M15" si="3">SUM(F11*F14)</f>
        <v>0</v>
      </c>
      <c r="G15" s="49">
        <f t="shared" si="3"/>
        <v>0</v>
      </c>
      <c r="H15" s="49">
        <f t="shared" si="3"/>
        <v>0</v>
      </c>
      <c r="I15" s="49">
        <f t="shared" si="3"/>
        <v>0</v>
      </c>
      <c r="J15" s="49">
        <f t="shared" si="3"/>
        <v>0</v>
      </c>
      <c r="K15" s="49">
        <f t="shared" si="3"/>
        <v>0</v>
      </c>
      <c r="L15" s="49">
        <f t="shared" si="3"/>
        <v>0</v>
      </c>
      <c r="M15" s="49">
        <f t="shared" si="3"/>
        <v>0</v>
      </c>
      <c r="N15" s="52">
        <f>SUM(F15:M15)</f>
        <v>0</v>
      </c>
      <c r="O15" s="55" t="e">
        <f>SUM(N15/N11)</f>
        <v>#DIV/0!</v>
      </c>
      <c r="P15" s="73"/>
      <c r="Q15" s="73"/>
      <c r="R15" s="66"/>
    </row>
    <row r="16" spans="2:18" ht="20.25" thickTop="1" thickBot="1" x14ac:dyDescent="0.35">
      <c r="B16" s="75">
        <v>-3</v>
      </c>
      <c r="C16" s="67"/>
      <c r="D16" s="74"/>
      <c r="E16" s="8" t="s">
        <v>6</v>
      </c>
      <c r="F16" s="37">
        <f>IF(IF(F19=0,0,2),2,0)</f>
        <v>0</v>
      </c>
      <c r="G16" s="37">
        <f>IF(IF(G19=0,0,4),4,0)</f>
        <v>0</v>
      </c>
      <c r="H16" s="37">
        <f>IF(IF(H19=0,0,2),2,0)</f>
        <v>0</v>
      </c>
      <c r="I16" s="37">
        <f>IF(IF(I19=0,0,3),3,0)</f>
        <v>0</v>
      </c>
      <c r="J16" s="37">
        <f>IF(IF(G19=0,0,3),3,0)</f>
        <v>0</v>
      </c>
      <c r="K16" s="37">
        <f>IF(IF(K19=0,0,3),3,0)</f>
        <v>0</v>
      </c>
      <c r="L16" s="37">
        <f>IF(IF(L19=0,0,2),2,0)</f>
        <v>0</v>
      </c>
      <c r="M16" s="37">
        <f>IF(IF(M19=0,0,3),3,0)</f>
        <v>0</v>
      </c>
      <c r="N16" s="37">
        <f>SUM(F16:M16)</f>
        <v>0</v>
      </c>
      <c r="O16" s="54"/>
      <c r="P16" s="71"/>
      <c r="Q16" s="71"/>
      <c r="R16" s="64"/>
    </row>
    <row r="17" spans="2:18" ht="19.5" thickTop="1" thickBot="1" x14ac:dyDescent="0.3">
      <c r="B17" s="76"/>
      <c r="C17" s="68"/>
      <c r="D17" s="72"/>
      <c r="E17" s="2" t="s">
        <v>3</v>
      </c>
      <c r="F17" s="43"/>
      <c r="G17" s="43"/>
      <c r="H17" s="43"/>
      <c r="I17" s="44"/>
      <c r="J17" s="44"/>
      <c r="K17" s="44"/>
      <c r="L17" s="43"/>
      <c r="M17" s="44"/>
      <c r="N17" s="46"/>
      <c r="O17" s="50"/>
      <c r="P17" s="72"/>
      <c r="Q17" s="72"/>
      <c r="R17" s="65"/>
    </row>
    <row r="18" spans="2:18" ht="19.5" thickTop="1" thickBot="1" x14ac:dyDescent="0.3">
      <c r="B18" s="76"/>
      <c r="C18" s="68"/>
      <c r="D18" s="72"/>
      <c r="E18" s="1" t="s">
        <v>4</v>
      </c>
      <c r="F18" s="45"/>
      <c r="G18" s="45"/>
      <c r="H18" s="45"/>
      <c r="I18" s="45"/>
      <c r="J18" s="45"/>
      <c r="K18" s="45"/>
      <c r="L18" s="45"/>
      <c r="M18" s="45"/>
      <c r="N18" s="46"/>
      <c r="O18" s="50"/>
      <c r="P18" s="72"/>
      <c r="Q18" s="72"/>
      <c r="R18" s="65"/>
    </row>
    <row r="19" spans="2:18" ht="19.5" thickTop="1" thickBot="1" x14ac:dyDescent="0.3">
      <c r="B19" s="76"/>
      <c r="C19" s="68"/>
      <c r="D19" s="72"/>
      <c r="E19" s="9" t="s">
        <v>5</v>
      </c>
      <c r="F19" s="47">
        <f t="shared" ref="F19:K19" si="4">IF(F18&lt;30,F17,F17+F18)</f>
        <v>0</v>
      </c>
      <c r="G19" s="47">
        <f t="shared" si="4"/>
        <v>0</v>
      </c>
      <c r="H19" s="47">
        <f t="shared" si="4"/>
        <v>0</v>
      </c>
      <c r="I19" s="47">
        <f t="shared" si="4"/>
        <v>0</v>
      </c>
      <c r="J19" s="47">
        <f t="shared" si="4"/>
        <v>0</v>
      </c>
      <c r="K19" s="47">
        <f t="shared" si="4"/>
        <v>0</v>
      </c>
      <c r="L19" s="47">
        <f>IF(L18&lt;30,L17,L17+L18)</f>
        <v>0</v>
      </c>
      <c r="M19" s="47">
        <f>IF(M18&lt;30,M17,M17+M18)</f>
        <v>0</v>
      </c>
      <c r="N19" s="48"/>
      <c r="O19" s="51"/>
      <c r="P19" s="72"/>
      <c r="Q19" s="72"/>
      <c r="R19" s="65"/>
    </row>
    <row r="20" spans="2:18" ht="25.5" customHeight="1" thickTop="1" thickBot="1" x14ac:dyDescent="0.3">
      <c r="B20" s="77"/>
      <c r="C20" s="69"/>
      <c r="D20" s="73"/>
      <c r="E20" s="4" t="s">
        <v>7</v>
      </c>
      <c r="F20" s="49">
        <f t="shared" ref="F20:M20" si="5">SUM(F16*F19)</f>
        <v>0</v>
      </c>
      <c r="G20" s="49">
        <f t="shared" si="5"/>
        <v>0</v>
      </c>
      <c r="H20" s="49">
        <f t="shared" si="5"/>
        <v>0</v>
      </c>
      <c r="I20" s="49">
        <f t="shared" si="5"/>
        <v>0</v>
      </c>
      <c r="J20" s="49">
        <f t="shared" si="5"/>
        <v>0</v>
      </c>
      <c r="K20" s="49">
        <f t="shared" si="5"/>
        <v>0</v>
      </c>
      <c r="L20" s="49">
        <f t="shared" si="5"/>
        <v>0</v>
      </c>
      <c r="M20" s="49">
        <f t="shared" si="5"/>
        <v>0</v>
      </c>
      <c r="N20" s="52">
        <f>SUM(F20:M20)</f>
        <v>0</v>
      </c>
      <c r="O20" s="55" t="e">
        <f>SUM(N20/N16)</f>
        <v>#DIV/0!</v>
      </c>
      <c r="P20" s="73"/>
      <c r="Q20" s="73"/>
      <c r="R20" s="66"/>
    </row>
    <row r="21" spans="2:18" ht="20.25" thickTop="1" thickBot="1" x14ac:dyDescent="0.35">
      <c r="B21" s="75">
        <v>-4</v>
      </c>
      <c r="C21" s="67"/>
      <c r="D21" s="74"/>
      <c r="E21" s="6" t="s">
        <v>6</v>
      </c>
      <c r="F21" s="37">
        <f>IF(IF(F24=0,0,2),2,0)</f>
        <v>0</v>
      </c>
      <c r="G21" s="37">
        <f>IF(IF(G24=0,0,4),4,0)</f>
        <v>0</v>
      </c>
      <c r="H21" s="37">
        <f>IF(IF(H24=0,0,2),2,0)</f>
        <v>0</v>
      </c>
      <c r="I21" s="37">
        <f>IF(IF(I24=0,0,3),3,0)</f>
        <v>0</v>
      </c>
      <c r="J21" s="37">
        <f>IF(IF(G24=0,0,3),3,0)</f>
        <v>0</v>
      </c>
      <c r="K21" s="37">
        <f>IF(IF(K24=0,0,3),3,0)</f>
        <v>0</v>
      </c>
      <c r="L21" s="37">
        <f>IF(IF(L24=0,0,2),2,0)</f>
        <v>0</v>
      </c>
      <c r="M21" s="37">
        <f>IF(IF(M24=0,0,3),3,0)</f>
        <v>0</v>
      </c>
      <c r="N21" s="37">
        <f>SUM(F21:M21)</f>
        <v>0</v>
      </c>
      <c r="O21" s="54"/>
      <c r="P21" s="71"/>
      <c r="Q21" s="71"/>
      <c r="R21" s="64"/>
    </row>
    <row r="22" spans="2:18" ht="19.5" thickTop="1" thickBot="1" x14ac:dyDescent="0.3">
      <c r="B22" s="76"/>
      <c r="C22" s="68"/>
      <c r="D22" s="72"/>
      <c r="E22" s="2" t="s">
        <v>3</v>
      </c>
      <c r="F22" s="43">
        <v>0</v>
      </c>
      <c r="G22" s="43">
        <v>0</v>
      </c>
      <c r="H22" s="43">
        <v>0</v>
      </c>
      <c r="I22" s="44">
        <v>0</v>
      </c>
      <c r="J22" s="44">
        <v>0</v>
      </c>
      <c r="K22" s="44">
        <v>0</v>
      </c>
      <c r="L22" s="43">
        <v>0</v>
      </c>
      <c r="M22" s="44">
        <v>0</v>
      </c>
      <c r="N22" s="46"/>
      <c r="O22" s="50"/>
      <c r="P22" s="72"/>
      <c r="Q22" s="72"/>
      <c r="R22" s="65"/>
    </row>
    <row r="23" spans="2:18" ht="19.5" thickTop="1" thickBot="1" x14ac:dyDescent="0.3">
      <c r="B23" s="76"/>
      <c r="C23" s="68"/>
      <c r="D23" s="72"/>
      <c r="E23" s="1" t="s">
        <v>4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6"/>
      <c r="O23" s="50"/>
      <c r="P23" s="72"/>
      <c r="Q23" s="72"/>
      <c r="R23" s="65"/>
    </row>
    <row r="24" spans="2:18" ht="19.5" thickTop="1" thickBot="1" x14ac:dyDescent="0.3">
      <c r="B24" s="76"/>
      <c r="C24" s="68"/>
      <c r="D24" s="72"/>
      <c r="E24" s="9" t="s">
        <v>5</v>
      </c>
      <c r="F24" s="47">
        <f t="shared" ref="F24:K24" si="6">IF(F23&lt;30,F22,F22+F23)</f>
        <v>0</v>
      </c>
      <c r="G24" s="47">
        <f t="shared" si="6"/>
        <v>0</v>
      </c>
      <c r="H24" s="47">
        <f t="shared" si="6"/>
        <v>0</v>
      </c>
      <c r="I24" s="47">
        <f t="shared" si="6"/>
        <v>0</v>
      </c>
      <c r="J24" s="47">
        <f t="shared" si="6"/>
        <v>0</v>
      </c>
      <c r="K24" s="47">
        <f t="shared" si="6"/>
        <v>0</v>
      </c>
      <c r="L24" s="47">
        <f>IF(L23&lt;30,L22,L22+L23)</f>
        <v>0</v>
      </c>
      <c r="M24" s="47">
        <f>IF(M23&lt;30,M22,M22+M23)</f>
        <v>0</v>
      </c>
      <c r="N24" s="48"/>
      <c r="O24" s="51"/>
      <c r="P24" s="72"/>
      <c r="Q24" s="72"/>
      <c r="R24" s="65"/>
    </row>
    <row r="25" spans="2:18" ht="28.5" customHeight="1" thickTop="1" thickBot="1" x14ac:dyDescent="0.3">
      <c r="B25" s="78"/>
      <c r="C25" s="70"/>
      <c r="D25" s="73"/>
      <c r="E25" s="61" t="s">
        <v>7</v>
      </c>
      <c r="F25" s="53">
        <f t="shared" ref="F25:M25" si="7">SUM(F21*F24)</f>
        <v>0</v>
      </c>
      <c r="G25" s="53">
        <f t="shared" si="7"/>
        <v>0</v>
      </c>
      <c r="H25" s="53">
        <f t="shared" si="7"/>
        <v>0</v>
      </c>
      <c r="I25" s="53">
        <f t="shared" si="7"/>
        <v>0</v>
      </c>
      <c r="J25" s="53">
        <f t="shared" si="7"/>
        <v>0</v>
      </c>
      <c r="K25" s="53">
        <f t="shared" si="7"/>
        <v>0</v>
      </c>
      <c r="L25" s="53">
        <f t="shared" si="7"/>
        <v>0</v>
      </c>
      <c r="M25" s="53">
        <f t="shared" si="7"/>
        <v>0</v>
      </c>
      <c r="N25" s="62">
        <f>SUM(F25:M25)</f>
        <v>0</v>
      </c>
      <c r="O25" s="63" t="e">
        <f>SUM(N25/N21)</f>
        <v>#DIV/0!</v>
      </c>
      <c r="P25" s="73"/>
      <c r="Q25" s="73"/>
      <c r="R25" s="66"/>
    </row>
    <row r="26" spans="2:18" ht="13.5" thickTop="1" x14ac:dyDescent="0.2"/>
  </sheetData>
  <mergeCells count="24"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8831-EC6D-4307-8979-6A1D7DAF8B33}">
  <dimension ref="B4:Z27"/>
  <sheetViews>
    <sheetView rightToLeft="1" topLeftCell="A11" workbookViewId="0">
      <selection activeCell="B36" sqref="B36"/>
    </sheetView>
  </sheetViews>
  <sheetFormatPr defaultRowHeight="12.75" x14ac:dyDescent="0.2"/>
  <cols>
    <col min="3" max="3" width="26.42578125" customWidth="1"/>
    <col min="5" max="5" width="20.5703125" customWidth="1"/>
  </cols>
  <sheetData>
    <row r="4" spans="2:26" ht="13.5" thickBot="1" x14ac:dyDescent="0.25"/>
    <row r="5" spans="2:26" ht="16.5" thickTop="1" thickBot="1" x14ac:dyDescent="0.25">
      <c r="B5" s="101" t="s">
        <v>0</v>
      </c>
      <c r="C5" s="94" t="s">
        <v>8</v>
      </c>
      <c r="D5" s="96" t="s">
        <v>1</v>
      </c>
      <c r="E5" s="94" t="s">
        <v>2</v>
      </c>
      <c r="F5" s="91" t="s">
        <v>15</v>
      </c>
      <c r="G5" s="92"/>
      <c r="H5" s="92"/>
      <c r="I5" s="92"/>
      <c r="J5" s="92"/>
      <c r="K5" s="92"/>
      <c r="L5" s="92"/>
      <c r="M5" s="93"/>
      <c r="N5" s="103" t="s">
        <v>11</v>
      </c>
      <c r="O5" s="104"/>
      <c r="P5" s="104"/>
      <c r="Q5" s="104"/>
      <c r="R5" s="104"/>
      <c r="S5" s="104"/>
      <c r="T5" s="104"/>
      <c r="U5" s="105"/>
      <c r="V5" s="96" t="s">
        <v>5</v>
      </c>
      <c r="W5" s="96" t="s">
        <v>9</v>
      </c>
      <c r="X5" s="12"/>
      <c r="Y5" s="96" t="s">
        <v>17</v>
      </c>
      <c r="Z5" s="13"/>
    </row>
    <row r="6" spans="2:26" ht="119.25" thickTop="1" thickBot="1" x14ac:dyDescent="0.25">
      <c r="B6" s="102"/>
      <c r="C6" s="100"/>
      <c r="D6" s="97"/>
      <c r="E6" s="95"/>
      <c r="F6" s="10" t="s">
        <v>30</v>
      </c>
      <c r="G6" s="10" t="s">
        <v>31</v>
      </c>
      <c r="H6" s="10" t="s">
        <v>13</v>
      </c>
      <c r="I6" s="10" t="s">
        <v>32</v>
      </c>
      <c r="J6" s="10" t="s">
        <v>33</v>
      </c>
      <c r="K6" s="10" t="s">
        <v>34</v>
      </c>
      <c r="L6" s="10" t="s">
        <v>35</v>
      </c>
      <c r="M6" s="10" t="s">
        <v>36</v>
      </c>
      <c r="N6" s="39" t="s">
        <v>25</v>
      </c>
      <c r="O6" s="39" t="s">
        <v>12</v>
      </c>
      <c r="P6" s="39" t="s">
        <v>10</v>
      </c>
      <c r="Q6" s="39" t="s">
        <v>28</v>
      </c>
      <c r="R6" s="39" t="s">
        <v>29</v>
      </c>
      <c r="S6" s="39" t="s">
        <v>27</v>
      </c>
      <c r="T6" s="39" t="s">
        <v>24</v>
      </c>
      <c r="U6" s="39" t="s">
        <v>26</v>
      </c>
      <c r="V6" s="99"/>
      <c r="W6" s="99"/>
      <c r="X6" s="10" t="s">
        <v>16</v>
      </c>
      <c r="Y6" s="99"/>
      <c r="Z6" s="11" t="s">
        <v>18</v>
      </c>
    </row>
    <row r="7" spans="2:26" ht="20.25" thickTop="1" thickBot="1" x14ac:dyDescent="0.35">
      <c r="B7" s="79">
        <v>-1</v>
      </c>
      <c r="C7" s="88" t="s">
        <v>62</v>
      </c>
      <c r="D7" s="71" t="s">
        <v>63</v>
      </c>
      <c r="E7" s="5" t="s">
        <v>6</v>
      </c>
      <c r="F7" s="22">
        <f>IF(IF(F10=0,0,2),2,0)</f>
        <v>2</v>
      </c>
      <c r="G7" s="22">
        <f>IF(IF(G10=0,0,3),3,0)</f>
        <v>3</v>
      </c>
      <c r="H7" s="22">
        <f>IF(IF(H10=0,0,4),4,0)</f>
        <v>4</v>
      </c>
      <c r="I7" s="22">
        <f>IF(IF(I10=0,0,3),3,0)</f>
        <v>3</v>
      </c>
      <c r="J7" s="22">
        <f>IF(IF(J10=0,0,3),3,0)</f>
        <v>3</v>
      </c>
      <c r="K7" s="22">
        <f>IF(IF(K10=0,0,4),4,0)</f>
        <v>4</v>
      </c>
      <c r="L7" s="22">
        <f>IF(IF(L10=0,0,3),3,0)</f>
        <v>3</v>
      </c>
      <c r="M7" s="22">
        <f>IF(IF(M10=0,0,3),3,0)</f>
        <v>3</v>
      </c>
      <c r="N7" s="37">
        <f>IF(IF(N10=0,0,2),2,0)</f>
        <v>0</v>
      </c>
      <c r="O7" s="37">
        <f>IF(IF(O10=0,0,4),4,0)</f>
        <v>0</v>
      </c>
      <c r="P7" s="37">
        <f>IF(IF(P10=0,0,2),2,0)</f>
        <v>2</v>
      </c>
      <c r="Q7" s="37">
        <f>IF(IF(Q10=0,0,3),3,0)</f>
        <v>0</v>
      </c>
      <c r="R7" s="37">
        <f>IF(IF(R10=0,0,2),2,0)</f>
        <v>0</v>
      </c>
      <c r="S7" s="37">
        <f>IF(IF(S10=0,0,3),3,0)</f>
        <v>0</v>
      </c>
      <c r="T7" s="37">
        <f>IF(IF(T10=0,0,2),2,0)</f>
        <v>0</v>
      </c>
      <c r="U7" s="37">
        <f>IF(IF(U10=0,0,3),3,0)</f>
        <v>0</v>
      </c>
      <c r="V7" s="22">
        <f>SUM(F7:U7)</f>
        <v>27</v>
      </c>
      <c r="W7" s="23"/>
      <c r="X7" s="98"/>
      <c r="Y7" s="98"/>
      <c r="Z7" s="85"/>
    </row>
    <row r="8" spans="2:26" ht="19.5" thickTop="1" thickBot="1" x14ac:dyDescent="0.3">
      <c r="B8" s="80"/>
      <c r="C8" s="89"/>
      <c r="D8" s="72"/>
      <c r="E8" s="14" t="s">
        <v>66</v>
      </c>
      <c r="F8" s="24">
        <v>0</v>
      </c>
      <c r="G8" s="24">
        <v>28</v>
      </c>
      <c r="H8" s="25">
        <v>25</v>
      </c>
      <c r="I8" s="24">
        <v>30</v>
      </c>
      <c r="J8" s="25">
        <v>0</v>
      </c>
      <c r="K8" s="25">
        <v>0</v>
      </c>
      <c r="L8" s="24">
        <v>35</v>
      </c>
      <c r="M8" s="24">
        <v>0</v>
      </c>
      <c r="N8" s="43">
        <v>0</v>
      </c>
      <c r="O8" s="43">
        <v>0</v>
      </c>
      <c r="P8" s="56">
        <v>28</v>
      </c>
      <c r="Q8" s="44">
        <v>0</v>
      </c>
      <c r="R8" s="44">
        <v>0</v>
      </c>
      <c r="S8" s="44">
        <v>0</v>
      </c>
      <c r="T8" s="43">
        <v>0</v>
      </c>
      <c r="U8" s="44">
        <v>0</v>
      </c>
      <c r="V8" s="25"/>
      <c r="W8" s="26"/>
      <c r="X8" s="83"/>
      <c r="Y8" s="83"/>
      <c r="Z8" s="86"/>
    </row>
    <row r="9" spans="2:26" ht="19.5" thickTop="1" thickBot="1" x14ac:dyDescent="0.3">
      <c r="B9" s="80"/>
      <c r="C9" s="89"/>
      <c r="D9" s="72"/>
      <c r="E9" s="15" t="s">
        <v>4</v>
      </c>
      <c r="F9" s="27">
        <v>66</v>
      </c>
      <c r="G9" s="27"/>
      <c r="H9" s="27"/>
      <c r="I9" s="27"/>
      <c r="J9" s="27">
        <v>85</v>
      </c>
      <c r="K9" s="27">
        <v>71</v>
      </c>
      <c r="L9" s="27"/>
      <c r="M9" s="27">
        <v>74</v>
      </c>
      <c r="N9" s="45">
        <v>0</v>
      </c>
      <c r="O9" s="45">
        <v>0</v>
      </c>
      <c r="P9" s="57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28"/>
      <c r="W9" s="29"/>
      <c r="X9" s="83"/>
      <c r="Y9" s="83"/>
      <c r="Z9" s="86"/>
    </row>
    <row r="10" spans="2:26" ht="19.5" thickTop="1" thickBot="1" x14ac:dyDescent="0.3">
      <c r="B10" s="80"/>
      <c r="C10" s="89"/>
      <c r="D10" s="72"/>
      <c r="E10" s="16" t="s">
        <v>5</v>
      </c>
      <c r="F10" s="27">
        <f t="shared" ref="F10:U10" si="0">IF(F9&lt;30,F8,F8+F9)</f>
        <v>66</v>
      </c>
      <c r="G10" s="27">
        <f t="shared" si="0"/>
        <v>28</v>
      </c>
      <c r="H10" s="27">
        <f t="shared" si="0"/>
        <v>25</v>
      </c>
      <c r="I10" s="27">
        <f t="shared" si="0"/>
        <v>30</v>
      </c>
      <c r="J10" s="27">
        <f t="shared" si="0"/>
        <v>85</v>
      </c>
      <c r="K10" s="27">
        <f t="shared" si="0"/>
        <v>71</v>
      </c>
      <c r="L10" s="27">
        <f t="shared" si="0"/>
        <v>35</v>
      </c>
      <c r="M10" s="27">
        <f t="shared" si="0"/>
        <v>74</v>
      </c>
      <c r="N10" s="47">
        <f t="shared" si="0"/>
        <v>0</v>
      </c>
      <c r="O10" s="47">
        <f t="shared" si="0"/>
        <v>0</v>
      </c>
      <c r="P10" s="57">
        <f t="shared" si="0"/>
        <v>28</v>
      </c>
      <c r="Q10" s="47">
        <f t="shared" si="0"/>
        <v>0</v>
      </c>
      <c r="R10" s="47">
        <f t="shared" si="0"/>
        <v>0</v>
      </c>
      <c r="S10" s="47">
        <f t="shared" si="0"/>
        <v>0</v>
      </c>
      <c r="T10" s="47">
        <f t="shared" si="0"/>
        <v>0</v>
      </c>
      <c r="U10" s="47">
        <f t="shared" si="0"/>
        <v>0</v>
      </c>
      <c r="V10" s="28"/>
      <c r="W10" s="29"/>
      <c r="X10" s="83"/>
      <c r="Y10" s="83"/>
      <c r="Z10" s="86"/>
    </row>
    <row r="11" spans="2:26" ht="24.75" customHeight="1" thickTop="1" thickBot="1" x14ac:dyDescent="0.3">
      <c r="B11" s="81"/>
      <c r="C11" s="90"/>
      <c r="D11" s="73"/>
      <c r="E11" s="17" t="s">
        <v>7</v>
      </c>
      <c r="F11" s="21">
        <f>SUM(H7*F10)</f>
        <v>264</v>
      </c>
      <c r="G11" s="21">
        <f>SUM(F7*G10)</f>
        <v>56</v>
      </c>
      <c r="H11" s="21">
        <f>SUM(H7*H10)</f>
        <v>100</v>
      </c>
      <c r="I11" s="21">
        <f>SUM(H7*I10)</f>
        <v>120</v>
      </c>
      <c r="J11" s="21">
        <f>SUM(I7*J10)</f>
        <v>255</v>
      </c>
      <c r="K11" s="21">
        <f>SUM(K7*K10)</f>
        <v>284</v>
      </c>
      <c r="L11" s="21">
        <f>SUM(K7*L10)</f>
        <v>140</v>
      </c>
      <c r="M11" s="21">
        <f>SUM(L7*M10)</f>
        <v>222</v>
      </c>
      <c r="N11" s="49">
        <f>SUM(O7*N10)</f>
        <v>0</v>
      </c>
      <c r="O11" s="49">
        <f>SUM(R7*O10)</f>
        <v>0</v>
      </c>
      <c r="P11" s="49">
        <f>SUM(N7*P10)</f>
        <v>0</v>
      </c>
      <c r="Q11" s="49">
        <f>SUM(T7*Q10)</f>
        <v>0</v>
      </c>
      <c r="R11" s="49">
        <f>SUM(Q7*R10)</f>
        <v>0</v>
      </c>
      <c r="S11" s="49">
        <f>SUM(U7*S10)</f>
        <v>0</v>
      </c>
      <c r="T11" s="49">
        <f>SUM(R7*T10)</f>
        <v>0</v>
      </c>
      <c r="U11" s="49">
        <f>SUM(S7*U10)</f>
        <v>0</v>
      </c>
      <c r="V11" s="30">
        <f>SUM(F11:U11)</f>
        <v>1441</v>
      </c>
      <c r="W11" s="31">
        <f>SUM(V11/V7)</f>
        <v>53.370370370370374</v>
      </c>
      <c r="X11" s="84"/>
      <c r="Y11" s="84"/>
      <c r="Z11" s="87"/>
    </row>
    <row r="12" spans="2:26" ht="20.25" thickTop="1" thickBot="1" x14ac:dyDescent="0.35">
      <c r="B12" s="79">
        <v>-2</v>
      </c>
      <c r="C12" s="88"/>
      <c r="D12" s="74"/>
      <c r="E12" s="6" t="s">
        <v>6</v>
      </c>
      <c r="F12" s="22">
        <f>IF(IF(F15=0,0,2),2,0)</f>
        <v>0</v>
      </c>
      <c r="G12" s="22">
        <f>IF(IF(G15=0,0,3),3,0)</f>
        <v>0</v>
      </c>
      <c r="H12" s="22">
        <f>IF(IF(H15=0,0,4),4,0)</f>
        <v>0</v>
      </c>
      <c r="I12" s="22">
        <f>IF(IF(I15=0,0,3),3,0)</f>
        <v>0</v>
      </c>
      <c r="J12" s="22">
        <f>IF(IF(J15=0,0,3),3,0)</f>
        <v>0</v>
      </c>
      <c r="K12" s="22">
        <f>IF(IF(K15=0,0,4),4,0)</f>
        <v>0</v>
      </c>
      <c r="L12" s="22">
        <f>IF(IF(L15=0,0,3),3,0)</f>
        <v>0</v>
      </c>
      <c r="M12" s="22">
        <f>IF(IF(M15=0,0,3),3,0)</f>
        <v>0</v>
      </c>
      <c r="N12" s="37">
        <f>IF(IF(N15=0,0,2),2,0)</f>
        <v>0</v>
      </c>
      <c r="O12" s="37">
        <f>IF(IF(O15=0,0,4),4,0)</f>
        <v>0</v>
      </c>
      <c r="P12" s="37">
        <f>IF(IF(P15=0,0,2),2,0)</f>
        <v>0</v>
      </c>
      <c r="Q12" s="37">
        <f>IF(IF(Q15=0,0,3),3,0)</f>
        <v>0</v>
      </c>
      <c r="R12" s="37">
        <f>IF(IF(R15=0,0,2),2,0)</f>
        <v>0</v>
      </c>
      <c r="S12" s="37">
        <f>IF(IF(S15=0,0,3),3,0)</f>
        <v>0</v>
      </c>
      <c r="T12" s="37">
        <f>IF(IF(T15=0,0,2),2,0)</f>
        <v>0</v>
      </c>
      <c r="U12" s="37">
        <f>IF(IF(U15=0,0,3),3,0)</f>
        <v>0</v>
      </c>
      <c r="V12" s="22">
        <f>SUM(F12:U12)</f>
        <v>0</v>
      </c>
      <c r="W12" s="23"/>
      <c r="X12" s="82"/>
      <c r="Y12" s="82"/>
      <c r="Z12" s="85"/>
    </row>
    <row r="13" spans="2:26" ht="19.5" thickTop="1" thickBot="1" x14ac:dyDescent="0.3">
      <c r="B13" s="80"/>
      <c r="C13" s="89"/>
      <c r="D13" s="72"/>
      <c r="E13" s="18" t="s">
        <v>66</v>
      </c>
      <c r="F13" s="24"/>
      <c r="G13" s="24"/>
      <c r="H13" s="25"/>
      <c r="I13" s="24"/>
      <c r="J13" s="25"/>
      <c r="K13" s="25"/>
      <c r="L13" s="24"/>
      <c r="M13" s="24"/>
      <c r="N13" s="43">
        <v>0</v>
      </c>
      <c r="O13" s="43">
        <v>0</v>
      </c>
      <c r="P13" s="43">
        <v>0</v>
      </c>
      <c r="Q13" s="44">
        <v>0</v>
      </c>
      <c r="R13" s="44">
        <v>0</v>
      </c>
      <c r="S13" s="44">
        <v>0</v>
      </c>
      <c r="T13" s="43">
        <v>0</v>
      </c>
      <c r="U13" s="44">
        <v>0</v>
      </c>
      <c r="V13" s="25"/>
      <c r="W13" s="26"/>
      <c r="X13" s="83"/>
      <c r="Y13" s="83"/>
      <c r="Z13" s="86"/>
    </row>
    <row r="14" spans="2:26" ht="19.5" thickTop="1" thickBot="1" x14ac:dyDescent="0.3">
      <c r="B14" s="80"/>
      <c r="C14" s="89"/>
      <c r="D14" s="72"/>
      <c r="E14" s="15" t="s">
        <v>4</v>
      </c>
      <c r="F14" s="27"/>
      <c r="G14" s="27"/>
      <c r="H14" s="27"/>
      <c r="I14" s="27"/>
      <c r="J14" s="27"/>
      <c r="K14" s="27"/>
      <c r="L14" s="27"/>
      <c r="M14" s="27"/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28"/>
      <c r="W14" s="29"/>
      <c r="X14" s="83"/>
      <c r="Y14" s="83"/>
      <c r="Z14" s="86"/>
    </row>
    <row r="15" spans="2:26" ht="19.5" thickTop="1" thickBot="1" x14ac:dyDescent="0.3">
      <c r="B15" s="80"/>
      <c r="C15" s="89"/>
      <c r="D15" s="72"/>
      <c r="E15" s="16" t="s">
        <v>5</v>
      </c>
      <c r="F15" s="27">
        <f t="shared" ref="F15:U15" si="1">IF(F14&lt;30,F13,F13+F14)</f>
        <v>0</v>
      </c>
      <c r="G15" s="27">
        <f t="shared" si="1"/>
        <v>0</v>
      </c>
      <c r="H15" s="27">
        <f t="shared" si="1"/>
        <v>0</v>
      </c>
      <c r="I15" s="27">
        <f t="shared" si="1"/>
        <v>0</v>
      </c>
      <c r="J15" s="27">
        <f t="shared" si="1"/>
        <v>0</v>
      </c>
      <c r="K15" s="27">
        <f t="shared" si="1"/>
        <v>0</v>
      </c>
      <c r="L15" s="27">
        <f t="shared" si="1"/>
        <v>0</v>
      </c>
      <c r="M15" s="27">
        <f t="shared" si="1"/>
        <v>0</v>
      </c>
      <c r="N15" s="47">
        <f t="shared" si="1"/>
        <v>0</v>
      </c>
      <c r="O15" s="47">
        <f t="shared" si="1"/>
        <v>0</v>
      </c>
      <c r="P15" s="47">
        <f t="shared" si="1"/>
        <v>0</v>
      </c>
      <c r="Q15" s="47">
        <f t="shared" si="1"/>
        <v>0</v>
      </c>
      <c r="R15" s="47">
        <f t="shared" si="1"/>
        <v>0</v>
      </c>
      <c r="S15" s="47">
        <f t="shared" si="1"/>
        <v>0</v>
      </c>
      <c r="T15" s="47">
        <f t="shared" si="1"/>
        <v>0</v>
      </c>
      <c r="U15" s="47">
        <f t="shared" si="1"/>
        <v>0</v>
      </c>
      <c r="V15" s="28"/>
      <c r="W15" s="29"/>
      <c r="X15" s="83"/>
      <c r="Y15" s="83"/>
      <c r="Z15" s="86"/>
    </row>
    <row r="16" spans="2:26" ht="28.5" customHeight="1" thickTop="1" thickBot="1" x14ac:dyDescent="0.3">
      <c r="B16" s="81"/>
      <c r="C16" s="90"/>
      <c r="D16" s="73"/>
      <c r="E16" s="19" t="s">
        <v>7</v>
      </c>
      <c r="F16" s="21">
        <f>SUM(H12*F15)</f>
        <v>0</v>
      </c>
      <c r="G16" s="21">
        <f>SUM(F12*G15)</f>
        <v>0</v>
      </c>
      <c r="H16" s="21">
        <f>SUM(H12*H15)</f>
        <v>0</v>
      </c>
      <c r="I16" s="21">
        <f>SUM(H12*I15)</f>
        <v>0</v>
      </c>
      <c r="J16" s="21">
        <f>SUM(I12*J15)</f>
        <v>0</v>
      </c>
      <c r="K16" s="21">
        <f>SUM(K12*K15)</f>
        <v>0</v>
      </c>
      <c r="L16" s="21">
        <f>SUM(K12*L15)</f>
        <v>0</v>
      </c>
      <c r="M16" s="21">
        <f>SUM(L12*M15)</f>
        <v>0</v>
      </c>
      <c r="N16" s="49">
        <f>SUM(O12*N15)</f>
        <v>0</v>
      </c>
      <c r="O16" s="49">
        <f>SUM(R12*O15)</f>
        <v>0</v>
      </c>
      <c r="P16" s="49">
        <f>SUM(N12*P15)</f>
        <v>0</v>
      </c>
      <c r="Q16" s="49">
        <f>SUM(T12*Q15)</f>
        <v>0</v>
      </c>
      <c r="R16" s="49">
        <f>SUM(Q12*R15)</f>
        <v>0</v>
      </c>
      <c r="S16" s="49">
        <f>SUM(U12*S15)</f>
        <v>0</v>
      </c>
      <c r="T16" s="49">
        <f>SUM(R12*T15)</f>
        <v>0</v>
      </c>
      <c r="U16" s="49">
        <f>SUM(S12*U15)</f>
        <v>0</v>
      </c>
      <c r="V16" s="30">
        <f>SUM(F16:U16)</f>
        <v>0</v>
      </c>
      <c r="W16" s="31" t="e">
        <f>SUM(V16/V12)</f>
        <v>#DIV/0!</v>
      </c>
      <c r="X16" s="84"/>
      <c r="Y16" s="84"/>
      <c r="Z16" s="87"/>
    </row>
    <row r="17" spans="2:26" ht="20.25" thickTop="1" thickBot="1" x14ac:dyDescent="0.35">
      <c r="B17" s="79">
        <v>-3</v>
      </c>
      <c r="C17" s="88"/>
      <c r="D17" s="74"/>
      <c r="E17" s="6" t="s">
        <v>6</v>
      </c>
      <c r="F17" s="22">
        <f>IF(IF(F20=0,0,2),2,0)</f>
        <v>0</v>
      </c>
      <c r="G17" s="22">
        <f>IF(IF(G20=0,0,3),3,0)</f>
        <v>0</v>
      </c>
      <c r="H17" s="22">
        <f>IF(IF(H20=0,0,4),4,0)</f>
        <v>0</v>
      </c>
      <c r="I17" s="22">
        <f>IF(IF(I20=0,0,3),3,0)</f>
        <v>0</v>
      </c>
      <c r="J17" s="22">
        <f>IF(IF(J20=0,0,3),3,0)</f>
        <v>0</v>
      </c>
      <c r="K17" s="22">
        <f>IF(IF(K20=0,0,4),4,0)</f>
        <v>0</v>
      </c>
      <c r="L17" s="22">
        <f>IF(IF(L20=0,0,3),3,0)</f>
        <v>0</v>
      </c>
      <c r="M17" s="22">
        <f>IF(IF(M20=0,0,3),3,0)</f>
        <v>0</v>
      </c>
      <c r="N17" s="37">
        <f>IF(IF(N20=0,0,2),2,0)</f>
        <v>0</v>
      </c>
      <c r="O17" s="37">
        <f>IF(IF(O20=0,0,4),4,0)</f>
        <v>0</v>
      </c>
      <c r="P17" s="37">
        <f>IF(IF(P20=0,0,2),2,0)</f>
        <v>0</v>
      </c>
      <c r="Q17" s="37">
        <f>IF(IF(Q20=0,0,3),3,0)</f>
        <v>0</v>
      </c>
      <c r="R17" s="37">
        <f>IF(IF(R20=0,0,2),2,0)</f>
        <v>0</v>
      </c>
      <c r="S17" s="37">
        <f>IF(IF(S20=0,0,3),3,0)</f>
        <v>0</v>
      </c>
      <c r="T17" s="37">
        <f>IF(IF(T20=0,0,2),2,0)</f>
        <v>0</v>
      </c>
      <c r="U17" s="37">
        <f>IF(IF(U20=0,0,3),3,0)</f>
        <v>0</v>
      </c>
      <c r="V17" s="22">
        <f>SUM(F17:U17)</f>
        <v>0</v>
      </c>
      <c r="W17" s="23"/>
      <c r="X17" s="82"/>
      <c r="Y17" s="82"/>
      <c r="Z17" s="85"/>
    </row>
    <row r="18" spans="2:26" ht="19.5" thickTop="1" thickBot="1" x14ac:dyDescent="0.3">
      <c r="B18" s="80"/>
      <c r="C18" s="89"/>
      <c r="D18" s="72"/>
      <c r="E18" s="18" t="s">
        <v>66</v>
      </c>
      <c r="F18" s="24"/>
      <c r="G18" s="24"/>
      <c r="H18" s="25"/>
      <c r="I18" s="24"/>
      <c r="J18" s="25"/>
      <c r="K18" s="25"/>
      <c r="L18" s="24"/>
      <c r="M18" s="24"/>
      <c r="N18" s="43">
        <v>0</v>
      </c>
      <c r="O18" s="43">
        <v>0</v>
      </c>
      <c r="P18" s="43">
        <v>0</v>
      </c>
      <c r="Q18" s="44">
        <v>0</v>
      </c>
      <c r="R18" s="44">
        <v>0</v>
      </c>
      <c r="S18" s="44">
        <v>0</v>
      </c>
      <c r="T18" s="43">
        <v>0</v>
      </c>
      <c r="U18" s="44">
        <v>0</v>
      </c>
      <c r="V18" s="25"/>
      <c r="W18" s="26"/>
      <c r="X18" s="83"/>
      <c r="Y18" s="83"/>
      <c r="Z18" s="86"/>
    </row>
    <row r="19" spans="2:26" ht="19.5" thickTop="1" thickBot="1" x14ac:dyDescent="0.3">
      <c r="B19" s="80"/>
      <c r="C19" s="89"/>
      <c r="D19" s="72"/>
      <c r="E19" s="15" t="s">
        <v>4</v>
      </c>
      <c r="F19" s="27"/>
      <c r="G19" s="27"/>
      <c r="H19" s="27"/>
      <c r="I19" s="27"/>
      <c r="J19" s="27"/>
      <c r="K19" s="27"/>
      <c r="L19" s="27"/>
      <c r="M19" s="27"/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28"/>
      <c r="W19" s="29"/>
      <c r="X19" s="83"/>
      <c r="Y19" s="83"/>
      <c r="Z19" s="86"/>
    </row>
    <row r="20" spans="2:26" ht="19.5" thickTop="1" thickBot="1" x14ac:dyDescent="0.3">
      <c r="B20" s="80"/>
      <c r="C20" s="89"/>
      <c r="D20" s="72"/>
      <c r="E20" s="16" t="s">
        <v>5</v>
      </c>
      <c r="F20" s="27">
        <f t="shared" ref="F20:U20" si="2">IF(F19&lt;30,F18,F18+F19)</f>
        <v>0</v>
      </c>
      <c r="G20" s="27">
        <f t="shared" si="2"/>
        <v>0</v>
      </c>
      <c r="H20" s="27">
        <f t="shared" si="2"/>
        <v>0</v>
      </c>
      <c r="I20" s="27">
        <f t="shared" si="2"/>
        <v>0</v>
      </c>
      <c r="J20" s="27">
        <f t="shared" si="2"/>
        <v>0</v>
      </c>
      <c r="K20" s="27">
        <f t="shared" si="2"/>
        <v>0</v>
      </c>
      <c r="L20" s="27">
        <f t="shared" si="2"/>
        <v>0</v>
      </c>
      <c r="M20" s="27">
        <f t="shared" si="2"/>
        <v>0</v>
      </c>
      <c r="N20" s="47">
        <f t="shared" si="2"/>
        <v>0</v>
      </c>
      <c r="O20" s="47">
        <f t="shared" si="2"/>
        <v>0</v>
      </c>
      <c r="P20" s="47">
        <f t="shared" si="2"/>
        <v>0</v>
      </c>
      <c r="Q20" s="47">
        <f t="shared" si="2"/>
        <v>0</v>
      </c>
      <c r="R20" s="47">
        <f t="shared" si="2"/>
        <v>0</v>
      </c>
      <c r="S20" s="47">
        <f t="shared" si="2"/>
        <v>0</v>
      </c>
      <c r="T20" s="47">
        <f t="shared" si="2"/>
        <v>0</v>
      </c>
      <c r="U20" s="47">
        <f t="shared" si="2"/>
        <v>0</v>
      </c>
      <c r="V20" s="28"/>
      <c r="W20" s="29"/>
      <c r="X20" s="83"/>
      <c r="Y20" s="83"/>
      <c r="Z20" s="86"/>
    </row>
    <row r="21" spans="2:26" ht="24.75" customHeight="1" thickTop="1" thickBot="1" x14ac:dyDescent="0.3">
      <c r="B21" s="81"/>
      <c r="C21" s="90"/>
      <c r="D21" s="73"/>
      <c r="E21" s="20" t="s">
        <v>7</v>
      </c>
      <c r="F21" s="21">
        <f>SUM(H17*F20)</f>
        <v>0</v>
      </c>
      <c r="G21" s="21">
        <f>SUM(F17*G20)</f>
        <v>0</v>
      </c>
      <c r="H21" s="21">
        <f>SUM(H17*H20)</f>
        <v>0</v>
      </c>
      <c r="I21" s="21">
        <f>SUM(H17*I20)</f>
        <v>0</v>
      </c>
      <c r="J21" s="21">
        <f>SUM(I17*J20)</f>
        <v>0</v>
      </c>
      <c r="K21" s="21">
        <f>SUM(K17*K20)</f>
        <v>0</v>
      </c>
      <c r="L21" s="21">
        <f>SUM(K17*L20)</f>
        <v>0</v>
      </c>
      <c r="M21" s="21">
        <f>SUM(L17*M20)</f>
        <v>0</v>
      </c>
      <c r="N21" s="49">
        <f>SUM(O17*N20)</f>
        <v>0</v>
      </c>
      <c r="O21" s="49">
        <f>SUM(R17*O20)</f>
        <v>0</v>
      </c>
      <c r="P21" s="49">
        <f>SUM(N17*P20)</f>
        <v>0</v>
      </c>
      <c r="Q21" s="49">
        <f>SUM(T17*Q20)</f>
        <v>0</v>
      </c>
      <c r="R21" s="49">
        <f>SUM(Q17*R20)</f>
        <v>0</v>
      </c>
      <c r="S21" s="49">
        <f>SUM(U17*S20)</f>
        <v>0</v>
      </c>
      <c r="T21" s="49">
        <f>SUM(R17*T20)</f>
        <v>0</v>
      </c>
      <c r="U21" s="49">
        <f>SUM(S17*U20)</f>
        <v>0</v>
      </c>
      <c r="V21" s="30">
        <f>SUM(F21:U21)</f>
        <v>0</v>
      </c>
      <c r="W21" s="31" t="e">
        <f>SUM(V21/V17)</f>
        <v>#DIV/0!</v>
      </c>
      <c r="X21" s="84"/>
      <c r="Y21" s="84"/>
      <c r="Z21" s="87"/>
    </row>
    <row r="22" spans="2:26" ht="20.25" thickTop="1" thickBot="1" x14ac:dyDescent="0.35">
      <c r="B22" s="79">
        <v>-4</v>
      </c>
      <c r="C22" s="88"/>
      <c r="D22" s="74"/>
      <c r="E22" s="6" t="s">
        <v>6</v>
      </c>
      <c r="F22" s="22">
        <f>IF(IF(F25=0,0,2),2,0)</f>
        <v>0</v>
      </c>
      <c r="G22" s="22">
        <f>IF(IF(G25=0,0,3),3,0)</f>
        <v>0</v>
      </c>
      <c r="H22" s="22">
        <f>IF(IF(H25=0,0,4),4,0)</f>
        <v>0</v>
      </c>
      <c r="I22" s="22">
        <f>IF(IF(I25=0,0,3),3,0)</f>
        <v>0</v>
      </c>
      <c r="J22" s="22">
        <f>IF(IF(J25=0,0,3),3,0)</f>
        <v>0</v>
      </c>
      <c r="K22" s="22">
        <f>IF(IF(K25=0,0,4),4,0)</f>
        <v>0</v>
      </c>
      <c r="L22" s="22">
        <f>IF(IF(L25=0,0,3),3,0)</f>
        <v>0</v>
      </c>
      <c r="M22" s="22">
        <f>IF(IF(M25=0,0,3),3,0)</f>
        <v>0</v>
      </c>
      <c r="N22" s="37">
        <f>IF(IF(N25=0,0,2),2,0)</f>
        <v>0</v>
      </c>
      <c r="O22" s="37">
        <f>IF(IF(O25=0,0,4),4,0)</f>
        <v>0</v>
      </c>
      <c r="P22" s="37">
        <f>IF(IF(P25=0,0,2),2,0)</f>
        <v>0</v>
      </c>
      <c r="Q22" s="37">
        <f>IF(IF(Q25=0,0,3),3,0)</f>
        <v>0</v>
      </c>
      <c r="R22" s="37">
        <f>IF(IF(R25=0,0,2),2,0)</f>
        <v>0</v>
      </c>
      <c r="S22" s="37">
        <f>IF(IF(S25=0,0,3),3,0)</f>
        <v>0</v>
      </c>
      <c r="T22" s="37">
        <f>IF(IF(T25=0,0,2),2,0)</f>
        <v>0</v>
      </c>
      <c r="U22" s="37">
        <f>IF(IF(U25=0,0,3),3,0)</f>
        <v>0</v>
      </c>
      <c r="V22" s="22">
        <f>SUM(F22:U22)</f>
        <v>0</v>
      </c>
      <c r="W22" s="23"/>
      <c r="X22" s="82"/>
      <c r="Y22" s="82"/>
      <c r="Z22" s="85"/>
    </row>
    <row r="23" spans="2:26" ht="19.5" thickTop="1" thickBot="1" x14ac:dyDescent="0.3">
      <c r="B23" s="80"/>
      <c r="C23" s="89"/>
      <c r="D23" s="72"/>
      <c r="E23" s="18" t="s">
        <v>66</v>
      </c>
      <c r="F23" s="24"/>
      <c r="G23" s="24"/>
      <c r="H23" s="25"/>
      <c r="I23" s="24"/>
      <c r="J23" s="25"/>
      <c r="K23" s="25"/>
      <c r="L23" s="24"/>
      <c r="M23" s="24"/>
      <c r="N23" s="43">
        <v>0</v>
      </c>
      <c r="O23" s="43">
        <v>0</v>
      </c>
      <c r="P23" s="43">
        <v>0</v>
      </c>
      <c r="Q23" s="44">
        <v>0</v>
      </c>
      <c r="R23" s="44">
        <v>0</v>
      </c>
      <c r="S23" s="44">
        <v>0</v>
      </c>
      <c r="T23" s="43">
        <v>0</v>
      </c>
      <c r="U23" s="44">
        <v>0</v>
      </c>
      <c r="V23" s="25"/>
      <c r="W23" s="26"/>
      <c r="X23" s="83"/>
      <c r="Y23" s="83"/>
      <c r="Z23" s="86"/>
    </row>
    <row r="24" spans="2:26" ht="19.5" thickTop="1" thickBot="1" x14ac:dyDescent="0.3">
      <c r="B24" s="80"/>
      <c r="C24" s="89"/>
      <c r="D24" s="72"/>
      <c r="E24" s="18" t="s">
        <v>4</v>
      </c>
      <c r="F24" s="27"/>
      <c r="G24" s="27"/>
      <c r="H24" s="27"/>
      <c r="I24" s="27"/>
      <c r="J24" s="27"/>
      <c r="K24" s="27"/>
      <c r="L24" s="27"/>
      <c r="M24" s="27"/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28"/>
      <c r="W24" s="29"/>
      <c r="X24" s="83"/>
      <c r="Y24" s="83"/>
      <c r="Z24" s="86"/>
    </row>
    <row r="25" spans="2:26" ht="19.5" thickTop="1" thickBot="1" x14ac:dyDescent="0.3">
      <c r="B25" s="80"/>
      <c r="C25" s="89"/>
      <c r="D25" s="72"/>
      <c r="E25" s="58" t="s">
        <v>5</v>
      </c>
      <c r="F25" s="27">
        <f t="shared" ref="F25:U25" si="3">IF(F24&lt;30,F23,F23+F24)</f>
        <v>0</v>
      </c>
      <c r="G25" s="27">
        <f t="shared" si="3"/>
        <v>0</v>
      </c>
      <c r="H25" s="27">
        <f t="shared" si="3"/>
        <v>0</v>
      </c>
      <c r="I25" s="27">
        <f t="shared" si="3"/>
        <v>0</v>
      </c>
      <c r="J25" s="27">
        <f t="shared" si="3"/>
        <v>0</v>
      </c>
      <c r="K25" s="27">
        <f t="shared" si="3"/>
        <v>0</v>
      </c>
      <c r="L25" s="27">
        <f t="shared" si="3"/>
        <v>0</v>
      </c>
      <c r="M25" s="27">
        <f t="shared" si="3"/>
        <v>0</v>
      </c>
      <c r="N25" s="47">
        <f t="shared" si="3"/>
        <v>0</v>
      </c>
      <c r="O25" s="47">
        <f t="shared" si="3"/>
        <v>0</v>
      </c>
      <c r="P25" s="47">
        <f t="shared" si="3"/>
        <v>0</v>
      </c>
      <c r="Q25" s="47">
        <f t="shared" si="3"/>
        <v>0</v>
      </c>
      <c r="R25" s="47">
        <f t="shared" si="3"/>
        <v>0</v>
      </c>
      <c r="S25" s="47">
        <f t="shared" si="3"/>
        <v>0</v>
      </c>
      <c r="T25" s="47">
        <f t="shared" si="3"/>
        <v>0</v>
      </c>
      <c r="U25" s="47">
        <f t="shared" si="3"/>
        <v>0</v>
      </c>
      <c r="V25" s="28"/>
      <c r="W25" s="29"/>
      <c r="X25" s="83"/>
      <c r="Y25" s="83"/>
      <c r="Z25" s="86"/>
    </row>
    <row r="26" spans="2:26" ht="24" customHeight="1" thickTop="1" thickBot="1" x14ac:dyDescent="0.3">
      <c r="B26" s="81"/>
      <c r="C26" s="90"/>
      <c r="D26" s="73"/>
      <c r="E26" s="17" t="s">
        <v>7</v>
      </c>
      <c r="F26" s="32">
        <f>SUM(H22*F25)</f>
        <v>0</v>
      </c>
      <c r="G26" s="32">
        <f>SUM(F22*G25)</f>
        <v>0</v>
      </c>
      <c r="H26" s="32">
        <f>SUM(H22*H25)</f>
        <v>0</v>
      </c>
      <c r="I26" s="32">
        <f>SUM(H22*I25)</f>
        <v>0</v>
      </c>
      <c r="J26" s="32">
        <f>SUM(I22*J25)</f>
        <v>0</v>
      </c>
      <c r="K26" s="32">
        <f>SUM(K22*K25)</f>
        <v>0</v>
      </c>
      <c r="L26" s="32">
        <f>SUM(K22*L25)</f>
        <v>0</v>
      </c>
      <c r="M26" s="32">
        <f>SUM(L22*M25)</f>
        <v>0</v>
      </c>
      <c r="N26" s="53">
        <f>SUM(O22*N25)</f>
        <v>0</v>
      </c>
      <c r="O26" s="53">
        <f>SUM(R22*O25)</f>
        <v>0</v>
      </c>
      <c r="P26" s="53">
        <f>SUM(N22*P25)</f>
        <v>0</v>
      </c>
      <c r="Q26" s="53">
        <f>SUM(T22*Q25)</f>
        <v>0</v>
      </c>
      <c r="R26" s="53">
        <f>SUM(Q22*R25)</f>
        <v>0</v>
      </c>
      <c r="S26" s="53">
        <f>SUM(U22*S25)</f>
        <v>0</v>
      </c>
      <c r="T26" s="53">
        <f>SUM(R22*T25)</f>
        <v>0</v>
      </c>
      <c r="U26" s="53">
        <f>SUM(S22*U25)</f>
        <v>0</v>
      </c>
      <c r="V26" s="33">
        <f>SUM(F26:U26)</f>
        <v>0</v>
      </c>
      <c r="W26" s="59" t="e">
        <f>SUM(V26/V22)</f>
        <v>#DIV/0!</v>
      </c>
      <c r="X26" s="84"/>
      <c r="Y26" s="84"/>
      <c r="Z26" s="87"/>
    </row>
    <row r="27" spans="2:26" ht="13.5" thickTop="1" x14ac:dyDescent="0.2"/>
  </sheetData>
  <mergeCells count="33">
    <mergeCell ref="B22:B26"/>
    <mergeCell ref="C22:C26"/>
    <mergeCell ref="D22:D26"/>
    <mergeCell ref="X22:X26"/>
    <mergeCell ref="Y22:Y26"/>
    <mergeCell ref="Z22:Z26"/>
    <mergeCell ref="B17:B21"/>
    <mergeCell ref="C17:C21"/>
    <mergeCell ref="D17:D21"/>
    <mergeCell ref="X17:X21"/>
    <mergeCell ref="Y17:Y21"/>
    <mergeCell ref="Z17:Z21"/>
    <mergeCell ref="Z7:Z11"/>
    <mergeCell ref="B12:B16"/>
    <mergeCell ref="C12:C16"/>
    <mergeCell ref="D12:D16"/>
    <mergeCell ref="X12:X16"/>
    <mergeCell ref="Y12:Y16"/>
    <mergeCell ref="Z12:Z16"/>
    <mergeCell ref="V5:V6"/>
    <mergeCell ref="W5:W6"/>
    <mergeCell ref="Y5:Y6"/>
    <mergeCell ref="B7:B11"/>
    <mergeCell ref="C7:C11"/>
    <mergeCell ref="D7:D11"/>
    <mergeCell ref="X7:X11"/>
    <mergeCell ref="Y7:Y11"/>
    <mergeCell ref="B5:B6"/>
    <mergeCell ref="C5:C6"/>
    <mergeCell ref="D5:D6"/>
    <mergeCell ref="E5:E6"/>
    <mergeCell ref="F5:M5"/>
    <mergeCell ref="N5:U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A8C6-2749-412E-AB76-F91A3615B92B}">
  <dimension ref="B4:Z27"/>
  <sheetViews>
    <sheetView rightToLeft="1" topLeftCell="D11" workbookViewId="0">
      <selection activeCell="E34" sqref="E34"/>
    </sheetView>
  </sheetViews>
  <sheetFormatPr defaultRowHeight="12.75" x14ac:dyDescent="0.2"/>
  <cols>
    <col min="3" max="3" width="26.42578125" customWidth="1"/>
    <col min="26" max="26" width="25" customWidth="1"/>
  </cols>
  <sheetData>
    <row r="4" spans="2:26" ht="13.5" thickBot="1" x14ac:dyDescent="0.25"/>
    <row r="5" spans="2:26" ht="16.5" thickTop="1" thickBot="1" x14ac:dyDescent="0.25">
      <c r="B5" s="101" t="s">
        <v>0</v>
      </c>
      <c r="C5" s="94" t="s">
        <v>8</v>
      </c>
      <c r="D5" s="96" t="s">
        <v>1</v>
      </c>
      <c r="E5" s="94" t="s">
        <v>2</v>
      </c>
      <c r="F5" s="91" t="s">
        <v>19</v>
      </c>
      <c r="G5" s="92"/>
      <c r="H5" s="92"/>
      <c r="I5" s="92"/>
      <c r="J5" s="92"/>
      <c r="K5" s="92"/>
      <c r="L5" s="92"/>
      <c r="M5" s="92"/>
      <c r="N5" s="103" t="s">
        <v>20</v>
      </c>
      <c r="O5" s="104"/>
      <c r="P5" s="104"/>
      <c r="Q5" s="104"/>
      <c r="R5" s="104"/>
      <c r="S5" s="104"/>
      <c r="T5" s="104"/>
      <c r="U5" s="104"/>
      <c r="V5" s="96" t="s">
        <v>5</v>
      </c>
      <c r="W5" s="96" t="s">
        <v>9</v>
      </c>
      <c r="X5" s="12"/>
      <c r="Y5" s="96" t="s">
        <v>17</v>
      </c>
      <c r="Z5" s="13"/>
    </row>
    <row r="6" spans="2:26" ht="119.25" thickTop="1" thickBot="1" x14ac:dyDescent="0.25">
      <c r="B6" s="102"/>
      <c r="C6" s="100"/>
      <c r="D6" s="97"/>
      <c r="E6" s="95"/>
      <c r="F6" s="10" t="s">
        <v>37</v>
      </c>
      <c r="G6" s="10" t="s">
        <v>38</v>
      </c>
      <c r="H6" s="10" t="s">
        <v>48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30</v>
      </c>
      <c r="O6" s="10" t="s">
        <v>31</v>
      </c>
      <c r="P6" s="10" t="s">
        <v>13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99"/>
      <c r="W6" s="99"/>
      <c r="X6" s="10" t="s">
        <v>16</v>
      </c>
      <c r="Y6" s="99"/>
      <c r="Z6" s="11" t="s">
        <v>18</v>
      </c>
    </row>
    <row r="7" spans="2:26" ht="20.25" thickTop="1" thickBot="1" x14ac:dyDescent="0.35">
      <c r="B7" s="79">
        <v>-1</v>
      </c>
      <c r="C7" s="67" t="s">
        <v>59</v>
      </c>
      <c r="D7" s="71" t="s">
        <v>64</v>
      </c>
      <c r="E7" s="5" t="s">
        <v>6</v>
      </c>
      <c r="F7" s="22">
        <f>IF(IF(F10=0,0,4),4,0)</f>
        <v>0</v>
      </c>
      <c r="G7" s="22">
        <f>IF(IF(G10=0,0,2),2,0)</f>
        <v>0</v>
      </c>
      <c r="H7" s="22">
        <f>IF(IF(H10=0,0,3),3,0)</f>
        <v>0</v>
      </c>
      <c r="I7" s="22">
        <f>IF(IF(I10=0,0,2),2,0)</f>
        <v>0</v>
      </c>
      <c r="J7" s="22">
        <f>IF(IF(J10=0,0,3),3,0)</f>
        <v>0</v>
      </c>
      <c r="K7" s="22">
        <f>IF(IF(K10=0,0,3),3,0)</f>
        <v>0</v>
      </c>
      <c r="L7" s="22">
        <f>IF(IF(L10=0,0,3),3,0)</f>
        <v>0</v>
      </c>
      <c r="M7" s="22">
        <f>IF(IF(M10=0,0,3),3,0)</f>
        <v>0</v>
      </c>
      <c r="N7" s="22">
        <f>IF(IF(N10=0,0,2),2,0)</f>
        <v>0</v>
      </c>
      <c r="O7" s="22">
        <f>IF(IF(O10=0,0,3),3,0)</f>
        <v>0</v>
      </c>
      <c r="P7" s="22">
        <f>IF(IF(P10=0,0,4),4,0)</f>
        <v>0</v>
      </c>
      <c r="Q7" s="22">
        <f>IF(IF(Q10=0,0,3),3,0)</f>
        <v>0</v>
      </c>
      <c r="R7" s="22">
        <f>IF(IF(R10=0,0,3),3,0)</f>
        <v>0</v>
      </c>
      <c r="S7" s="22">
        <f>IF(IF(S10=0,0,4),4,0)</f>
        <v>0</v>
      </c>
      <c r="T7" s="22">
        <f>IF(IF(T10=0,0,3),3,0)</f>
        <v>0</v>
      </c>
      <c r="U7" s="22">
        <f>IF(IF(U10=0,0,3),3,0)</f>
        <v>0</v>
      </c>
      <c r="V7" s="22">
        <f>SUM(F7:U7)</f>
        <v>0</v>
      </c>
      <c r="W7" s="23"/>
      <c r="X7" s="71" t="s">
        <v>60</v>
      </c>
      <c r="Y7" s="71" t="s">
        <v>61</v>
      </c>
      <c r="Z7" s="85"/>
    </row>
    <row r="8" spans="2:26" ht="19.5" thickTop="1" thickBot="1" x14ac:dyDescent="0.3">
      <c r="B8" s="80"/>
      <c r="C8" s="68"/>
      <c r="D8" s="72"/>
      <c r="E8" s="14" t="s">
        <v>66</v>
      </c>
      <c r="F8" s="24"/>
      <c r="G8" s="24"/>
      <c r="H8" s="24"/>
      <c r="I8" s="25"/>
      <c r="J8" s="25"/>
      <c r="K8" s="25"/>
      <c r="L8" s="25"/>
      <c r="M8" s="25"/>
      <c r="N8" s="24">
        <v>0</v>
      </c>
      <c r="O8" s="24">
        <v>0</v>
      </c>
      <c r="P8" s="25">
        <v>0</v>
      </c>
      <c r="Q8" s="24">
        <v>0</v>
      </c>
      <c r="R8" s="25">
        <v>0</v>
      </c>
      <c r="S8" s="25">
        <v>0</v>
      </c>
      <c r="T8" s="24">
        <v>0</v>
      </c>
      <c r="U8" s="24">
        <v>0</v>
      </c>
      <c r="V8" s="25"/>
      <c r="W8" s="26"/>
      <c r="X8" s="72"/>
      <c r="Y8" s="72"/>
      <c r="Z8" s="86"/>
    </row>
    <row r="9" spans="2:26" ht="19.5" thickTop="1" thickBot="1" x14ac:dyDescent="0.3">
      <c r="B9" s="80"/>
      <c r="C9" s="68"/>
      <c r="D9" s="72"/>
      <c r="E9" s="15" t="s">
        <v>4</v>
      </c>
      <c r="F9" s="27"/>
      <c r="G9" s="27"/>
      <c r="H9" s="27"/>
      <c r="I9" s="27"/>
      <c r="J9" s="27"/>
      <c r="K9" s="27"/>
      <c r="L9" s="27"/>
      <c r="M9" s="27"/>
      <c r="N9" s="24">
        <v>0</v>
      </c>
      <c r="O9" s="24">
        <v>0</v>
      </c>
      <c r="P9" s="25">
        <v>0</v>
      </c>
      <c r="Q9" s="24">
        <v>0</v>
      </c>
      <c r="R9" s="25">
        <v>0</v>
      </c>
      <c r="S9" s="25">
        <v>0</v>
      </c>
      <c r="T9" s="24">
        <v>0</v>
      </c>
      <c r="U9" s="24">
        <v>0</v>
      </c>
      <c r="V9" s="28"/>
      <c r="W9" s="29"/>
      <c r="X9" s="72"/>
      <c r="Y9" s="72"/>
      <c r="Z9" s="86"/>
    </row>
    <row r="10" spans="2:26" ht="19.5" thickTop="1" thickBot="1" x14ac:dyDescent="0.3">
      <c r="B10" s="80"/>
      <c r="C10" s="68"/>
      <c r="D10" s="72"/>
      <c r="E10" s="16" t="s">
        <v>5</v>
      </c>
      <c r="F10" s="27">
        <f t="shared" ref="F10:M10" si="0">IF(F9&lt;30,F8,F8+F9)</f>
        <v>0</v>
      </c>
      <c r="G10" s="27">
        <f t="shared" si="0"/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>IF(N9&lt;30,N8,N8+N9)</f>
        <v>0</v>
      </c>
      <c r="O10" s="27">
        <f>IF(O9&lt;30,O8,O8+O9)</f>
        <v>0</v>
      </c>
      <c r="P10" s="27">
        <f>IF(P9&lt;30,P8,P8+P9)</f>
        <v>0</v>
      </c>
      <c r="Q10" s="27">
        <f>IF(Q9&lt;30,Q8,Q8+Q9)</f>
        <v>0</v>
      </c>
      <c r="R10" s="27">
        <f>IF(R9&lt;30,R8,R8+R9)</f>
        <v>0</v>
      </c>
      <c r="S10" s="27">
        <v>0</v>
      </c>
      <c r="T10" s="27">
        <f>IF(T9&lt;30,T8,T8+T9)</f>
        <v>0</v>
      </c>
      <c r="U10" s="27">
        <f>IF(U9&lt;30,U8,U8+U9)</f>
        <v>0</v>
      </c>
      <c r="V10" s="28"/>
      <c r="W10" s="29"/>
      <c r="X10" s="72"/>
      <c r="Y10" s="72"/>
      <c r="Z10" s="86"/>
    </row>
    <row r="11" spans="2:26" ht="22.5" customHeight="1" thickTop="1" thickBot="1" x14ac:dyDescent="0.3">
      <c r="B11" s="81"/>
      <c r="C11" s="70"/>
      <c r="D11" s="73"/>
      <c r="E11" s="17" t="s">
        <v>7</v>
      </c>
      <c r="F11" s="21">
        <f t="shared" ref="F11:M11" si="1">SUM(F7*F10)</f>
        <v>0</v>
      </c>
      <c r="G11" s="21">
        <f t="shared" si="1"/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  <c r="M11" s="21">
        <f t="shared" si="1"/>
        <v>0</v>
      </c>
      <c r="N11" s="21">
        <f>SUM(N7*N10)</f>
        <v>0</v>
      </c>
      <c r="O11" s="21">
        <f t="shared" ref="O11:U11" si="2">SUM(O7*O10)</f>
        <v>0</v>
      </c>
      <c r="P11" s="21">
        <f t="shared" si="2"/>
        <v>0</v>
      </c>
      <c r="Q11" s="21">
        <f t="shared" si="2"/>
        <v>0</v>
      </c>
      <c r="R11" s="21">
        <f t="shared" si="2"/>
        <v>0</v>
      </c>
      <c r="S11" s="21">
        <f t="shared" si="2"/>
        <v>0</v>
      </c>
      <c r="T11" s="21">
        <f t="shared" si="2"/>
        <v>0</v>
      </c>
      <c r="U11" s="21">
        <f t="shared" si="2"/>
        <v>0</v>
      </c>
      <c r="V11" s="30">
        <f>SUM(F11:U11)</f>
        <v>0</v>
      </c>
      <c r="W11" s="31" t="e">
        <f>SUM(V11/V7)</f>
        <v>#DIV/0!</v>
      </c>
      <c r="X11" s="73"/>
      <c r="Y11" s="73"/>
      <c r="Z11" s="87"/>
    </row>
    <row r="12" spans="2:26" ht="20.25" thickTop="1" thickBot="1" x14ac:dyDescent="0.35">
      <c r="B12" s="79">
        <v>-2</v>
      </c>
      <c r="C12" s="67"/>
      <c r="D12" s="72"/>
      <c r="E12" s="5" t="s">
        <v>6</v>
      </c>
      <c r="F12" s="22">
        <f>IF(IF(F15=0,0,4),4,0)</f>
        <v>0</v>
      </c>
      <c r="G12" s="22">
        <f>IF(IF(G15=0,0,2),2,0)</f>
        <v>0</v>
      </c>
      <c r="H12" s="22">
        <f>IF(IF(H15=0,0,3),3,0)</f>
        <v>0</v>
      </c>
      <c r="I12" s="22">
        <f>IF(IF(I15=0,0,2),2,0)</f>
        <v>0</v>
      </c>
      <c r="J12" s="22">
        <f>IF(IF(J15=0,0,3),3,0)</f>
        <v>0</v>
      </c>
      <c r="K12" s="22">
        <f>IF(IF(K15=0,0,3),3,0)</f>
        <v>0</v>
      </c>
      <c r="L12" s="22">
        <f>IF(IF(L15=0,0,3),3,0)</f>
        <v>0</v>
      </c>
      <c r="M12" s="22">
        <f>IF(IF(M15=0,0,3),3,0)</f>
        <v>0</v>
      </c>
      <c r="N12" s="22">
        <f>IF(IF(N15=0,0,2),2,0)</f>
        <v>0</v>
      </c>
      <c r="O12" s="22">
        <f>IF(IF(O15=0,0,3),3,0)</f>
        <v>0</v>
      </c>
      <c r="P12" s="22">
        <f>IF(IF(P15=0,0,4),4,0)</f>
        <v>0</v>
      </c>
      <c r="Q12" s="22">
        <f>IF(IF(Q15=0,0,3),3,0)</f>
        <v>0</v>
      </c>
      <c r="R12" s="22">
        <f>IF(IF(R15=0,0,3),3,0)</f>
        <v>0</v>
      </c>
      <c r="S12" s="22">
        <f>IF(IF(S15=0,0,4),4,0)</f>
        <v>0</v>
      </c>
      <c r="T12" s="22">
        <f>IF(IF(T15=0,0,3),3,0)</f>
        <v>0</v>
      </c>
      <c r="U12" s="22">
        <f>IF(IF(U15=0,0,3),3,0)</f>
        <v>0</v>
      </c>
      <c r="V12" s="22">
        <f>SUM(F12:U12)</f>
        <v>0</v>
      </c>
      <c r="W12" s="23"/>
      <c r="X12" s="82"/>
      <c r="Y12" s="82"/>
      <c r="Z12" s="106"/>
    </row>
    <row r="13" spans="2:26" ht="19.5" thickTop="1" thickBot="1" x14ac:dyDescent="0.3">
      <c r="B13" s="80"/>
      <c r="C13" s="68"/>
      <c r="D13" s="72"/>
      <c r="E13" s="14" t="s">
        <v>66</v>
      </c>
      <c r="F13" s="24"/>
      <c r="G13" s="24"/>
      <c r="H13" s="24"/>
      <c r="I13" s="25"/>
      <c r="J13" s="25"/>
      <c r="K13" s="25"/>
      <c r="L13" s="25"/>
      <c r="M13" s="25"/>
      <c r="N13" s="24">
        <v>0</v>
      </c>
      <c r="O13" s="24">
        <v>0</v>
      </c>
      <c r="P13" s="25">
        <v>0</v>
      </c>
      <c r="Q13" s="24">
        <v>0</v>
      </c>
      <c r="R13" s="25">
        <v>0</v>
      </c>
      <c r="S13" s="25">
        <v>0</v>
      </c>
      <c r="T13" s="24">
        <v>0</v>
      </c>
      <c r="U13" s="24">
        <v>0</v>
      </c>
      <c r="V13" s="25"/>
      <c r="W13" s="26"/>
      <c r="X13" s="83"/>
      <c r="Y13" s="83"/>
      <c r="Z13" s="86"/>
    </row>
    <row r="14" spans="2:26" ht="19.5" thickTop="1" thickBot="1" x14ac:dyDescent="0.3">
      <c r="B14" s="80"/>
      <c r="C14" s="68"/>
      <c r="D14" s="72"/>
      <c r="E14" s="15" t="s">
        <v>4</v>
      </c>
      <c r="F14" s="27"/>
      <c r="G14" s="27"/>
      <c r="H14" s="27"/>
      <c r="I14" s="27"/>
      <c r="J14" s="27"/>
      <c r="K14" s="27"/>
      <c r="L14" s="27"/>
      <c r="M14" s="27"/>
      <c r="N14" s="24">
        <v>0</v>
      </c>
      <c r="O14" s="24">
        <v>0</v>
      </c>
      <c r="P14" s="25">
        <v>0</v>
      </c>
      <c r="Q14" s="24">
        <v>0</v>
      </c>
      <c r="R14" s="25">
        <v>0</v>
      </c>
      <c r="S14" s="25">
        <v>0</v>
      </c>
      <c r="T14" s="24">
        <v>0</v>
      </c>
      <c r="U14" s="24">
        <v>0</v>
      </c>
      <c r="V14" s="28"/>
      <c r="W14" s="29"/>
      <c r="X14" s="83"/>
      <c r="Y14" s="83"/>
      <c r="Z14" s="86"/>
    </row>
    <row r="15" spans="2:26" ht="19.5" thickTop="1" thickBot="1" x14ac:dyDescent="0.3">
      <c r="B15" s="80"/>
      <c r="C15" s="68"/>
      <c r="D15" s="72"/>
      <c r="E15" s="16" t="s">
        <v>5</v>
      </c>
      <c r="F15" s="27">
        <f t="shared" ref="F15:M15" si="3">IF(F14&lt;30,F13,F13+F14)</f>
        <v>0</v>
      </c>
      <c r="G15" s="27">
        <f t="shared" si="3"/>
        <v>0</v>
      </c>
      <c r="H15" s="27">
        <f t="shared" si="3"/>
        <v>0</v>
      </c>
      <c r="I15" s="27">
        <f t="shared" si="3"/>
        <v>0</v>
      </c>
      <c r="J15" s="27">
        <f t="shared" si="3"/>
        <v>0</v>
      </c>
      <c r="K15" s="27">
        <f t="shared" si="3"/>
        <v>0</v>
      </c>
      <c r="L15" s="27">
        <f t="shared" si="3"/>
        <v>0</v>
      </c>
      <c r="M15" s="27">
        <f t="shared" si="3"/>
        <v>0</v>
      </c>
      <c r="N15" s="27">
        <f>IF(N14&lt;30,N13,N13+N14)</f>
        <v>0</v>
      </c>
      <c r="O15" s="27">
        <f>IF(O14&lt;30,O13,O13+O14)</f>
        <v>0</v>
      </c>
      <c r="P15" s="27">
        <f>IF(P14&lt;30,P13,P13+P14)</f>
        <v>0</v>
      </c>
      <c r="Q15" s="27">
        <f>IF(Q14&lt;30,Q13,Q13+Q14)</f>
        <v>0</v>
      </c>
      <c r="R15" s="27">
        <f>IF(R14&lt;30,R13,R13+R14)</f>
        <v>0</v>
      </c>
      <c r="S15" s="27">
        <v>0</v>
      </c>
      <c r="T15" s="27">
        <f>IF(T14&lt;30,T13,T13+T14)</f>
        <v>0</v>
      </c>
      <c r="U15" s="27">
        <f>IF(U14&lt;30,U13,U13+U14)</f>
        <v>0</v>
      </c>
      <c r="V15" s="28"/>
      <c r="W15" s="29"/>
      <c r="X15" s="83"/>
      <c r="Y15" s="83"/>
      <c r="Z15" s="86"/>
    </row>
    <row r="16" spans="2:26" ht="21" customHeight="1" thickTop="1" thickBot="1" x14ac:dyDescent="0.3">
      <c r="B16" s="81"/>
      <c r="C16" s="70"/>
      <c r="D16" s="73"/>
      <c r="E16" s="17" t="s">
        <v>7</v>
      </c>
      <c r="F16" s="21">
        <f t="shared" ref="F16:M16" si="4">SUM(F12*F15)</f>
        <v>0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>SUM(K12*K15)</f>
        <v>0</v>
      </c>
      <c r="L16" s="21">
        <f>SUM(L12*L15)</f>
        <v>0</v>
      </c>
      <c r="M16" s="21">
        <f t="shared" si="4"/>
        <v>0</v>
      </c>
      <c r="N16" s="21">
        <f>SUM(N12*N15)</f>
        <v>0</v>
      </c>
      <c r="O16" s="21">
        <f t="shared" ref="O16:U16" si="5">SUM(O12*O15)</f>
        <v>0</v>
      </c>
      <c r="P16" s="21">
        <f t="shared" si="5"/>
        <v>0</v>
      </c>
      <c r="Q16" s="21">
        <f t="shared" si="5"/>
        <v>0</v>
      </c>
      <c r="R16" s="21">
        <f t="shared" si="5"/>
        <v>0</v>
      </c>
      <c r="S16" s="21">
        <f t="shared" si="5"/>
        <v>0</v>
      </c>
      <c r="T16" s="21">
        <f t="shared" si="5"/>
        <v>0</v>
      </c>
      <c r="U16" s="21">
        <f t="shared" si="5"/>
        <v>0</v>
      </c>
      <c r="V16" s="30">
        <f>SUM(F16:U16)</f>
        <v>0</v>
      </c>
      <c r="W16" s="31" t="e">
        <f>SUM(V16/V12)</f>
        <v>#DIV/0!</v>
      </c>
      <c r="X16" s="84"/>
      <c r="Y16" s="84"/>
      <c r="Z16" s="87"/>
    </row>
    <row r="17" spans="2:26" ht="20.25" thickTop="1" thickBot="1" x14ac:dyDescent="0.35">
      <c r="B17" s="79">
        <v>-3</v>
      </c>
      <c r="C17" s="67"/>
      <c r="D17" s="72"/>
      <c r="E17" s="6" t="s">
        <v>6</v>
      </c>
      <c r="F17" s="22">
        <f>IF(IF(F20=0,0,4),4,0)</f>
        <v>0</v>
      </c>
      <c r="G17" s="22">
        <f>IF(IF(G20=0,0,2),2,0)</f>
        <v>0</v>
      </c>
      <c r="H17" s="22">
        <f>IF(IF(H20=0,0,3),3,0)</f>
        <v>0</v>
      </c>
      <c r="I17" s="22">
        <f>IF(IF(I20=0,0,2),2,0)</f>
        <v>0</v>
      </c>
      <c r="J17" s="22">
        <f>IF(IF(J20=0,0,3),3,0)</f>
        <v>0</v>
      </c>
      <c r="K17" s="22">
        <f>IF(IF(K20=0,0,3),3,0)</f>
        <v>0</v>
      </c>
      <c r="L17" s="22">
        <f>IF(IF(L20=0,0,3),3,0)</f>
        <v>0</v>
      </c>
      <c r="M17" s="22">
        <f>IF(IF(M20=0,0,3),3,0)</f>
        <v>0</v>
      </c>
      <c r="N17" s="22">
        <f>IF(IF(N20=0,0,2),2,0)</f>
        <v>0</v>
      </c>
      <c r="O17" s="22">
        <f>IF(IF(O20=0,0,3),3,0)</f>
        <v>0</v>
      </c>
      <c r="P17" s="22">
        <f>IF(IF(P20=0,0,4),4,0)</f>
        <v>0</v>
      </c>
      <c r="Q17" s="22">
        <f>IF(IF(Q20=0,0,3),3,0)</f>
        <v>0</v>
      </c>
      <c r="R17" s="22">
        <f>IF(IF(R20=0,0,3),3,0)</f>
        <v>0</v>
      </c>
      <c r="S17" s="22">
        <f>IF(IF(S20=0,0,4),4,0)</f>
        <v>0</v>
      </c>
      <c r="T17" s="22">
        <f>IF(IF(T20=0,0,3),3,0)</f>
        <v>0</v>
      </c>
      <c r="U17" s="22">
        <f>IF(IF(U20=0,0,3),3,0)</f>
        <v>0</v>
      </c>
      <c r="V17" s="22">
        <f>SUM(F17:U17)</f>
        <v>0</v>
      </c>
      <c r="W17" s="23"/>
      <c r="X17" s="82"/>
      <c r="Y17" s="82"/>
      <c r="Z17" s="106"/>
    </row>
    <row r="18" spans="2:26" ht="19.5" thickTop="1" thickBot="1" x14ac:dyDescent="0.3">
      <c r="B18" s="80"/>
      <c r="C18" s="68"/>
      <c r="D18" s="72"/>
      <c r="E18" s="18" t="s">
        <v>66</v>
      </c>
      <c r="F18" s="24"/>
      <c r="G18" s="24"/>
      <c r="H18" s="24"/>
      <c r="I18" s="25"/>
      <c r="J18" s="25"/>
      <c r="K18" s="25"/>
      <c r="L18" s="25"/>
      <c r="M18" s="25"/>
      <c r="N18" s="24">
        <v>0</v>
      </c>
      <c r="O18" s="24">
        <v>0</v>
      </c>
      <c r="P18" s="25">
        <v>0</v>
      </c>
      <c r="Q18" s="24">
        <v>0</v>
      </c>
      <c r="R18" s="25">
        <v>0</v>
      </c>
      <c r="S18" s="25">
        <v>0</v>
      </c>
      <c r="T18" s="24">
        <v>0</v>
      </c>
      <c r="U18" s="24">
        <v>0</v>
      </c>
      <c r="V18" s="25"/>
      <c r="W18" s="26"/>
      <c r="X18" s="83"/>
      <c r="Y18" s="83"/>
      <c r="Z18" s="86"/>
    </row>
    <row r="19" spans="2:26" ht="19.5" thickTop="1" thickBot="1" x14ac:dyDescent="0.3">
      <c r="B19" s="80"/>
      <c r="C19" s="68"/>
      <c r="D19" s="72"/>
      <c r="E19" s="15" t="s">
        <v>4</v>
      </c>
      <c r="F19" s="27"/>
      <c r="G19" s="27"/>
      <c r="H19" s="27"/>
      <c r="I19" s="27"/>
      <c r="J19" s="27"/>
      <c r="K19" s="27"/>
      <c r="L19" s="27"/>
      <c r="M19" s="27"/>
      <c r="N19" s="24">
        <v>0</v>
      </c>
      <c r="O19" s="24">
        <v>0</v>
      </c>
      <c r="P19" s="25">
        <v>0</v>
      </c>
      <c r="Q19" s="24">
        <v>0</v>
      </c>
      <c r="R19" s="25">
        <v>0</v>
      </c>
      <c r="S19" s="25">
        <v>0</v>
      </c>
      <c r="T19" s="24">
        <v>0</v>
      </c>
      <c r="U19" s="24">
        <v>0</v>
      </c>
      <c r="V19" s="28"/>
      <c r="W19" s="29"/>
      <c r="X19" s="83"/>
      <c r="Y19" s="83"/>
      <c r="Z19" s="86"/>
    </row>
    <row r="20" spans="2:26" ht="19.5" thickTop="1" thickBot="1" x14ac:dyDescent="0.3">
      <c r="B20" s="80"/>
      <c r="C20" s="68"/>
      <c r="D20" s="72"/>
      <c r="E20" s="16" t="s">
        <v>5</v>
      </c>
      <c r="F20" s="27">
        <f t="shared" ref="F20:M20" si="6">IF(F19&lt;30,F18,F18+F19)</f>
        <v>0</v>
      </c>
      <c r="G20" s="27">
        <f t="shared" si="6"/>
        <v>0</v>
      </c>
      <c r="H20" s="27">
        <f t="shared" si="6"/>
        <v>0</v>
      </c>
      <c r="I20" s="27">
        <f t="shared" si="6"/>
        <v>0</v>
      </c>
      <c r="J20" s="27">
        <f t="shared" si="6"/>
        <v>0</v>
      </c>
      <c r="K20" s="27">
        <f t="shared" si="6"/>
        <v>0</v>
      </c>
      <c r="L20" s="27">
        <f t="shared" si="6"/>
        <v>0</v>
      </c>
      <c r="M20" s="27">
        <f t="shared" si="6"/>
        <v>0</v>
      </c>
      <c r="N20" s="27">
        <f>IF(N19&lt;30,N18,N18+N19)</f>
        <v>0</v>
      </c>
      <c r="O20" s="27">
        <f>IF(O19&lt;30,O18,O18+O19)</f>
        <v>0</v>
      </c>
      <c r="P20" s="27">
        <f>IF(P19&lt;30,P18,P18+P19)</f>
        <v>0</v>
      </c>
      <c r="Q20" s="27">
        <f>IF(Q19&lt;30,Q18,Q18+Q19)</f>
        <v>0</v>
      </c>
      <c r="R20" s="27">
        <f>IF(R19&lt;30,R18,R18+R19)</f>
        <v>0</v>
      </c>
      <c r="S20" s="27"/>
      <c r="T20" s="27">
        <f>IF(T19&lt;30,T18,T18+T19)</f>
        <v>0</v>
      </c>
      <c r="U20" s="27">
        <f>IF(U19&lt;30,U18,U18+U19)</f>
        <v>0</v>
      </c>
      <c r="V20" s="28"/>
      <c r="W20" s="29"/>
      <c r="X20" s="83"/>
      <c r="Y20" s="83"/>
      <c r="Z20" s="86"/>
    </row>
    <row r="21" spans="2:26" ht="17.25" customHeight="1" thickTop="1" thickBot="1" x14ac:dyDescent="0.3">
      <c r="B21" s="81"/>
      <c r="C21" s="70"/>
      <c r="D21" s="73"/>
      <c r="E21" s="20" t="s">
        <v>7</v>
      </c>
      <c r="F21" s="21">
        <f t="shared" ref="F21:M21" si="7">SUM(F17*F20)</f>
        <v>0</v>
      </c>
      <c r="G21" s="21">
        <f t="shared" si="7"/>
        <v>0</v>
      </c>
      <c r="H21" s="21">
        <f t="shared" si="7"/>
        <v>0</v>
      </c>
      <c r="I21" s="21">
        <f t="shared" si="7"/>
        <v>0</v>
      </c>
      <c r="J21" s="21">
        <f t="shared" si="7"/>
        <v>0</v>
      </c>
      <c r="K21" s="21">
        <f t="shared" si="7"/>
        <v>0</v>
      </c>
      <c r="L21" s="21">
        <f t="shared" si="7"/>
        <v>0</v>
      </c>
      <c r="M21" s="21">
        <f t="shared" si="7"/>
        <v>0</v>
      </c>
      <c r="N21" s="21">
        <f>SUM(N17*N20)</f>
        <v>0</v>
      </c>
      <c r="O21" s="21">
        <f t="shared" ref="O21:U21" si="8">SUM(O17*O20)</f>
        <v>0</v>
      </c>
      <c r="P21" s="21">
        <f t="shared" si="8"/>
        <v>0</v>
      </c>
      <c r="Q21" s="21">
        <f t="shared" si="8"/>
        <v>0</v>
      </c>
      <c r="R21" s="21">
        <f t="shared" si="8"/>
        <v>0</v>
      </c>
      <c r="S21" s="21">
        <f t="shared" si="8"/>
        <v>0</v>
      </c>
      <c r="T21" s="21">
        <f t="shared" si="8"/>
        <v>0</v>
      </c>
      <c r="U21" s="21">
        <f t="shared" si="8"/>
        <v>0</v>
      </c>
      <c r="V21" s="30">
        <f>SUM(F21:U21)</f>
        <v>0</v>
      </c>
      <c r="W21" s="31" t="e">
        <f>SUM(V21/V17)</f>
        <v>#DIV/0!</v>
      </c>
      <c r="X21" s="84"/>
      <c r="Y21" s="84"/>
      <c r="Z21" s="87"/>
    </row>
    <row r="22" spans="2:26" ht="20.25" thickTop="1" thickBot="1" x14ac:dyDescent="0.35">
      <c r="B22" s="79">
        <v>-4</v>
      </c>
      <c r="C22" s="67"/>
      <c r="D22" s="72"/>
      <c r="E22" s="6" t="s">
        <v>6</v>
      </c>
      <c r="F22" s="22">
        <f>IF(IF(F25=0,0,4),4,0)</f>
        <v>0</v>
      </c>
      <c r="G22" s="22">
        <f>IF(IF(G25=0,0,2),2,0)</f>
        <v>0</v>
      </c>
      <c r="H22" s="22">
        <f>IF(IF(H25=0,0,3),3,0)</f>
        <v>0</v>
      </c>
      <c r="I22" s="22">
        <f>IF(IF(I25=0,0,2),2,0)</f>
        <v>0</v>
      </c>
      <c r="J22" s="22">
        <f>IF(IF(J25=0,0,3),3,0)</f>
        <v>0</v>
      </c>
      <c r="K22" s="22">
        <f>IF(IF(K25=0,0,3),3,0)</f>
        <v>0</v>
      </c>
      <c r="L22" s="22">
        <f>IF(IF(L25=0,0,3),3,0)</f>
        <v>0</v>
      </c>
      <c r="M22" s="22">
        <f>IF(IF(M25=0,0,3),3,0)</f>
        <v>0</v>
      </c>
      <c r="N22" s="22">
        <f>IF(IF(N25=0,0,2),2,0)</f>
        <v>0</v>
      </c>
      <c r="O22" s="22">
        <f>IF(IF(O25=0,0,3),3,0)</f>
        <v>0</v>
      </c>
      <c r="P22" s="22">
        <f>IF(IF(P25=0,0,4),4,0)</f>
        <v>0</v>
      </c>
      <c r="Q22" s="22">
        <f>IF(IF(Q25=0,0,3),3,0)</f>
        <v>0</v>
      </c>
      <c r="R22" s="22">
        <f>IF(IF(R25=0,0,3),3,0)</f>
        <v>0</v>
      </c>
      <c r="S22" s="22">
        <f>IF(IF(S25=0,0,4),4,0)</f>
        <v>0</v>
      </c>
      <c r="T22" s="22">
        <f>IF(IF(T25=0,0,3),3,0)</f>
        <v>0</v>
      </c>
      <c r="U22" s="22">
        <f>IF(IF(U25=0,0,3),3,0)</f>
        <v>0</v>
      </c>
      <c r="V22" s="22">
        <f>SUM(F22:U22)</f>
        <v>0</v>
      </c>
      <c r="W22" s="23"/>
      <c r="X22" s="82"/>
      <c r="Y22" s="82"/>
      <c r="Z22" s="106"/>
    </row>
    <row r="23" spans="2:26" ht="19.5" thickTop="1" thickBot="1" x14ac:dyDescent="0.3">
      <c r="B23" s="80"/>
      <c r="C23" s="68"/>
      <c r="D23" s="72"/>
      <c r="E23" s="18" t="s">
        <v>66</v>
      </c>
      <c r="F23" s="24"/>
      <c r="G23" s="24"/>
      <c r="H23" s="24"/>
      <c r="I23" s="25"/>
      <c r="J23" s="25"/>
      <c r="K23" s="25"/>
      <c r="L23" s="25"/>
      <c r="M23" s="25"/>
      <c r="N23" s="24">
        <v>0</v>
      </c>
      <c r="O23" s="24">
        <v>0</v>
      </c>
      <c r="P23" s="25">
        <v>0</v>
      </c>
      <c r="Q23" s="24">
        <v>0</v>
      </c>
      <c r="R23" s="25">
        <v>0</v>
      </c>
      <c r="S23" s="25">
        <v>0</v>
      </c>
      <c r="T23" s="24">
        <v>0</v>
      </c>
      <c r="U23" s="24">
        <v>0</v>
      </c>
      <c r="V23" s="25"/>
      <c r="W23" s="26"/>
      <c r="X23" s="83"/>
      <c r="Y23" s="83"/>
      <c r="Z23" s="86"/>
    </row>
    <row r="24" spans="2:26" ht="19.5" thickTop="1" thickBot="1" x14ac:dyDescent="0.3">
      <c r="B24" s="80"/>
      <c r="C24" s="68"/>
      <c r="D24" s="72"/>
      <c r="E24" s="15" t="s">
        <v>4</v>
      </c>
      <c r="F24" s="27"/>
      <c r="G24" s="27"/>
      <c r="H24" s="27"/>
      <c r="I24" s="27"/>
      <c r="J24" s="27"/>
      <c r="K24" s="27"/>
      <c r="L24" s="27"/>
      <c r="M24" s="27"/>
      <c r="N24" s="24">
        <v>0</v>
      </c>
      <c r="O24" s="24">
        <v>0</v>
      </c>
      <c r="P24" s="25">
        <v>0</v>
      </c>
      <c r="Q24" s="24">
        <v>0</v>
      </c>
      <c r="R24" s="25">
        <v>0</v>
      </c>
      <c r="S24" s="25">
        <v>0</v>
      </c>
      <c r="T24" s="24">
        <v>0</v>
      </c>
      <c r="U24" s="24">
        <v>0</v>
      </c>
      <c r="V24" s="28"/>
      <c r="W24" s="29"/>
      <c r="X24" s="83"/>
      <c r="Y24" s="83"/>
      <c r="Z24" s="86"/>
    </row>
    <row r="25" spans="2:26" ht="19.5" thickTop="1" thickBot="1" x14ac:dyDescent="0.3">
      <c r="B25" s="80"/>
      <c r="C25" s="68"/>
      <c r="D25" s="72"/>
      <c r="E25" s="16" t="s">
        <v>5</v>
      </c>
      <c r="F25" s="27">
        <f t="shared" ref="F25:M25" si="9">IF(F24&lt;30,F23,F23+F24)</f>
        <v>0</v>
      </c>
      <c r="G25" s="27">
        <f t="shared" si="9"/>
        <v>0</v>
      </c>
      <c r="H25" s="27">
        <f t="shared" si="9"/>
        <v>0</v>
      </c>
      <c r="I25" s="27">
        <f t="shared" si="9"/>
        <v>0</v>
      </c>
      <c r="J25" s="27">
        <f t="shared" si="9"/>
        <v>0</v>
      </c>
      <c r="K25" s="27">
        <f t="shared" si="9"/>
        <v>0</v>
      </c>
      <c r="L25" s="27">
        <f t="shared" si="9"/>
        <v>0</v>
      </c>
      <c r="M25" s="27">
        <f t="shared" si="9"/>
        <v>0</v>
      </c>
      <c r="N25" s="27">
        <f>IF(N24&lt;30,N23,N23+N24)</f>
        <v>0</v>
      </c>
      <c r="O25" s="27">
        <f>IF(O24&lt;30,O23,O23+O24)</f>
        <v>0</v>
      </c>
      <c r="P25" s="27">
        <f>IF(P24&lt;30,P23,P23+P24)</f>
        <v>0</v>
      </c>
      <c r="Q25" s="27">
        <f>IF(Q24&lt;30,Q23,Q23+Q24)</f>
        <v>0</v>
      </c>
      <c r="R25" s="27">
        <f>IF(R24&lt;30,R23,R23+R24)</f>
        <v>0</v>
      </c>
      <c r="S25" s="27">
        <v>0</v>
      </c>
      <c r="T25" s="27">
        <f>IF(T24&lt;30,T23,T23+T24)</f>
        <v>0</v>
      </c>
      <c r="U25" s="27">
        <f>IF(U24&lt;30,U23,U23+U24)</f>
        <v>0</v>
      </c>
      <c r="V25" s="28"/>
      <c r="W25" s="29"/>
      <c r="X25" s="83"/>
      <c r="Y25" s="83"/>
      <c r="Z25" s="86"/>
    </row>
    <row r="26" spans="2:26" ht="18.75" customHeight="1" thickTop="1" thickBot="1" x14ac:dyDescent="0.3">
      <c r="B26" s="81"/>
      <c r="C26" s="70"/>
      <c r="D26" s="73"/>
      <c r="E26" s="17" t="s">
        <v>7</v>
      </c>
      <c r="F26" s="32">
        <f t="shared" ref="F26:M26" si="10">SUM(F22*F25)</f>
        <v>0</v>
      </c>
      <c r="G26" s="32">
        <f t="shared" si="10"/>
        <v>0</v>
      </c>
      <c r="H26" s="32">
        <f t="shared" si="10"/>
        <v>0</v>
      </c>
      <c r="I26" s="32">
        <f t="shared" si="10"/>
        <v>0</v>
      </c>
      <c r="J26" s="32">
        <f t="shared" si="10"/>
        <v>0</v>
      </c>
      <c r="K26" s="32">
        <f>SUM(K22*K25)</f>
        <v>0</v>
      </c>
      <c r="L26" s="32">
        <f>SUM(L22*L25)</f>
        <v>0</v>
      </c>
      <c r="M26" s="32">
        <f t="shared" si="10"/>
        <v>0</v>
      </c>
      <c r="N26" s="32">
        <f>SUM(N22*N25)</f>
        <v>0</v>
      </c>
      <c r="O26" s="32">
        <f t="shared" ref="O26:U26" si="11">SUM(O22*O25)</f>
        <v>0</v>
      </c>
      <c r="P26" s="32">
        <f t="shared" si="11"/>
        <v>0</v>
      </c>
      <c r="Q26" s="32">
        <f t="shared" si="11"/>
        <v>0</v>
      </c>
      <c r="R26" s="32">
        <f t="shared" si="11"/>
        <v>0</v>
      </c>
      <c r="S26" s="32">
        <f t="shared" si="11"/>
        <v>0</v>
      </c>
      <c r="T26" s="32">
        <f t="shared" si="11"/>
        <v>0</v>
      </c>
      <c r="U26" s="32">
        <f t="shared" si="11"/>
        <v>0</v>
      </c>
      <c r="V26" s="33">
        <f>SUM(F26:U26)</f>
        <v>0</v>
      </c>
      <c r="W26" s="59" t="e">
        <f>SUM(V26/V22)</f>
        <v>#DIV/0!</v>
      </c>
      <c r="X26" s="84"/>
      <c r="Y26" s="84"/>
      <c r="Z26" s="87"/>
    </row>
    <row r="27" spans="2:26" ht="13.5" thickTop="1" x14ac:dyDescent="0.2"/>
  </sheetData>
  <mergeCells count="33">
    <mergeCell ref="B22:B26"/>
    <mergeCell ref="C22:C26"/>
    <mergeCell ref="D22:D26"/>
    <mergeCell ref="X22:X26"/>
    <mergeCell ref="Y22:Y26"/>
    <mergeCell ref="Z22:Z26"/>
    <mergeCell ref="B17:B21"/>
    <mergeCell ref="C17:C21"/>
    <mergeCell ref="D17:D21"/>
    <mergeCell ref="X17:X21"/>
    <mergeCell ref="Y17:Y21"/>
    <mergeCell ref="Z17:Z21"/>
    <mergeCell ref="Z7:Z11"/>
    <mergeCell ref="B12:B16"/>
    <mergeCell ref="C12:C16"/>
    <mergeCell ref="D12:D16"/>
    <mergeCell ref="X12:X16"/>
    <mergeCell ref="Y12:Y16"/>
    <mergeCell ref="Z12:Z16"/>
    <mergeCell ref="V5:V6"/>
    <mergeCell ref="W5:W6"/>
    <mergeCell ref="Y5:Y6"/>
    <mergeCell ref="B7:B11"/>
    <mergeCell ref="C7:C11"/>
    <mergeCell ref="D7:D11"/>
    <mergeCell ref="X7:X11"/>
    <mergeCell ref="Y7:Y11"/>
    <mergeCell ref="B5:B6"/>
    <mergeCell ref="C5:C6"/>
    <mergeCell ref="D5:D6"/>
    <mergeCell ref="E5:E6"/>
    <mergeCell ref="F5:M5"/>
    <mergeCell ref="N5:U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E4C3-36F6-4065-9C4B-91834F913827}">
  <dimension ref="B4:Y27"/>
  <sheetViews>
    <sheetView rightToLeft="1" topLeftCell="B1" workbookViewId="0">
      <selection activeCell="B5" sqref="B5:B6"/>
    </sheetView>
  </sheetViews>
  <sheetFormatPr defaultRowHeight="12.75" x14ac:dyDescent="0.2"/>
  <cols>
    <col min="3" max="3" width="28.140625" customWidth="1"/>
    <col min="5" max="5" width="26.140625" customWidth="1"/>
    <col min="25" max="25" width="21.140625" customWidth="1"/>
  </cols>
  <sheetData>
    <row r="4" spans="2:25" ht="13.5" thickBot="1" x14ac:dyDescent="0.25"/>
    <row r="5" spans="2:25" ht="16.5" thickTop="1" thickBot="1" x14ac:dyDescent="0.25">
      <c r="B5" s="101" t="s">
        <v>0</v>
      </c>
      <c r="C5" s="94" t="s">
        <v>8</v>
      </c>
      <c r="D5" s="96" t="s">
        <v>1</v>
      </c>
      <c r="E5" s="94" t="s">
        <v>2</v>
      </c>
      <c r="F5" s="91" t="s">
        <v>22</v>
      </c>
      <c r="G5" s="92"/>
      <c r="H5" s="92"/>
      <c r="I5" s="92"/>
      <c r="J5" s="92"/>
      <c r="K5" s="92"/>
      <c r="L5" s="93"/>
      <c r="M5" s="103" t="s">
        <v>21</v>
      </c>
      <c r="N5" s="104"/>
      <c r="O5" s="104"/>
      <c r="P5" s="104"/>
      <c r="Q5" s="104"/>
      <c r="R5" s="104"/>
      <c r="S5" s="104"/>
      <c r="T5" s="104"/>
      <c r="U5" s="96" t="s">
        <v>5</v>
      </c>
      <c r="V5" s="96" t="s">
        <v>9</v>
      </c>
      <c r="W5" s="12"/>
      <c r="X5" s="96" t="s">
        <v>17</v>
      </c>
      <c r="Y5" s="13"/>
    </row>
    <row r="6" spans="2:25" ht="130.5" thickTop="1" thickBot="1" x14ac:dyDescent="0.25">
      <c r="B6" s="102"/>
      <c r="C6" s="100"/>
      <c r="D6" s="97"/>
      <c r="E6" s="95"/>
      <c r="F6" s="10" t="s">
        <v>44</v>
      </c>
      <c r="G6" s="10" t="s">
        <v>45</v>
      </c>
      <c r="H6" s="10" t="s">
        <v>46</v>
      </c>
      <c r="I6" s="10" t="s">
        <v>47</v>
      </c>
      <c r="J6" s="10" t="s">
        <v>49</v>
      </c>
      <c r="K6" s="10" t="s">
        <v>50</v>
      </c>
      <c r="L6" s="10" t="s">
        <v>51</v>
      </c>
      <c r="M6" s="10" t="s">
        <v>37</v>
      </c>
      <c r="N6" s="10" t="s">
        <v>38</v>
      </c>
      <c r="O6" s="10" t="s">
        <v>48</v>
      </c>
      <c r="P6" s="10" t="s">
        <v>39</v>
      </c>
      <c r="Q6" s="10" t="s">
        <v>40</v>
      </c>
      <c r="R6" s="10" t="s">
        <v>41</v>
      </c>
      <c r="S6" s="10" t="s">
        <v>42</v>
      </c>
      <c r="T6" s="10" t="s">
        <v>43</v>
      </c>
      <c r="U6" s="99"/>
      <c r="V6" s="99"/>
      <c r="W6" s="10" t="s">
        <v>16</v>
      </c>
      <c r="X6" s="99"/>
      <c r="Y6" s="11" t="s">
        <v>18</v>
      </c>
    </row>
    <row r="7" spans="2:25" ht="20.25" thickTop="1" thickBot="1" x14ac:dyDescent="0.35">
      <c r="B7" s="79">
        <v>-1</v>
      </c>
      <c r="C7" s="98"/>
      <c r="D7" s="71"/>
      <c r="E7" s="5" t="s">
        <v>6</v>
      </c>
      <c r="F7" s="22">
        <f>IF(IF(F10=0,0,4),4,0)</f>
        <v>0</v>
      </c>
      <c r="G7" s="22">
        <f>IF(IF(G10=0,0,3),3,0)</f>
        <v>0</v>
      </c>
      <c r="H7" s="22">
        <f>IF(IF(H10=0,0,3),3,0)</f>
        <v>0</v>
      </c>
      <c r="I7" s="22">
        <f>IF(IF(I10=0,0,2),2,0)</f>
        <v>0</v>
      </c>
      <c r="J7" s="22">
        <f>IF(IF(J10=0,0,3),3,0)</f>
        <v>0</v>
      </c>
      <c r="K7" s="22">
        <f>IF(IF(K10=0,0,3),3,0)</f>
        <v>0</v>
      </c>
      <c r="L7" s="22">
        <f>IF(IF(L10=0,0,3),3,0)</f>
        <v>0</v>
      </c>
      <c r="M7" s="22">
        <f>IF(IF(M10=0,0,4),4,0)</f>
        <v>0</v>
      </c>
      <c r="N7" s="22">
        <f>IF(IF(N10=0,0,2),2,0)</f>
        <v>0</v>
      </c>
      <c r="O7" s="22">
        <f>IF(IF(O10=0,0,3),3,0)</f>
        <v>0</v>
      </c>
      <c r="P7" s="22">
        <f>IF(IF(P10=0,0,2),2,0)</f>
        <v>0</v>
      </c>
      <c r="Q7" s="22">
        <f>IF(IF(Q10=0,0,3),3,0)</f>
        <v>0</v>
      </c>
      <c r="R7" s="22">
        <f>IF(IF(R10=0,0,3),3,0)</f>
        <v>0</v>
      </c>
      <c r="S7" s="22">
        <f>IF(IF(S10=0,0,3),3,0)</f>
        <v>0</v>
      </c>
      <c r="T7" s="22">
        <f>IF(IF(T10=0,0,3),3,0)</f>
        <v>0</v>
      </c>
      <c r="U7" s="22">
        <f>SUM(F7:T7)</f>
        <v>0</v>
      </c>
      <c r="V7" s="23"/>
      <c r="W7" s="98"/>
      <c r="X7" s="98"/>
      <c r="Y7" s="85"/>
    </row>
    <row r="8" spans="2:25" ht="19.5" thickTop="1" thickBot="1" x14ac:dyDescent="0.3">
      <c r="B8" s="80"/>
      <c r="C8" s="83"/>
      <c r="D8" s="72"/>
      <c r="E8" s="14" t="s">
        <v>66</v>
      </c>
      <c r="F8" s="24"/>
      <c r="G8" s="24"/>
      <c r="H8" s="24"/>
      <c r="I8" s="25"/>
      <c r="J8" s="25"/>
      <c r="K8" s="25"/>
      <c r="L8" s="25"/>
      <c r="M8" s="24">
        <v>0</v>
      </c>
      <c r="N8" s="24">
        <v>0</v>
      </c>
      <c r="O8" s="24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/>
      <c r="V8" s="26"/>
      <c r="W8" s="83"/>
      <c r="X8" s="83"/>
      <c r="Y8" s="86"/>
    </row>
    <row r="9" spans="2:25" ht="19.5" thickTop="1" thickBot="1" x14ac:dyDescent="0.3">
      <c r="B9" s="80"/>
      <c r="C9" s="83"/>
      <c r="D9" s="72"/>
      <c r="E9" s="15" t="s">
        <v>4</v>
      </c>
      <c r="F9" s="27"/>
      <c r="G9" s="27"/>
      <c r="H9" s="27"/>
      <c r="I9" s="27"/>
      <c r="J9" s="27"/>
      <c r="K9" s="27"/>
      <c r="L9" s="27"/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8"/>
      <c r="V9" s="29"/>
      <c r="W9" s="83"/>
      <c r="X9" s="83"/>
      <c r="Y9" s="86"/>
    </row>
    <row r="10" spans="2:25" ht="19.5" thickTop="1" thickBot="1" x14ac:dyDescent="0.3">
      <c r="B10" s="80"/>
      <c r="C10" s="83"/>
      <c r="D10" s="72"/>
      <c r="E10" s="16" t="s">
        <v>5</v>
      </c>
      <c r="F10" s="27">
        <f t="shared" ref="F10:T10" si="0">IF(F9&lt;30,F8,F8+F9)</f>
        <v>0</v>
      </c>
      <c r="G10" s="27">
        <f t="shared" si="0"/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0</v>
      </c>
      <c r="O10" s="27">
        <f t="shared" si="0"/>
        <v>0</v>
      </c>
      <c r="P10" s="27">
        <f t="shared" si="0"/>
        <v>0</v>
      </c>
      <c r="Q10" s="27">
        <f t="shared" si="0"/>
        <v>0</v>
      </c>
      <c r="R10" s="27">
        <f t="shared" si="0"/>
        <v>0</v>
      </c>
      <c r="S10" s="27">
        <f t="shared" si="0"/>
        <v>0</v>
      </c>
      <c r="T10" s="27">
        <f t="shared" si="0"/>
        <v>0</v>
      </c>
      <c r="U10" s="28"/>
      <c r="V10" s="29"/>
      <c r="W10" s="83"/>
      <c r="X10" s="83"/>
      <c r="Y10" s="86"/>
    </row>
    <row r="11" spans="2:25" ht="24.75" customHeight="1" thickTop="1" thickBot="1" x14ac:dyDescent="0.3">
      <c r="B11" s="81"/>
      <c r="C11" s="84"/>
      <c r="D11" s="73"/>
      <c r="E11" s="17" t="s">
        <v>7</v>
      </c>
      <c r="F11" s="21">
        <f t="shared" ref="F11:L11" si="1">SUM(F7*F10)</f>
        <v>0</v>
      </c>
      <c r="G11" s="21">
        <f t="shared" si="1"/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  <c r="M11" s="21">
        <f t="shared" ref="M11:T11" si="2">SUM(M7*M10)</f>
        <v>0</v>
      </c>
      <c r="N11" s="21">
        <f t="shared" si="2"/>
        <v>0</v>
      </c>
      <c r="O11" s="21">
        <f t="shared" si="2"/>
        <v>0</v>
      </c>
      <c r="P11" s="21">
        <f t="shared" si="2"/>
        <v>0</v>
      </c>
      <c r="Q11" s="21">
        <f t="shared" si="2"/>
        <v>0</v>
      </c>
      <c r="R11" s="21">
        <f t="shared" si="2"/>
        <v>0</v>
      </c>
      <c r="S11" s="21">
        <f t="shared" si="2"/>
        <v>0</v>
      </c>
      <c r="T11" s="21">
        <f t="shared" si="2"/>
        <v>0</v>
      </c>
      <c r="U11" s="30">
        <f>SUM(F11:T11)</f>
        <v>0</v>
      </c>
      <c r="V11" s="31" t="e">
        <f>SUM(U11/U7)</f>
        <v>#DIV/0!</v>
      </c>
      <c r="W11" s="84"/>
      <c r="X11" s="84"/>
      <c r="Y11" s="87"/>
    </row>
    <row r="12" spans="2:25" ht="20.25" thickTop="1" thickBot="1" x14ac:dyDescent="0.35">
      <c r="B12" s="79">
        <v>-2</v>
      </c>
      <c r="C12" s="98"/>
      <c r="D12" s="72"/>
      <c r="E12" s="5" t="s">
        <v>6</v>
      </c>
      <c r="F12" s="22">
        <f>IF(IF(F15=0,0,4),4,0)</f>
        <v>0</v>
      </c>
      <c r="G12" s="22">
        <f>IF(IF(G15=0,0,3),3,0)</f>
        <v>0</v>
      </c>
      <c r="H12" s="22">
        <f>IF(IF(H15=0,0,3),3,0)</f>
        <v>0</v>
      </c>
      <c r="I12" s="22">
        <f>IF(IF(I15=0,0,2),2,0)</f>
        <v>0</v>
      </c>
      <c r="J12" s="22">
        <f>IF(IF(J15=0,0,3),3,0)</f>
        <v>0</v>
      </c>
      <c r="K12" s="22">
        <f>IF(IF(K15=0,0,3),3,0)</f>
        <v>0</v>
      </c>
      <c r="L12" s="22">
        <f>IF(IF(L15=0,0,3),3,0)</f>
        <v>0</v>
      </c>
      <c r="M12" s="22">
        <f>IF(IF(M15=0,0,4),4,0)</f>
        <v>0</v>
      </c>
      <c r="N12" s="22">
        <f>IF(IF(N15=0,0,2),2,0)</f>
        <v>0</v>
      </c>
      <c r="O12" s="22">
        <f>IF(IF(O15=0,0,3),3,0)</f>
        <v>0</v>
      </c>
      <c r="P12" s="22">
        <f>IF(IF(P15=0,0,2),2,0)</f>
        <v>0</v>
      </c>
      <c r="Q12" s="22">
        <f>IF(IF(Q15=0,0,3),3,0)</f>
        <v>0</v>
      </c>
      <c r="R12" s="22">
        <f>IF(IF(R15=0,0,3),3,0)</f>
        <v>0</v>
      </c>
      <c r="S12" s="22">
        <f>IF(IF(S15=0,0,3),3,0)</f>
        <v>0</v>
      </c>
      <c r="T12" s="22">
        <f>IF(IF(T15=0,0,3),3,0)</f>
        <v>0</v>
      </c>
      <c r="U12" s="22">
        <f>SUM(F12:T12)</f>
        <v>0</v>
      </c>
      <c r="V12" s="23"/>
      <c r="W12" s="82"/>
      <c r="X12" s="82"/>
      <c r="Y12" s="85"/>
    </row>
    <row r="13" spans="2:25" ht="19.5" thickTop="1" thickBot="1" x14ac:dyDescent="0.3">
      <c r="B13" s="80"/>
      <c r="C13" s="83"/>
      <c r="D13" s="72"/>
      <c r="E13" s="14" t="s">
        <v>66</v>
      </c>
      <c r="F13" s="24"/>
      <c r="G13" s="24"/>
      <c r="H13" s="24"/>
      <c r="I13" s="25"/>
      <c r="J13" s="25"/>
      <c r="K13" s="25"/>
      <c r="L13" s="25"/>
      <c r="M13" s="24">
        <v>0</v>
      </c>
      <c r="N13" s="24">
        <v>0</v>
      </c>
      <c r="O13" s="24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/>
      <c r="V13" s="26"/>
      <c r="W13" s="83"/>
      <c r="X13" s="83"/>
      <c r="Y13" s="86"/>
    </row>
    <row r="14" spans="2:25" ht="19.5" thickTop="1" thickBot="1" x14ac:dyDescent="0.3">
      <c r="B14" s="80"/>
      <c r="C14" s="83"/>
      <c r="D14" s="72"/>
      <c r="E14" s="15" t="s">
        <v>4</v>
      </c>
      <c r="F14" s="27"/>
      <c r="G14" s="27"/>
      <c r="H14" s="27"/>
      <c r="I14" s="27"/>
      <c r="J14" s="27"/>
      <c r="K14" s="27"/>
      <c r="L14" s="27"/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8"/>
      <c r="V14" s="29"/>
      <c r="W14" s="83"/>
      <c r="X14" s="83"/>
      <c r="Y14" s="86"/>
    </row>
    <row r="15" spans="2:25" ht="19.5" thickTop="1" thickBot="1" x14ac:dyDescent="0.3">
      <c r="B15" s="80"/>
      <c r="C15" s="83"/>
      <c r="D15" s="72"/>
      <c r="E15" s="16" t="s">
        <v>5</v>
      </c>
      <c r="F15" s="27">
        <f t="shared" ref="F15:T15" si="3">IF(F14&lt;30,F13,F13+F14)</f>
        <v>0</v>
      </c>
      <c r="G15" s="27">
        <f t="shared" si="3"/>
        <v>0</v>
      </c>
      <c r="H15" s="27">
        <f t="shared" si="3"/>
        <v>0</v>
      </c>
      <c r="I15" s="27">
        <f t="shared" si="3"/>
        <v>0</v>
      </c>
      <c r="J15" s="27">
        <f t="shared" si="3"/>
        <v>0</v>
      </c>
      <c r="K15" s="27">
        <f t="shared" si="3"/>
        <v>0</v>
      </c>
      <c r="L15" s="27">
        <f t="shared" si="3"/>
        <v>0</v>
      </c>
      <c r="M15" s="27">
        <f t="shared" si="3"/>
        <v>0</v>
      </c>
      <c r="N15" s="27">
        <f t="shared" si="3"/>
        <v>0</v>
      </c>
      <c r="O15" s="27">
        <f t="shared" si="3"/>
        <v>0</v>
      </c>
      <c r="P15" s="27">
        <f t="shared" si="3"/>
        <v>0</v>
      </c>
      <c r="Q15" s="27">
        <f t="shared" si="3"/>
        <v>0</v>
      </c>
      <c r="R15" s="27">
        <f t="shared" si="3"/>
        <v>0</v>
      </c>
      <c r="S15" s="27">
        <f t="shared" si="3"/>
        <v>0</v>
      </c>
      <c r="T15" s="27">
        <f t="shared" si="3"/>
        <v>0</v>
      </c>
      <c r="U15" s="28"/>
      <c r="V15" s="29"/>
      <c r="W15" s="83"/>
      <c r="X15" s="83"/>
      <c r="Y15" s="86"/>
    </row>
    <row r="16" spans="2:25" ht="20.25" customHeight="1" thickTop="1" thickBot="1" x14ac:dyDescent="0.3">
      <c r="B16" s="81"/>
      <c r="C16" s="84"/>
      <c r="D16" s="73"/>
      <c r="E16" s="17" t="s">
        <v>7</v>
      </c>
      <c r="F16" s="21">
        <f t="shared" ref="F16:L16" si="4">SUM(F12*F15)</f>
        <v>0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 t="shared" si="4"/>
        <v>0</v>
      </c>
      <c r="L16" s="21">
        <f t="shared" si="4"/>
        <v>0</v>
      </c>
      <c r="M16" s="21">
        <f t="shared" ref="M16:T16" si="5">SUM(M12*M15)</f>
        <v>0</v>
      </c>
      <c r="N16" s="21">
        <f t="shared" si="5"/>
        <v>0</v>
      </c>
      <c r="O16" s="21">
        <f t="shared" si="5"/>
        <v>0</v>
      </c>
      <c r="P16" s="21">
        <f t="shared" si="5"/>
        <v>0</v>
      </c>
      <c r="Q16" s="21">
        <f t="shared" si="5"/>
        <v>0</v>
      </c>
      <c r="R16" s="21">
        <f t="shared" si="5"/>
        <v>0</v>
      </c>
      <c r="S16" s="21">
        <f t="shared" si="5"/>
        <v>0</v>
      </c>
      <c r="T16" s="21">
        <f t="shared" si="5"/>
        <v>0</v>
      </c>
      <c r="U16" s="30">
        <f>SUM(F16:T16)</f>
        <v>0</v>
      </c>
      <c r="V16" s="31" t="e">
        <f>SUM(U16/U12)</f>
        <v>#DIV/0!</v>
      </c>
      <c r="W16" s="84"/>
      <c r="X16" s="84"/>
      <c r="Y16" s="87"/>
    </row>
    <row r="17" spans="2:25" ht="20.25" thickTop="1" thickBot="1" x14ac:dyDescent="0.35">
      <c r="B17" s="79">
        <v>-3</v>
      </c>
      <c r="C17" s="98"/>
      <c r="D17" s="72"/>
      <c r="E17" s="6" t="s">
        <v>6</v>
      </c>
      <c r="F17" s="22">
        <f>IF(IF(F20=0,0,4),4,0)</f>
        <v>0</v>
      </c>
      <c r="G17" s="22">
        <f>IF(IF(G20=0,0,3),3,0)</f>
        <v>0</v>
      </c>
      <c r="H17" s="22">
        <f>IF(IF(H20=0,0,3),3,0)</f>
        <v>0</v>
      </c>
      <c r="I17" s="22">
        <f>IF(IF(I20=0,0,2),2,0)</f>
        <v>0</v>
      </c>
      <c r="J17" s="22">
        <f>IF(IF(J20=0,0,3),3,0)</f>
        <v>0</v>
      </c>
      <c r="K17" s="22">
        <f>IF(IF(K20=0,0,3),3,0)</f>
        <v>0</v>
      </c>
      <c r="L17" s="22">
        <f>IF(IF(L20=0,0,3),3,0)</f>
        <v>0</v>
      </c>
      <c r="M17" s="22">
        <f>IF(IF(M20=0,0,4),4,0)</f>
        <v>0</v>
      </c>
      <c r="N17" s="22">
        <f>IF(IF(N20=0,0,2),2,0)</f>
        <v>0</v>
      </c>
      <c r="O17" s="22">
        <f>IF(IF(O20=0,0,3),3,0)</f>
        <v>0</v>
      </c>
      <c r="P17" s="22">
        <f>IF(IF(P20=0,0,2),2,0)</f>
        <v>0</v>
      </c>
      <c r="Q17" s="22">
        <f>IF(IF(Q20=0,0,3),3,0)</f>
        <v>0</v>
      </c>
      <c r="R17" s="22">
        <f>IF(IF(R20=0,0,3),3,0)</f>
        <v>0</v>
      </c>
      <c r="S17" s="22">
        <f>IF(IF(S20=0,0,3),3,0)</f>
        <v>0</v>
      </c>
      <c r="T17" s="22">
        <f>IF(IF(T20=0,0,3),3,0)</f>
        <v>0</v>
      </c>
      <c r="U17" s="22">
        <f>SUM(F17:T17)</f>
        <v>0</v>
      </c>
      <c r="V17" s="23"/>
      <c r="W17" s="82"/>
      <c r="X17" s="82"/>
      <c r="Y17" s="85"/>
    </row>
    <row r="18" spans="2:25" ht="19.5" thickTop="1" thickBot="1" x14ac:dyDescent="0.3">
      <c r="B18" s="80"/>
      <c r="C18" s="83"/>
      <c r="D18" s="72"/>
      <c r="E18" s="18" t="s">
        <v>66</v>
      </c>
      <c r="F18" s="24"/>
      <c r="G18" s="24"/>
      <c r="H18" s="24"/>
      <c r="I18" s="25"/>
      <c r="J18" s="25"/>
      <c r="K18" s="25"/>
      <c r="L18" s="25"/>
      <c r="M18" s="24">
        <v>0</v>
      </c>
      <c r="N18" s="24">
        <v>0</v>
      </c>
      <c r="O18" s="24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6"/>
      <c r="W18" s="83"/>
      <c r="X18" s="83"/>
      <c r="Y18" s="86"/>
    </row>
    <row r="19" spans="2:25" ht="19.5" thickTop="1" thickBot="1" x14ac:dyDescent="0.3">
      <c r="B19" s="80"/>
      <c r="C19" s="83"/>
      <c r="D19" s="72"/>
      <c r="E19" s="15" t="s">
        <v>4</v>
      </c>
      <c r="F19" s="27"/>
      <c r="G19" s="27"/>
      <c r="H19" s="27"/>
      <c r="I19" s="27"/>
      <c r="J19" s="27"/>
      <c r="K19" s="27"/>
      <c r="L19" s="27"/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8"/>
      <c r="V19" s="29"/>
      <c r="W19" s="83"/>
      <c r="X19" s="83"/>
      <c r="Y19" s="86"/>
    </row>
    <row r="20" spans="2:25" ht="19.5" thickTop="1" thickBot="1" x14ac:dyDescent="0.3">
      <c r="B20" s="80"/>
      <c r="C20" s="83"/>
      <c r="D20" s="72"/>
      <c r="E20" s="16" t="s">
        <v>5</v>
      </c>
      <c r="F20" s="27">
        <f t="shared" ref="F20:T20" si="6">IF(F19&lt;30,F18,F18+F19)</f>
        <v>0</v>
      </c>
      <c r="G20" s="27">
        <f t="shared" si="6"/>
        <v>0</v>
      </c>
      <c r="H20" s="27">
        <f t="shared" si="6"/>
        <v>0</v>
      </c>
      <c r="I20" s="27">
        <f t="shared" si="6"/>
        <v>0</v>
      </c>
      <c r="J20" s="27">
        <f t="shared" si="6"/>
        <v>0</v>
      </c>
      <c r="K20" s="27">
        <f t="shared" si="6"/>
        <v>0</v>
      </c>
      <c r="L20" s="27">
        <f t="shared" si="6"/>
        <v>0</v>
      </c>
      <c r="M20" s="27">
        <f t="shared" si="6"/>
        <v>0</v>
      </c>
      <c r="N20" s="27">
        <f t="shared" si="6"/>
        <v>0</v>
      </c>
      <c r="O20" s="27">
        <f t="shared" si="6"/>
        <v>0</v>
      </c>
      <c r="P20" s="27">
        <f t="shared" si="6"/>
        <v>0</v>
      </c>
      <c r="Q20" s="27">
        <f t="shared" si="6"/>
        <v>0</v>
      </c>
      <c r="R20" s="27">
        <f t="shared" si="6"/>
        <v>0</v>
      </c>
      <c r="S20" s="27">
        <f t="shared" si="6"/>
        <v>0</v>
      </c>
      <c r="T20" s="27">
        <f t="shared" si="6"/>
        <v>0</v>
      </c>
      <c r="U20" s="28"/>
      <c r="V20" s="29"/>
      <c r="W20" s="83"/>
      <c r="X20" s="83"/>
      <c r="Y20" s="86"/>
    </row>
    <row r="21" spans="2:25" ht="24" customHeight="1" thickTop="1" thickBot="1" x14ac:dyDescent="0.3">
      <c r="B21" s="81"/>
      <c r="C21" s="84"/>
      <c r="D21" s="73"/>
      <c r="E21" s="20" t="s">
        <v>7</v>
      </c>
      <c r="F21" s="21">
        <f t="shared" ref="F21:L21" si="7">SUM(F17*F20)</f>
        <v>0</v>
      </c>
      <c r="G21" s="21">
        <f t="shared" si="7"/>
        <v>0</v>
      </c>
      <c r="H21" s="21">
        <f t="shared" si="7"/>
        <v>0</v>
      </c>
      <c r="I21" s="21">
        <f t="shared" si="7"/>
        <v>0</v>
      </c>
      <c r="J21" s="21">
        <f t="shared" si="7"/>
        <v>0</v>
      </c>
      <c r="K21" s="21">
        <f t="shared" si="7"/>
        <v>0</v>
      </c>
      <c r="L21" s="21">
        <f t="shared" si="7"/>
        <v>0</v>
      </c>
      <c r="M21" s="21">
        <f t="shared" ref="M21:T21" si="8">SUM(M17*M20)</f>
        <v>0</v>
      </c>
      <c r="N21" s="21">
        <f t="shared" si="8"/>
        <v>0</v>
      </c>
      <c r="O21" s="21">
        <f t="shared" si="8"/>
        <v>0</v>
      </c>
      <c r="P21" s="21">
        <f t="shared" si="8"/>
        <v>0</v>
      </c>
      <c r="Q21" s="21">
        <f t="shared" si="8"/>
        <v>0</v>
      </c>
      <c r="R21" s="21">
        <f t="shared" si="8"/>
        <v>0</v>
      </c>
      <c r="S21" s="21">
        <f t="shared" si="8"/>
        <v>0</v>
      </c>
      <c r="T21" s="21">
        <f t="shared" si="8"/>
        <v>0</v>
      </c>
      <c r="U21" s="30">
        <f>SUM(F21:T21)</f>
        <v>0</v>
      </c>
      <c r="V21" s="31" t="e">
        <f>SUM(U21/U17)</f>
        <v>#DIV/0!</v>
      </c>
      <c r="W21" s="84"/>
      <c r="X21" s="84"/>
      <c r="Y21" s="87"/>
    </row>
    <row r="22" spans="2:25" ht="20.25" thickTop="1" thickBot="1" x14ac:dyDescent="0.35">
      <c r="B22" s="79">
        <v>-4</v>
      </c>
      <c r="C22" s="98"/>
      <c r="D22" s="72"/>
      <c r="E22" s="6" t="s">
        <v>6</v>
      </c>
      <c r="F22" s="22">
        <f>IF(IF(F25=0,0,4),4,0)</f>
        <v>0</v>
      </c>
      <c r="G22" s="22">
        <f>IF(IF(G25=0,0,3),3,0)</f>
        <v>0</v>
      </c>
      <c r="H22" s="22">
        <f>IF(IF(H25=0,0,3),3,0)</f>
        <v>0</v>
      </c>
      <c r="I22" s="22">
        <f>IF(IF(I25=0,0,2),2,0)</f>
        <v>0</v>
      </c>
      <c r="J22" s="22">
        <f>IF(IF(J25=0,0,3),3,0)</f>
        <v>0</v>
      </c>
      <c r="K22" s="22">
        <f>IF(IF(K25=0,0,3),3,0)</f>
        <v>0</v>
      </c>
      <c r="L22" s="22">
        <f>IF(IF(L25=0,0,3),3,0)</f>
        <v>0</v>
      </c>
      <c r="M22" s="22">
        <f>IF(IF(M25=0,0,4),4,0)</f>
        <v>0</v>
      </c>
      <c r="N22" s="22">
        <f>IF(IF(N25=0,0,2),2,0)</f>
        <v>0</v>
      </c>
      <c r="O22" s="22">
        <f>IF(IF(O25=0,0,3),3,0)</f>
        <v>0</v>
      </c>
      <c r="P22" s="22">
        <f>IF(IF(P25=0,0,2),2,0)</f>
        <v>0</v>
      </c>
      <c r="Q22" s="22">
        <f>IF(IF(Q25=0,0,3),3,0)</f>
        <v>0</v>
      </c>
      <c r="R22" s="22">
        <f>IF(IF(R25=0,0,3),3,0)</f>
        <v>0</v>
      </c>
      <c r="S22" s="22">
        <f>IF(IF(S25=0,0,3),3,0)</f>
        <v>0</v>
      </c>
      <c r="T22" s="22">
        <f>IF(IF(T25=0,0,3),3,0)</f>
        <v>0</v>
      </c>
      <c r="U22" s="22">
        <f>SUM(F22:T22)</f>
        <v>0</v>
      </c>
      <c r="V22" s="23"/>
      <c r="W22" s="82"/>
      <c r="X22" s="82"/>
      <c r="Y22" s="85"/>
    </row>
    <row r="23" spans="2:25" ht="19.5" thickTop="1" thickBot="1" x14ac:dyDescent="0.3">
      <c r="B23" s="80"/>
      <c r="C23" s="83"/>
      <c r="D23" s="72"/>
      <c r="E23" s="18" t="s">
        <v>66</v>
      </c>
      <c r="F23" s="24"/>
      <c r="G23" s="24"/>
      <c r="H23" s="24"/>
      <c r="I23" s="25"/>
      <c r="J23" s="25"/>
      <c r="K23" s="25"/>
      <c r="L23" s="25"/>
      <c r="M23" s="24">
        <v>0</v>
      </c>
      <c r="N23" s="24">
        <v>0</v>
      </c>
      <c r="O23" s="24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/>
      <c r="V23" s="26"/>
      <c r="W23" s="83"/>
      <c r="X23" s="83"/>
      <c r="Y23" s="86"/>
    </row>
    <row r="24" spans="2:25" ht="19.5" thickTop="1" thickBot="1" x14ac:dyDescent="0.3">
      <c r="B24" s="80"/>
      <c r="C24" s="83"/>
      <c r="D24" s="72"/>
      <c r="E24" s="15" t="s">
        <v>4</v>
      </c>
      <c r="F24" s="27"/>
      <c r="G24" s="27"/>
      <c r="H24" s="27"/>
      <c r="I24" s="27"/>
      <c r="J24" s="27"/>
      <c r="K24" s="27"/>
      <c r="L24" s="27"/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8"/>
      <c r="V24" s="29"/>
      <c r="W24" s="83"/>
      <c r="X24" s="83"/>
      <c r="Y24" s="86"/>
    </row>
    <row r="25" spans="2:25" ht="19.5" thickTop="1" thickBot="1" x14ac:dyDescent="0.3">
      <c r="B25" s="80"/>
      <c r="C25" s="83"/>
      <c r="D25" s="72"/>
      <c r="E25" s="16" t="s">
        <v>5</v>
      </c>
      <c r="F25" s="27">
        <f t="shared" ref="F25:T25" si="9">IF(F24&lt;30,F23,F23+F24)</f>
        <v>0</v>
      </c>
      <c r="G25" s="27">
        <f t="shared" si="9"/>
        <v>0</v>
      </c>
      <c r="H25" s="27">
        <f t="shared" si="9"/>
        <v>0</v>
      </c>
      <c r="I25" s="27">
        <f t="shared" si="9"/>
        <v>0</v>
      </c>
      <c r="J25" s="27">
        <f t="shared" si="9"/>
        <v>0</v>
      </c>
      <c r="K25" s="27">
        <f t="shared" si="9"/>
        <v>0</v>
      </c>
      <c r="L25" s="27">
        <f t="shared" si="9"/>
        <v>0</v>
      </c>
      <c r="M25" s="27">
        <f t="shared" si="9"/>
        <v>0</v>
      </c>
      <c r="N25" s="27">
        <f t="shared" si="9"/>
        <v>0</v>
      </c>
      <c r="O25" s="27">
        <f t="shared" si="9"/>
        <v>0</v>
      </c>
      <c r="P25" s="27">
        <f t="shared" si="9"/>
        <v>0</v>
      </c>
      <c r="Q25" s="27">
        <f t="shared" si="9"/>
        <v>0</v>
      </c>
      <c r="R25" s="27">
        <f t="shared" si="9"/>
        <v>0</v>
      </c>
      <c r="S25" s="27">
        <f t="shared" si="9"/>
        <v>0</v>
      </c>
      <c r="T25" s="27">
        <f t="shared" si="9"/>
        <v>0</v>
      </c>
      <c r="U25" s="28"/>
      <c r="V25" s="29"/>
      <c r="W25" s="83"/>
      <c r="X25" s="83"/>
      <c r="Y25" s="86"/>
    </row>
    <row r="26" spans="2:25" ht="23.25" customHeight="1" thickTop="1" thickBot="1" x14ac:dyDescent="0.3">
      <c r="B26" s="81"/>
      <c r="C26" s="84"/>
      <c r="D26" s="73"/>
      <c r="E26" s="17" t="s">
        <v>7</v>
      </c>
      <c r="F26" s="32">
        <f t="shared" ref="F26:L26" si="10">SUM(F22*F25)</f>
        <v>0</v>
      </c>
      <c r="G26" s="32">
        <f t="shared" si="10"/>
        <v>0</v>
      </c>
      <c r="H26" s="32">
        <f t="shared" si="10"/>
        <v>0</v>
      </c>
      <c r="I26" s="32">
        <f t="shared" si="10"/>
        <v>0</v>
      </c>
      <c r="J26" s="32">
        <f t="shared" si="10"/>
        <v>0</v>
      </c>
      <c r="K26" s="32">
        <f t="shared" si="10"/>
        <v>0</v>
      </c>
      <c r="L26" s="32">
        <f t="shared" si="10"/>
        <v>0</v>
      </c>
      <c r="M26" s="32">
        <f t="shared" ref="M26:T26" si="11">SUM(M22*M25)</f>
        <v>0</v>
      </c>
      <c r="N26" s="32">
        <f t="shared" si="11"/>
        <v>0</v>
      </c>
      <c r="O26" s="32">
        <f t="shared" si="11"/>
        <v>0</v>
      </c>
      <c r="P26" s="32">
        <f t="shared" si="11"/>
        <v>0</v>
      </c>
      <c r="Q26" s="32">
        <f t="shared" si="11"/>
        <v>0</v>
      </c>
      <c r="R26" s="32">
        <f t="shared" si="11"/>
        <v>0</v>
      </c>
      <c r="S26" s="32">
        <f t="shared" si="11"/>
        <v>0</v>
      </c>
      <c r="T26" s="32">
        <f t="shared" si="11"/>
        <v>0</v>
      </c>
      <c r="U26" s="33">
        <f>SUM(F26:T26)</f>
        <v>0</v>
      </c>
      <c r="V26" s="59" t="e">
        <f>SUM(U26/U22)</f>
        <v>#DIV/0!</v>
      </c>
      <c r="W26" s="84"/>
      <c r="X26" s="84"/>
      <c r="Y26" s="87"/>
    </row>
    <row r="27" spans="2:25" ht="13.5" thickTop="1" x14ac:dyDescent="0.2"/>
  </sheetData>
  <mergeCells count="33"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L5"/>
    <mergeCell ref="M5:T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E5FD-908A-4C75-B622-936876DD70BE}">
  <dimension ref="B4:W27"/>
  <sheetViews>
    <sheetView rightToLeft="1" tabSelected="1" topLeftCell="A6" workbookViewId="0">
      <selection activeCell="C17" sqref="C17:C21"/>
    </sheetView>
  </sheetViews>
  <sheetFormatPr defaultRowHeight="12.75" x14ac:dyDescent="0.2"/>
  <cols>
    <col min="3" max="3" width="34" customWidth="1"/>
    <col min="5" max="5" width="24.28515625" customWidth="1"/>
    <col min="20" max="20" width="15.42578125" customWidth="1"/>
    <col min="23" max="23" width="27.7109375" customWidth="1"/>
  </cols>
  <sheetData>
    <row r="4" spans="2:23" ht="13.5" thickBot="1" x14ac:dyDescent="0.25"/>
    <row r="5" spans="2:23" ht="16.5" thickTop="1" thickBot="1" x14ac:dyDescent="0.25">
      <c r="B5" s="101" t="s">
        <v>0</v>
      </c>
      <c r="C5" s="94" t="s">
        <v>8</v>
      </c>
      <c r="D5" s="96" t="s">
        <v>1</v>
      </c>
      <c r="E5" s="94" t="s">
        <v>2</v>
      </c>
      <c r="F5" s="91" t="s">
        <v>23</v>
      </c>
      <c r="G5" s="92"/>
      <c r="H5" s="92"/>
      <c r="I5" s="92"/>
      <c r="J5" s="92"/>
      <c r="K5" s="92"/>
      <c r="L5" s="103" t="s">
        <v>14</v>
      </c>
      <c r="M5" s="104"/>
      <c r="N5" s="104"/>
      <c r="O5" s="104"/>
      <c r="P5" s="104"/>
      <c r="Q5" s="104"/>
      <c r="R5" s="104"/>
      <c r="S5" s="96" t="s">
        <v>5</v>
      </c>
      <c r="T5" s="96" t="s">
        <v>9</v>
      </c>
      <c r="U5" s="12"/>
      <c r="V5" s="96" t="s">
        <v>17</v>
      </c>
      <c r="W5" s="13"/>
    </row>
    <row r="6" spans="2:23" ht="130.5" thickTop="1" thickBot="1" x14ac:dyDescent="0.25">
      <c r="B6" s="102"/>
      <c r="C6" s="100"/>
      <c r="D6" s="97"/>
      <c r="E6" s="95"/>
      <c r="F6" s="10" t="s">
        <v>52</v>
      </c>
      <c r="G6" s="10" t="s">
        <v>53</v>
      </c>
      <c r="H6" s="10" t="s">
        <v>54</v>
      </c>
      <c r="I6" s="10" t="s">
        <v>55</v>
      </c>
      <c r="J6" s="10" t="s">
        <v>56</v>
      </c>
      <c r="K6" s="10" t="s">
        <v>57</v>
      </c>
      <c r="L6" s="10" t="s">
        <v>44</v>
      </c>
      <c r="M6" s="10" t="s">
        <v>45</v>
      </c>
      <c r="N6" s="10" t="s">
        <v>46</v>
      </c>
      <c r="O6" s="10" t="s">
        <v>47</v>
      </c>
      <c r="P6" s="10" t="s">
        <v>49</v>
      </c>
      <c r="Q6" s="10" t="s">
        <v>50</v>
      </c>
      <c r="R6" s="10" t="s">
        <v>51</v>
      </c>
      <c r="S6" s="99"/>
      <c r="T6" s="99"/>
      <c r="U6" s="10" t="s">
        <v>16</v>
      </c>
      <c r="V6" s="99"/>
      <c r="W6" s="11" t="s">
        <v>18</v>
      </c>
    </row>
    <row r="7" spans="2:23" ht="20.25" thickTop="1" thickBot="1" x14ac:dyDescent="0.35">
      <c r="B7" s="79">
        <v>-1</v>
      </c>
      <c r="C7" s="67" t="s">
        <v>58</v>
      </c>
      <c r="D7" s="71" t="s">
        <v>65</v>
      </c>
      <c r="E7" s="5" t="s">
        <v>6</v>
      </c>
      <c r="F7" s="22">
        <f>IF(IF(F10=0,0,3),3,0)</f>
        <v>0</v>
      </c>
      <c r="G7" s="22">
        <f>IF(IF(G10=0,0,3),3,0)</f>
        <v>0</v>
      </c>
      <c r="H7" s="22">
        <f>IF(IF(H10=0,0,3),3,0)</f>
        <v>0</v>
      </c>
      <c r="I7" s="22">
        <f>IF(IF(I10=0,0,3),3,0)</f>
        <v>0</v>
      </c>
      <c r="J7" s="22">
        <f>IF(IF(J10=0,0,2),2,0)</f>
        <v>0</v>
      </c>
      <c r="K7" s="22">
        <f>IF(IF(K10=0,0,2),2,0)</f>
        <v>0</v>
      </c>
      <c r="L7" s="22">
        <f>IF(IF(L10=0,0,4),4,0)</f>
        <v>0</v>
      </c>
      <c r="M7" s="22">
        <f>IF(IF(M10=0,0,3),3,0)</f>
        <v>0</v>
      </c>
      <c r="N7" s="22">
        <f>IF(IF(N10=0,0,3),3,0)</f>
        <v>0</v>
      </c>
      <c r="O7" s="22">
        <f>IF(IF(O10=0,0,2),2,0)</f>
        <v>0</v>
      </c>
      <c r="P7" s="22">
        <f>IF(IF(P10=0,0,3),3,0)</f>
        <v>0</v>
      </c>
      <c r="Q7" s="22">
        <f>IF(IF(Q10=0,0,3),3,0)</f>
        <v>0</v>
      </c>
      <c r="R7" s="22">
        <f>IF(IF(R10=0,0,3),3,0)</f>
        <v>0</v>
      </c>
      <c r="S7" s="22">
        <f>SUM(F7:R7)</f>
        <v>0</v>
      </c>
      <c r="T7" s="23"/>
      <c r="U7" s="71"/>
      <c r="V7" s="71"/>
      <c r="W7" s="71"/>
    </row>
    <row r="8" spans="2:23" ht="19.5" thickTop="1" thickBot="1" x14ac:dyDescent="0.3">
      <c r="B8" s="80"/>
      <c r="C8" s="68"/>
      <c r="D8" s="72"/>
      <c r="E8" s="14" t="s">
        <v>66</v>
      </c>
      <c r="F8" s="25"/>
      <c r="G8" s="25"/>
      <c r="H8" s="25"/>
      <c r="I8" s="25"/>
      <c r="J8" s="25"/>
      <c r="K8" s="25"/>
      <c r="L8" s="24">
        <v>0</v>
      </c>
      <c r="M8" s="24">
        <v>0</v>
      </c>
      <c r="N8" s="24">
        <v>0</v>
      </c>
      <c r="O8" s="25">
        <v>0</v>
      </c>
      <c r="P8" s="25">
        <v>0</v>
      </c>
      <c r="Q8" s="25">
        <v>0</v>
      </c>
      <c r="R8" s="25">
        <v>0</v>
      </c>
      <c r="S8" s="25"/>
      <c r="T8" s="26"/>
      <c r="U8" s="72"/>
      <c r="V8" s="72"/>
      <c r="W8" s="72"/>
    </row>
    <row r="9" spans="2:23" ht="19.5" thickTop="1" thickBot="1" x14ac:dyDescent="0.3">
      <c r="B9" s="80"/>
      <c r="C9" s="68"/>
      <c r="D9" s="72"/>
      <c r="E9" s="15" t="s">
        <v>4</v>
      </c>
      <c r="F9" s="27"/>
      <c r="G9" s="27"/>
      <c r="H9" s="27"/>
      <c r="I9" s="27"/>
      <c r="J9" s="27"/>
      <c r="K9" s="27"/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8"/>
      <c r="T9" s="29"/>
      <c r="U9" s="72"/>
      <c r="V9" s="72"/>
      <c r="W9" s="72"/>
    </row>
    <row r="10" spans="2:23" ht="19.5" thickTop="1" thickBot="1" x14ac:dyDescent="0.3">
      <c r="B10" s="80"/>
      <c r="C10" s="68"/>
      <c r="D10" s="72"/>
      <c r="E10" s="16" t="s">
        <v>5</v>
      </c>
      <c r="F10" s="27">
        <f t="shared" ref="F10:R10" si="0">IF(F9&lt;30,F8,F8+F9)</f>
        <v>0</v>
      </c>
      <c r="G10" s="27">
        <f t="shared" si="0"/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0</v>
      </c>
      <c r="O10" s="27">
        <f t="shared" si="0"/>
        <v>0</v>
      </c>
      <c r="P10" s="27">
        <f t="shared" si="0"/>
        <v>0</v>
      </c>
      <c r="Q10" s="27">
        <f t="shared" si="0"/>
        <v>0</v>
      </c>
      <c r="R10" s="27">
        <f t="shared" si="0"/>
        <v>0</v>
      </c>
      <c r="S10" s="28"/>
      <c r="T10" s="29"/>
      <c r="U10" s="72"/>
      <c r="V10" s="72"/>
      <c r="W10" s="72"/>
    </row>
    <row r="11" spans="2:23" ht="25.5" customHeight="1" thickTop="1" thickBot="1" x14ac:dyDescent="0.3">
      <c r="B11" s="81"/>
      <c r="C11" s="70"/>
      <c r="D11" s="73"/>
      <c r="E11" s="17" t="s">
        <v>7</v>
      </c>
      <c r="F11" s="21">
        <f t="shared" ref="F11:K11" si="1">SUM(F7*F10)</f>
        <v>0</v>
      </c>
      <c r="G11" s="21">
        <f t="shared" si="1"/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ref="L11:R11" si="2">SUM(L7*L10)</f>
        <v>0</v>
      </c>
      <c r="M11" s="21">
        <f t="shared" si="2"/>
        <v>0</v>
      </c>
      <c r="N11" s="21">
        <f t="shared" si="2"/>
        <v>0</v>
      </c>
      <c r="O11" s="21">
        <f t="shared" si="2"/>
        <v>0</v>
      </c>
      <c r="P11" s="21">
        <f t="shared" si="2"/>
        <v>0</v>
      </c>
      <c r="Q11" s="21">
        <f t="shared" si="2"/>
        <v>0</v>
      </c>
      <c r="R11" s="21">
        <f t="shared" si="2"/>
        <v>0</v>
      </c>
      <c r="S11" s="30">
        <f>SUM(F11:R11)</f>
        <v>0</v>
      </c>
      <c r="T11" s="31" t="e">
        <f>SUM(S11/S7)</f>
        <v>#DIV/0!</v>
      </c>
      <c r="U11" s="73"/>
      <c r="V11" s="73"/>
      <c r="W11" s="73"/>
    </row>
    <row r="12" spans="2:23" ht="20.25" thickTop="1" thickBot="1" x14ac:dyDescent="0.35">
      <c r="B12" s="79">
        <v>-2</v>
      </c>
      <c r="C12" s="67"/>
      <c r="D12" s="72"/>
      <c r="E12" s="5" t="s">
        <v>6</v>
      </c>
      <c r="F12" s="22">
        <f>IF(IF(F15=0,0,3),3,0)</f>
        <v>0</v>
      </c>
      <c r="G12" s="22">
        <f>IF(IF(G15=0,0,3),3,0)</f>
        <v>0</v>
      </c>
      <c r="H12" s="22">
        <f>IF(IF(H15=0,0,3),3,0)</f>
        <v>0</v>
      </c>
      <c r="I12" s="22">
        <f>IF(IF(I15=0,0,3),3,0)</f>
        <v>0</v>
      </c>
      <c r="J12" s="22">
        <f>IF(IF(J15=0,0,2),2,0)</f>
        <v>0</v>
      </c>
      <c r="K12" s="22">
        <f>IF(IF(K15=0,0,2),2,0)</f>
        <v>0</v>
      </c>
      <c r="L12" s="22">
        <f>IF(IF(L15=0,0,4),4,0)</f>
        <v>0</v>
      </c>
      <c r="M12" s="22">
        <f>IF(IF(M15=0,0,3),3,0)</f>
        <v>0</v>
      </c>
      <c r="N12" s="22">
        <f>IF(IF(N15=0,0,3),3,0)</f>
        <v>0</v>
      </c>
      <c r="O12" s="22">
        <f>IF(IF(O15=0,0,2),2,0)</f>
        <v>0</v>
      </c>
      <c r="P12" s="22">
        <f>IF(IF(P15=0,0,3),3,0)</f>
        <v>0</v>
      </c>
      <c r="Q12" s="22">
        <f>IF(IF(Q15=0,0,3),3,0)</f>
        <v>0</v>
      </c>
      <c r="R12" s="22">
        <f>IF(IF(R15=0,0,3),3,0)</f>
        <v>0</v>
      </c>
      <c r="S12" s="22">
        <f>SUM(F12:R12)</f>
        <v>0</v>
      </c>
      <c r="T12" s="23"/>
      <c r="U12" s="82"/>
      <c r="V12" s="82"/>
      <c r="W12" s="71"/>
    </row>
    <row r="13" spans="2:23" ht="19.5" thickTop="1" thickBot="1" x14ac:dyDescent="0.3">
      <c r="B13" s="80"/>
      <c r="C13" s="68"/>
      <c r="D13" s="72"/>
      <c r="E13" s="14" t="s">
        <v>66</v>
      </c>
      <c r="F13" s="25"/>
      <c r="G13" s="25"/>
      <c r="H13" s="25"/>
      <c r="I13" s="25"/>
      <c r="J13" s="25"/>
      <c r="K13" s="25"/>
      <c r="L13" s="24">
        <v>0</v>
      </c>
      <c r="M13" s="24">
        <v>0</v>
      </c>
      <c r="N13" s="24">
        <v>0</v>
      </c>
      <c r="O13" s="25">
        <v>0</v>
      </c>
      <c r="P13" s="25">
        <v>0</v>
      </c>
      <c r="Q13" s="25">
        <v>0</v>
      </c>
      <c r="R13" s="25">
        <v>0</v>
      </c>
      <c r="S13" s="25"/>
      <c r="T13" s="26"/>
      <c r="U13" s="83"/>
      <c r="V13" s="83"/>
      <c r="W13" s="72"/>
    </row>
    <row r="14" spans="2:23" ht="19.5" thickTop="1" thickBot="1" x14ac:dyDescent="0.3">
      <c r="B14" s="80"/>
      <c r="C14" s="68"/>
      <c r="D14" s="72"/>
      <c r="E14" s="15" t="s">
        <v>4</v>
      </c>
      <c r="F14" s="27"/>
      <c r="G14" s="27"/>
      <c r="H14" s="27"/>
      <c r="I14" s="27"/>
      <c r="J14" s="27"/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8"/>
      <c r="T14" s="29"/>
      <c r="U14" s="83"/>
      <c r="V14" s="83"/>
      <c r="W14" s="72"/>
    </row>
    <row r="15" spans="2:23" ht="19.5" thickTop="1" thickBot="1" x14ac:dyDescent="0.3">
      <c r="B15" s="80"/>
      <c r="C15" s="68"/>
      <c r="D15" s="72"/>
      <c r="E15" s="16" t="s">
        <v>5</v>
      </c>
      <c r="F15" s="27">
        <f t="shared" ref="F15:R15" si="3">IF(F14&lt;30,F13,F13+F14)</f>
        <v>0</v>
      </c>
      <c r="G15" s="27">
        <f t="shared" si="3"/>
        <v>0</v>
      </c>
      <c r="H15" s="27">
        <f t="shared" si="3"/>
        <v>0</v>
      </c>
      <c r="I15" s="27">
        <f t="shared" si="3"/>
        <v>0</v>
      </c>
      <c r="J15" s="27">
        <f t="shared" si="3"/>
        <v>0</v>
      </c>
      <c r="K15" s="27">
        <f t="shared" si="3"/>
        <v>0</v>
      </c>
      <c r="L15" s="27">
        <f t="shared" si="3"/>
        <v>0</v>
      </c>
      <c r="M15" s="27">
        <f t="shared" si="3"/>
        <v>0</v>
      </c>
      <c r="N15" s="27">
        <f t="shared" si="3"/>
        <v>0</v>
      </c>
      <c r="O15" s="27">
        <f t="shared" si="3"/>
        <v>0</v>
      </c>
      <c r="P15" s="27">
        <f t="shared" si="3"/>
        <v>0</v>
      </c>
      <c r="Q15" s="27">
        <f t="shared" si="3"/>
        <v>0</v>
      </c>
      <c r="R15" s="27">
        <f t="shared" si="3"/>
        <v>0</v>
      </c>
      <c r="S15" s="28"/>
      <c r="T15" s="29"/>
      <c r="U15" s="83"/>
      <c r="V15" s="83"/>
      <c r="W15" s="72"/>
    </row>
    <row r="16" spans="2:23" ht="21" customHeight="1" thickTop="1" thickBot="1" x14ac:dyDescent="0.3">
      <c r="B16" s="81"/>
      <c r="C16" s="70"/>
      <c r="D16" s="73"/>
      <c r="E16" s="17" t="s">
        <v>7</v>
      </c>
      <c r="F16" s="21">
        <f t="shared" ref="F16:K16" si="4">SUM(F12*F15)</f>
        <v>0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 t="shared" si="4"/>
        <v>0</v>
      </c>
      <c r="L16" s="21">
        <f t="shared" ref="L16:R16" si="5">SUM(L12*L15)</f>
        <v>0</v>
      </c>
      <c r="M16" s="21">
        <f t="shared" si="5"/>
        <v>0</v>
      </c>
      <c r="N16" s="21">
        <f t="shared" si="5"/>
        <v>0</v>
      </c>
      <c r="O16" s="21">
        <f t="shared" si="5"/>
        <v>0</v>
      </c>
      <c r="P16" s="21">
        <f t="shared" si="5"/>
        <v>0</v>
      </c>
      <c r="Q16" s="21">
        <f t="shared" si="5"/>
        <v>0</v>
      </c>
      <c r="R16" s="21">
        <f t="shared" si="5"/>
        <v>0</v>
      </c>
      <c r="S16" s="30">
        <f>SUM(F16:R16)</f>
        <v>0</v>
      </c>
      <c r="T16" s="31" t="e">
        <f>SUM(S16/S12)</f>
        <v>#DIV/0!</v>
      </c>
      <c r="U16" s="84"/>
      <c r="V16" s="84"/>
      <c r="W16" s="73"/>
    </row>
    <row r="17" spans="2:23" ht="20.25" thickTop="1" thickBot="1" x14ac:dyDescent="0.35">
      <c r="B17" s="79">
        <v>-3</v>
      </c>
      <c r="C17" s="67"/>
      <c r="D17" s="72"/>
      <c r="E17" s="6" t="s">
        <v>6</v>
      </c>
      <c r="F17" s="22">
        <f>IF(IF(F20=0,0,3),3,0)</f>
        <v>0</v>
      </c>
      <c r="G17" s="22">
        <f>IF(IF(G20=0,0,3),3,0)</f>
        <v>0</v>
      </c>
      <c r="H17" s="22">
        <f>IF(IF(H20=0,0,3),3,0)</f>
        <v>0</v>
      </c>
      <c r="I17" s="22">
        <f>IF(IF(I20=0,0,3),3,0)</f>
        <v>0</v>
      </c>
      <c r="J17" s="22">
        <f>IF(IF(J20=0,0,2),2,0)</f>
        <v>0</v>
      </c>
      <c r="K17" s="22">
        <f>IF(IF(K20=0,0,2),2,0)</f>
        <v>0</v>
      </c>
      <c r="L17" s="22">
        <f>IF(IF(L20=0,0,4),4,0)</f>
        <v>0</v>
      </c>
      <c r="M17" s="22">
        <f>IF(IF(M20=0,0,3),3,0)</f>
        <v>0</v>
      </c>
      <c r="N17" s="22">
        <f>IF(IF(N20=0,0,3),3,0)</f>
        <v>0</v>
      </c>
      <c r="O17" s="22">
        <f>IF(IF(O20=0,0,2),2,0)</f>
        <v>0</v>
      </c>
      <c r="P17" s="22">
        <f>IF(IF(P20=0,0,3),3,0)</f>
        <v>0</v>
      </c>
      <c r="Q17" s="22">
        <f>IF(IF(Q20=0,0,3),3,0)</f>
        <v>0</v>
      </c>
      <c r="R17" s="22">
        <f>IF(IF(R20=0,0,3),3,0)</f>
        <v>0</v>
      </c>
      <c r="S17" s="22">
        <f>SUM(F17:R17)</f>
        <v>0</v>
      </c>
      <c r="T17" s="23"/>
      <c r="U17" s="82"/>
      <c r="V17" s="82"/>
      <c r="W17" s="71"/>
    </row>
    <row r="18" spans="2:23" ht="19.5" thickTop="1" thickBot="1" x14ac:dyDescent="0.3">
      <c r="B18" s="80"/>
      <c r="C18" s="68"/>
      <c r="D18" s="72"/>
      <c r="E18" s="18" t="s">
        <v>66</v>
      </c>
      <c r="F18" s="25"/>
      <c r="G18" s="25"/>
      <c r="H18" s="25"/>
      <c r="I18" s="25"/>
      <c r="J18" s="25"/>
      <c r="K18" s="25"/>
      <c r="L18" s="24">
        <v>0</v>
      </c>
      <c r="M18" s="24">
        <v>0</v>
      </c>
      <c r="N18" s="24">
        <v>0</v>
      </c>
      <c r="O18" s="25">
        <v>0</v>
      </c>
      <c r="P18" s="25">
        <v>0</v>
      </c>
      <c r="Q18" s="25">
        <v>0</v>
      </c>
      <c r="R18" s="25">
        <v>0</v>
      </c>
      <c r="S18" s="25"/>
      <c r="T18" s="26"/>
      <c r="U18" s="83"/>
      <c r="V18" s="83"/>
      <c r="W18" s="72"/>
    </row>
    <row r="19" spans="2:23" ht="19.5" thickTop="1" thickBot="1" x14ac:dyDescent="0.3">
      <c r="B19" s="80"/>
      <c r="C19" s="68"/>
      <c r="D19" s="72"/>
      <c r="E19" s="15" t="s">
        <v>4</v>
      </c>
      <c r="F19" s="27"/>
      <c r="G19" s="27"/>
      <c r="H19" s="27"/>
      <c r="I19" s="27"/>
      <c r="J19" s="27"/>
      <c r="K19" s="27"/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8"/>
      <c r="T19" s="29"/>
      <c r="U19" s="83"/>
      <c r="V19" s="83"/>
      <c r="W19" s="72"/>
    </row>
    <row r="20" spans="2:23" ht="19.5" thickTop="1" thickBot="1" x14ac:dyDescent="0.3">
      <c r="B20" s="80"/>
      <c r="C20" s="68"/>
      <c r="D20" s="72"/>
      <c r="E20" s="16" t="s">
        <v>5</v>
      </c>
      <c r="F20" s="27">
        <f t="shared" ref="F20:R20" si="6">IF(F19&lt;30,F18,F18+F19)</f>
        <v>0</v>
      </c>
      <c r="G20" s="27">
        <f t="shared" si="6"/>
        <v>0</v>
      </c>
      <c r="H20" s="27">
        <f t="shared" si="6"/>
        <v>0</v>
      </c>
      <c r="I20" s="27">
        <f t="shared" si="6"/>
        <v>0</v>
      </c>
      <c r="J20" s="27">
        <f t="shared" si="6"/>
        <v>0</v>
      </c>
      <c r="K20" s="27">
        <f t="shared" si="6"/>
        <v>0</v>
      </c>
      <c r="L20" s="27">
        <f t="shared" si="6"/>
        <v>0</v>
      </c>
      <c r="M20" s="27">
        <f t="shared" si="6"/>
        <v>0</v>
      </c>
      <c r="N20" s="27">
        <f t="shared" si="6"/>
        <v>0</v>
      </c>
      <c r="O20" s="27">
        <f t="shared" si="6"/>
        <v>0</v>
      </c>
      <c r="P20" s="27">
        <f t="shared" si="6"/>
        <v>0</v>
      </c>
      <c r="Q20" s="27">
        <f t="shared" si="6"/>
        <v>0</v>
      </c>
      <c r="R20" s="27">
        <f t="shared" si="6"/>
        <v>0</v>
      </c>
      <c r="S20" s="28"/>
      <c r="T20" s="29"/>
      <c r="U20" s="83"/>
      <c r="V20" s="83"/>
      <c r="W20" s="72"/>
    </row>
    <row r="21" spans="2:23" ht="20.25" customHeight="1" thickTop="1" thickBot="1" x14ac:dyDescent="0.3">
      <c r="B21" s="81"/>
      <c r="C21" s="70"/>
      <c r="D21" s="73"/>
      <c r="E21" s="20" t="s">
        <v>7</v>
      </c>
      <c r="F21" s="21">
        <f t="shared" ref="F21:K21" si="7">SUM(F17*F20)</f>
        <v>0</v>
      </c>
      <c r="G21" s="21">
        <f t="shared" si="7"/>
        <v>0</v>
      </c>
      <c r="H21" s="21">
        <f t="shared" si="7"/>
        <v>0</v>
      </c>
      <c r="I21" s="21">
        <f t="shared" si="7"/>
        <v>0</v>
      </c>
      <c r="J21" s="21">
        <f t="shared" si="7"/>
        <v>0</v>
      </c>
      <c r="K21" s="21">
        <f t="shared" si="7"/>
        <v>0</v>
      </c>
      <c r="L21" s="21">
        <f t="shared" ref="L21:R21" si="8">SUM(L17*L20)</f>
        <v>0</v>
      </c>
      <c r="M21" s="21">
        <f t="shared" si="8"/>
        <v>0</v>
      </c>
      <c r="N21" s="21">
        <f t="shared" si="8"/>
        <v>0</v>
      </c>
      <c r="O21" s="21">
        <f t="shared" si="8"/>
        <v>0</v>
      </c>
      <c r="P21" s="21">
        <f t="shared" si="8"/>
        <v>0</v>
      </c>
      <c r="Q21" s="21">
        <f t="shared" si="8"/>
        <v>0</v>
      </c>
      <c r="R21" s="21">
        <f t="shared" si="8"/>
        <v>0</v>
      </c>
      <c r="S21" s="30">
        <f>SUM(F21:R21)</f>
        <v>0</v>
      </c>
      <c r="T21" s="31" t="e">
        <f>SUM(S21/S17)</f>
        <v>#DIV/0!</v>
      </c>
      <c r="U21" s="84"/>
      <c r="V21" s="84"/>
      <c r="W21" s="73"/>
    </row>
    <row r="22" spans="2:23" ht="20.25" thickTop="1" thickBot="1" x14ac:dyDescent="0.35">
      <c r="B22" s="79">
        <v>-4</v>
      </c>
      <c r="C22" s="67"/>
      <c r="D22" s="72"/>
      <c r="E22" s="6" t="s">
        <v>6</v>
      </c>
      <c r="F22" s="22">
        <f>IF(IF(F25=0,0,3),3,0)</f>
        <v>0</v>
      </c>
      <c r="G22" s="22">
        <f>IF(IF(G25=0,0,3),3,0)</f>
        <v>0</v>
      </c>
      <c r="H22" s="22">
        <f>IF(IF(H25=0,0,3),3,0)</f>
        <v>0</v>
      </c>
      <c r="I22" s="22">
        <f>IF(IF(I25=0,0,3),3,0)</f>
        <v>0</v>
      </c>
      <c r="J22" s="22">
        <f>IF(IF(J25=0,0,2),2,0)</f>
        <v>0</v>
      </c>
      <c r="K22" s="22">
        <f>IF(IF(K25=0,0,2),2,0)</f>
        <v>0</v>
      </c>
      <c r="L22" s="22">
        <f>IF(IF(L25=0,0,4),4,0)</f>
        <v>0</v>
      </c>
      <c r="M22" s="22">
        <f>IF(IF(M25=0,0,3),3,0)</f>
        <v>0</v>
      </c>
      <c r="N22" s="22">
        <f>IF(IF(N25=0,0,3),3,0)</f>
        <v>0</v>
      </c>
      <c r="O22" s="22">
        <f>IF(IF(O25=0,0,2),2,0)</f>
        <v>0</v>
      </c>
      <c r="P22" s="22">
        <f>IF(IF(P25=0,0,3),3,0)</f>
        <v>0</v>
      </c>
      <c r="Q22" s="22">
        <f>IF(IF(Q25=0,0,3),3,0)</f>
        <v>0</v>
      </c>
      <c r="R22" s="22">
        <f>IF(IF(R25=0,0,3),3,0)</f>
        <v>0</v>
      </c>
      <c r="S22" s="22">
        <f>SUM(F22:R22)</f>
        <v>0</v>
      </c>
      <c r="T22" s="23"/>
      <c r="U22" s="82"/>
      <c r="V22" s="82"/>
      <c r="W22" s="71"/>
    </row>
    <row r="23" spans="2:23" ht="19.5" thickTop="1" thickBot="1" x14ac:dyDescent="0.3">
      <c r="B23" s="80"/>
      <c r="C23" s="68"/>
      <c r="D23" s="72"/>
      <c r="E23" s="18" t="s">
        <v>66</v>
      </c>
      <c r="F23" s="25"/>
      <c r="G23" s="25"/>
      <c r="H23" s="25"/>
      <c r="I23" s="25"/>
      <c r="J23" s="25"/>
      <c r="K23" s="25"/>
      <c r="L23" s="24">
        <v>0</v>
      </c>
      <c r="M23" s="24">
        <v>0</v>
      </c>
      <c r="N23" s="24">
        <v>0</v>
      </c>
      <c r="O23" s="25">
        <v>0</v>
      </c>
      <c r="P23" s="25">
        <v>0</v>
      </c>
      <c r="Q23" s="25">
        <v>0</v>
      </c>
      <c r="R23" s="25">
        <v>0</v>
      </c>
      <c r="S23" s="25"/>
      <c r="T23" s="26"/>
      <c r="U23" s="83"/>
      <c r="V23" s="83"/>
      <c r="W23" s="72"/>
    </row>
    <row r="24" spans="2:23" ht="19.5" thickTop="1" thickBot="1" x14ac:dyDescent="0.3">
      <c r="B24" s="80"/>
      <c r="C24" s="68"/>
      <c r="D24" s="72"/>
      <c r="E24" s="15" t="s">
        <v>4</v>
      </c>
      <c r="F24" s="27"/>
      <c r="G24" s="27"/>
      <c r="H24" s="27"/>
      <c r="I24" s="27"/>
      <c r="J24" s="27"/>
      <c r="K24" s="27"/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8"/>
      <c r="T24" s="29"/>
      <c r="U24" s="83"/>
      <c r="V24" s="83"/>
      <c r="W24" s="72"/>
    </row>
    <row r="25" spans="2:23" ht="19.5" thickTop="1" thickBot="1" x14ac:dyDescent="0.3">
      <c r="B25" s="80"/>
      <c r="C25" s="68"/>
      <c r="D25" s="72"/>
      <c r="E25" s="16" t="s">
        <v>5</v>
      </c>
      <c r="F25" s="27">
        <f t="shared" ref="F25:R25" si="9">IF(F24&lt;30,F23,F23+F24)</f>
        <v>0</v>
      </c>
      <c r="G25" s="27">
        <f t="shared" si="9"/>
        <v>0</v>
      </c>
      <c r="H25" s="27">
        <f t="shared" si="9"/>
        <v>0</v>
      </c>
      <c r="I25" s="27">
        <f t="shared" si="9"/>
        <v>0</v>
      </c>
      <c r="J25" s="27">
        <f t="shared" si="9"/>
        <v>0</v>
      </c>
      <c r="K25" s="27">
        <f t="shared" si="9"/>
        <v>0</v>
      </c>
      <c r="L25" s="27">
        <f t="shared" si="9"/>
        <v>0</v>
      </c>
      <c r="M25" s="27">
        <f t="shared" si="9"/>
        <v>0</v>
      </c>
      <c r="N25" s="27">
        <f t="shared" si="9"/>
        <v>0</v>
      </c>
      <c r="O25" s="27">
        <f t="shared" si="9"/>
        <v>0</v>
      </c>
      <c r="P25" s="27">
        <f t="shared" si="9"/>
        <v>0</v>
      </c>
      <c r="Q25" s="27">
        <f t="shared" si="9"/>
        <v>0</v>
      </c>
      <c r="R25" s="27">
        <f t="shared" si="9"/>
        <v>0</v>
      </c>
      <c r="S25" s="28"/>
      <c r="T25" s="29"/>
      <c r="U25" s="83"/>
      <c r="V25" s="83"/>
      <c r="W25" s="72"/>
    </row>
    <row r="26" spans="2:23" ht="24" customHeight="1" thickTop="1" thickBot="1" x14ac:dyDescent="0.3">
      <c r="B26" s="81"/>
      <c r="C26" s="70"/>
      <c r="D26" s="73"/>
      <c r="E26" s="17" t="s">
        <v>7</v>
      </c>
      <c r="F26" s="32">
        <f t="shared" ref="F26:K26" si="10">SUM(F22*F25)</f>
        <v>0</v>
      </c>
      <c r="G26" s="32">
        <f t="shared" si="10"/>
        <v>0</v>
      </c>
      <c r="H26" s="32">
        <f t="shared" si="10"/>
        <v>0</v>
      </c>
      <c r="I26" s="32">
        <f t="shared" si="10"/>
        <v>0</v>
      </c>
      <c r="J26" s="32">
        <f t="shared" si="10"/>
        <v>0</v>
      </c>
      <c r="K26" s="32">
        <f t="shared" si="10"/>
        <v>0</v>
      </c>
      <c r="L26" s="32">
        <f t="shared" ref="L26:R26" si="11">SUM(L22*L25)</f>
        <v>0</v>
      </c>
      <c r="M26" s="32">
        <f t="shared" si="11"/>
        <v>0</v>
      </c>
      <c r="N26" s="32">
        <f t="shared" si="11"/>
        <v>0</v>
      </c>
      <c r="O26" s="32">
        <f t="shared" si="11"/>
        <v>0</v>
      </c>
      <c r="P26" s="32">
        <f t="shared" si="11"/>
        <v>0</v>
      </c>
      <c r="Q26" s="32">
        <f t="shared" si="11"/>
        <v>0</v>
      </c>
      <c r="R26" s="32">
        <f t="shared" si="11"/>
        <v>0</v>
      </c>
      <c r="S26" s="33">
        <f>SUM(F26:R26)</f>
        <v>0</v>
      </c>
      <c r="T26" s="59" t="e">
        <f>SUM(S26/S22)</f>
        <v>#DIV/0!</v>
      </c>
      <c r="U26" s="84"/>
      <c r="V26" s="84"/>
      <c r="W26" s="73"/>
    </row>
    <row r="27" spans="2:23" ht="13.5" thickTop="1" x14ac:dyDescent="0.2"/>
  </sheetData>
  <mergeCells count="33"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K5"/>
    <mergeCell ref="L5:R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1DAB06-46BE-44AF-88EC-21F585B25DE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طاقة</vt:lpstr>
      <vt:lpstr>الثاني طاقة</vt:lpstr>
      <vt:lpstr>الثالث طاقة</vt:lpstr>
      <vt:lpstr>الرابع طاقة</vt:lpstr>
      <vt:lpstr>الخامس طاقة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2025-02-18T10:14:33Z</cp:lastPrinted>
  <dcterms:created xsi:type="dcterms:W3CDTF">2015-06-04T06:53:41Z</dcterms:created>
  <dcterms:modified xsi:type="dcterms:W3CDTF">2026-01-24T05:07:08Z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{C21DAB06-46BE-44AF-88EC-21F585B25DE1}</vt:lpwstr>
  </property>
</Properties>
</file>