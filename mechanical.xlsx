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kan\Desktop\xls-m\New folder\"/>
    </mc:Choice>
  </mc:AlternateContent>
  <xr:revisionPtr revIDLastSave="0" documentId="13_ncr:1_{63A83453-4921-4F9D-962B-33D1F08E4609}" xr6:coauthVersionLast="47" xr6:coauthVersionMax="47" xr10:uidLastSave="{00000000-0000-0000-0000-000000000000}"/>
  <bookViews>
    <workbookView xWindow="-120" yWindow="-120" windowWidth="29040" windowHeight="15720" activeTab="4" xr2:uid="{B0B68F0B-4F21-4187-B54A-589F54C7F871}"/>
  </bookViews>
  <sheets>
    <sheet name="الاول ميكانيكا" sheetId="7" r:id="rId1"/>
    <sheet name="الثاني ميكانيكا" sheetId="8" r:id="rId2"/>
    <sheet name="الثالث ميكانيكا" sheetId="9" r:id="rId3"/>
    <sheet name="الرابع ميكانيكا" sheetId="10" r:id="rId4"/>
    <sheet name="الخامس ميكانيكا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1" l="1"/>
  <c r="J26" i="11"/>
  <c r="F26" i="11"/>
  <c r="S25" i="11"/>
  <c r="R25" i="11"/>
  <c r="R22" i="11" s="1"/>
  <c r="R26" i="11" s="1"/>
  <c r="Q25" i="11"/>
  <c r="Q22" i="11" s="1"/>
  <c r="Q26" i="11" s="1"/>
  <c r="P25" i="11"/>
  <c r="P22" i="11" s="1"/>
  <c r="P26" i="11" s="1"/>
  <c r="O25" i="11"/>
  <c r="N25" i="11"/>
  <c r="N22" i="11" s="1"/>
  <c r="N26" i="11" s="1"/>
  <c r="M25" i="11"/>
  <c r="L25" i="11"/>
  <c r="L22" i="11" s="1"/>
  <c r="L26" i="11" s="1"/>
  <c r="K25" i="11"/>
  <c r="K22" i="11" s="1"/>
  <c r="K26" i="11" s="1"/>
  <c r="J25" i="11"/>
  <c r="I25" i="11"/>
  <c r="I22" i="11" s="1"/>
  <c r="I26" i="11" s="1"/>
  <c r="H25" i="11"/>
  <c r="H22" i="11" s="1"/>
  <c r="H26" i="11" s="1"/>
  <c r="G25" i="11"/>
  <c r="G22" i="11" s="1"/>
  <c r="F25" i="11"/>
  <c r="S22" i="11"/>
  <c r="S26" i="11" s="1"/>
  <c r="O22" i="11"/>
  <c r="O26" i="11" s="1"/>
  <c r="M22" i="11"/>
  <c r="J22" i="11"/>
  <c r="F22" i="11"/>
  <c r="S21" i="11"/>
  <c r="J21" i="11"/>
  <c r="G21" i="11"/>
  <c r="S20" i="11"/>
  <c r="R20" i="11"/>
  <c r="R17" i="11" s="1"/>
  <c r="R21" i="11" s="1"/>
  <c r="Q20" i="11"/>
  <c r="Q17" i="11" s="1"/>
  <c r="Q21" i="11" s="1"/>
  <c r="P20" i="11"/>
  <c r="O20" i="11"/>
  <c r="O17" i="11" s="1"/>
  <c r="O21" i="11" s="1"/>
  <c r="N20" i="11"/>
  <c r="N17" i="11" s="1"/>
  <c r="N21" i="11" s="1"/>
  <c r="M20" i="11"/>
  <c r="M17" i="11" s="1"/>
  <c r="M21" i="11" s="1"/>
  <c r="L20" i="11"/>
  <c r="K20" i="11"/>
  <c r="K17" i="11" s="1"/>
  <c r="K21" i="11" s="1"/>
  <c r="J20" i="11"/>
  <c r="I20" i="11"/>
  <c r="I17" i="11" s="1"/>
  <c r="I21" i="11" s="1"/>
  <c r="H20" i="11"/>
  <c r="H17" i="11" s="1"/>
  <c r="H21" i="11" s="1"/>
  <c r="G20" i="11"/>
  <c r="F20" i="11"/>
  <c r="F17" i="11" s="1"/>
  <c r="S17" i="11"/>
  <c r="P17" i="11"/>
  <c r="P21" i="11" s="1"/>
  <c r="L17" i="11"/>
  <c r="L21" i="11" s="1"/>
  <c r="J17" i="11"/>
  <c r="G17" i="11"/>
  <c r="P16" i="11"/>
  <c r="G16" i="11"/>
  <c r="S15" i="11"/>
  <c r="S12" i="11" s="1"/>
  <c r="S16" i="11" s="1"/>
  <c r="R15" i="11"/>
  <c r="R12" i="11" s="1"/>
  <c r="R16" i="11" s="1"/>
  <c r="Q15" i="11"/>
  <c r="Q12" i="11" s="1"/>
  <c r="Q16" i="11" s="1"/>
  <c r="P15" i="11"/>
  <c r="O15" i="11"/>
  <c r="O12" i="11" s="1"/>
  <c r="O16" i="11" s="1"/>
  <c r="N15" i="11"/>
  <c r="N12" i="11" s="1"/>
  <c r="N16" i="11" s="1"/>
  <c r="M15" i="11"/>
  <c r="L15" i="11"/>
  <c r="L12" i="11" s="1"/>
  <c r="L16" i="11" s="1"/>
  <c r="K15" i="11"/>
  <c r="K12" i="11" s="1"/>
  <c r="K16" i="11" s="1"/>
  <c r="J15" i="11"/>
  <c r="J12" i="11" s="1"/>
  <c r="J16" i="11" s="1"/>
  <c r="I15" i="11"/>
  <c r="H15" i="11"/>
  <c r="H12" i="11" s="1"/>
  <c r="H16" i="11" s="1"/>
  <c r="G15" i="11"/>
  <c r="F15" i="11"/>
  <c r="F12" i="11" s="1"/>
  <c r="P12" i="11"/>
  <c r="M12" i="11"/>
  <c r="M16" i="11" s="1"/>
  <c r="I12" i="11"/>
  <c r="I16" i="11" s="1"/>
  <c r="G12" i="11"/>
  <c r="Q11" i="11"/>
  <c r="M11" i="11"/>
  <c r="S10" i="11"/>
  <c r="S7" i="11" s="1"/>
  <c r="S11" i="11" s="1"/>
  <c r="R10" i="11"/>
  <c r="R7" i="11" s="1"/>
  <c r="R11" i="11" s="1"/>
  <c r="Q10" i="11"/>
  <c r="P10" i="11"/>
  <c r="P7" i="11" s="1"/>
  <c r="P11" i="11" s="1"/>
  <c r="O10" i="11"/>
  <c r="O7" i="11" s="1"/>
  <c r="O11" i="11" s="1"/>
  <c r="N10" i="11"/>
  <c r="N7" i="11" s="1"/>
  <c r="N11" i="11" s="1"/>
  <c r="M10" i="11"/>
  <c r="L10" i="11"/>
  <c r="L7" i="11" s="1"/>
  <c r="L11" i="11" s="1"/>
  <c r="K10" i="11"/>
  <c r="K7" i="11" s="1"/>
  <c r="K11" i="11" s="1"/>
  <c r="J10" i="11"/>
  <c r="I10" i="11"/>
  <c r="I7" i="11" s="1"/>
  <c r="I11" i="11" s="1"/>
  <c r="H10" i="11"/>
  <c r="H7" i="11" s="1"/>
  <c r="H11" i="11" s="1"/>
  <c r="G10" i="11"/>
  <c r="G7" i="11" s="1"/>
  <c r="G11" i="11" s="1"/>
  <c r="F10" i="11"/>
  <c r="Q7" i="11"/>
  <c r="M7" i="11"/>
  <c r="J7" i="11"/>
  <c r="J11" i="11" s="1"/>
  <c r="F7" i="11"/>
  <c r="K26" i="10"/>
  <c r="J26" i="10"/>
  <c r="H26" i="10"/>
  <c r="S25" i="10"/>
  <c r="R25" i="10"/>
  <c r="R22" i="10" s="1"/>
  <c r="R26" i="10" s="1"/>
  <c r="Q25" i="10"/>
  <c r="Q22" i="10" s="1"/>
  <c r="Q26" i="10" s="1"/>
  <c r="P25" i="10"/>
  <c r="O25" i="10"/>
  <c r="O22" i="10" s="1"/>
  <c r="O26" i="10" s="1"/>
  <c r="N25" i="10"/>
  <c r="M25" i="10"/>
  <c r="L25" i="10"/>
  <c r="L22" i="10" s="1"/>
  <c r="L26" i="10" s="1"/>
  <c r="K25" i="10"/>
  <c r="K22" i="10" s="1"/>
  <c r="J25" i="10"/>
  <c r="I25" i="10"/>
  <c r="I22" i="10" s="1"/>
  <c r="I26" i="10" s="1"/>
  <c r="H25" i="10"/>
  <c r="G25" i="10"/>
  <c r="G22" i="10" s="1"/>
  <c r="G26" i="10" s="1"/>
  <c r="F25" i="10"/>
  <c r="S22" i="10"/>
  <c r="S26" i="10" s="1"/>
  <c r="P22" i="10"/>
  <c r="P26" i="10" s="1"/>
  <c r="N22" i="10"/>
  <c r="N26" i="10" s="1"/>
  <c r="M22" i="10"/>
  <c r="M26" i="10" s="1"/>
  <c r="J22" i="10"/>
  <c r="H22" i="10"/>
  <c r="F22" i="10"/>
  <c r="M21" i="10"/>
  <c r="H21" i="10"/>
  <c r="G21" i="10"/>
  <c r="S20" i="10"/>
  <c r="S17" i="10" s="1"/>
  <c r="S21" i="10" s="1"/>
  <c r="R20" i="10"/>
  <c r="Q20" i="10"/>
  <c r="Q17" i="10" s="1"/>
  <c r="Q21" i="10" s="1"/>
  <c r="P20" i="10"/>
  <c r="O20" i="10"/>
  <c r="O17" i="10" s="1"/>
  <c r="O21" i="10" s="1"/>
  <c r="N20" i="10"/>
  <c r="N17" i="10" s="1"/>
  <c r="N21" i="10" s="1"/>
  <c r="M20" i="10"/>
  <c r="L20" i="10"/>
  <c r="L17" i="10" s="1"/>
  <c r="L21" i="10" s="1"/>
  <c r="K20" i="10"/>
  <c r="K17" i="10" s="1"/>
  <c r="J20" i="10"/>
  <c r="I20" i="10"/>
  <c r="I17" i="10" s="1"/>
  <c r="I21" i="10" s="1"/>
  <c r="H20" i="10"/>
  <c r="G20" i="10"/>
  <c r="F20" i="10"/>
  <c r="F17" i="10" s="1"/>
  <c r="R17" i="10"/>
  <c r="R21" i="10" s="1"/>
  <c r="P17" i="10"/>
  <c r="P21" i="10" s="1"/>
  <c r="M17" i="10"/>
  <c r="J17" i="10"/>
  <c r="J21" i="10" s="1"/>
  <c r="K21" i="10" s="1"/>
  <c r="H17" i="10"/>
  <c r="G17" i="10"/>
  <c r="R16" i="10"/>
  <c r="J16" i="10"/>
  <c r="K16" i="10" s="1"/>
  <c r="S15" i="10"/>
  <c r="S12" i="10" s="1"/>
  <c r="S16" i="10" s="1"/>
  <c r="R15" i="10"/>
  <c r="Q15" i="10"/>
  <c r="Q12" i="10" s="1"/>
  <c r="Q16" i="10" s="1"/>
  <c r="P15" i="10"/>
  <c r="P12" i="10" s="1"/>
  <c r="P16" i="10" s="1"/>
  <c r="O15" i="10"/>
  <c r="N15" i="10"/>
  <c r="N12" i="10" s="1"/>
  <c r="N16" i="10" s="1"/>
  <c r="M15" i="10"/>
  <c r="L15" i="10"/>
  <c r="L12" i="10" s="1"/>
  <c r="L16" i="10" s="1"/>
  <c r="K15" i="10"/>
  <c r="K12" i="10" s="1"/>
  <c r="J15" i="10"/>
  <c r="I15" i="10"/>
  <c r="I12" i="10" s="1"/>
  <c r="I16" i="10" s="1"/>
  <c r="H15" i="10"/>
  <c r="H12" i="10" s="1"/>
  <c r="H16" i="10" s="1"/>
  <c r="G15" i="10"/>
  <c r="F15" i="10"/>
  <c r="F12" i="10" s="1"/>
  <c r="R12" i="10"/>
  <c r="O12" i="10"/>
  <c r="O16" i="10" s="1"/>
  <c r="M12" i="10"/>
  <c r="M16" i="10" s="1"/>
  <c r="J12" i="10"/>
  <c r="G12" i="10"/>
  <c r="G16" i="10" s="1"/>
  <c r="Q11" i="10"/>
  <c r="O11" i="10"/>
  <c r="G11" i="10"/>
  <c r="S10" i="10"/>
  <c r="S7" i="10" s="1"/>
  <c r="S11" i="10" s="1"/>
  <c r="R10" i="10"/>
  <c r="R7" i="10" s="1"/>
  <c r="R11" i="10" s="1"/>
  <c r="Q10" i="10"/>
  <c r="P10" i="10"/>
  <c r="P7" i="10" s="1"/>
  <c r="P11" i="10" s="1"/>
  <c r="O10" i="10"/>
  <c r="N10" i="10"/>
  <c r="N7" i="10" s="1"/>
  <c r="N11" i="10" s="1"/>
  <c r="M10" i="10"/>
  <c r="M7" i="10" s="1"/>
  <c r="M11" i="10" s="1"/>
  <c r="L10" i="10"/>
  <c r="K10" i="10"/>
  <c r="K7" i="10" s="1"/>
  <c r="J10" i="10"/>
  <c r="I10" i="10"/>
  <c r="I7" i="10" s="1"/>
  <c r="I11" i="10" s="1"/>
  <c r="H10" i="10"/>
  <c r="H7" i="10" s="1"/>
  <c r="H11" i="10" s="1"/>
  <c r="G10" i="10"/>
  <c r="F10" i="10"/>
  <c r="F7" i="10" s="1"/>
  <c r="Q7" i="10"/>
  <c r="O7" i="10"/>
  <c r="L7" i="10"/>
  <c r="L11" i="10" s="1"/>
  <c r="J7" i="10"/>
  <c r="J11" i="10" s="1"/>
  <c r="K11" i="10" s="1"/>
  <c r="G7" i="10"/>
  <c r="R26" i="9"/>
  <c r="F26" i="9"/>
  <c r="S25" i="9"/>
  <c r="R25" i="9"/>
  <c r="Q25" i="9"/>
  <c r="Q22" i="9" s="1"/>
  <c r="Q26" i="9" s="1"/>
  <c r="P25" i="9"/>
  <c r="P22" i="9" s="1"/>
  <c r="P26" i="9" s="1"/>
  <c r="O25" i="9"/>
  <c r="N25" i="9"/>
  <c r="N22" i="9" s="1"/>
  <c r="N26" i="9" s="1"/>
  <c r="M25" i="9"/>
  <c r="M22" i="9" s="1"/>
  <c r="M26" i="9" s="1"/>
  <c r="L25" i="9"/>
  <c r="L22" i="9" s="1"/>
  <c r="L26" i="9" s="1"/>
  <c r="K25" i="9"/>
  <c r="K22" i="9" s="1"/>
  <c r="K26" i="9" s="1"/>
  <c r="J25" i="9"/>
  <c r="I25" i="9"/>
  <c r="I22" i="9" s="1"/>
  <c r="I26" i="9" s="1"/>
  <c r="H25" i="9"/>
  <c r="H22" i="9" s="1"/>
  <c r="H26" i="9" s="1"/>
  <c r="G25" i="9"/>
  <c r="G22" i="9" s="1"/>
  <c r="G26" i="9" s="1"/>
  <c r="F25" i="9"/>
  <c r="S22" i="9"/>
  <c r="S26" i="9" s="1"/>
  <c r="R22" i="9"/>
  <c r="O22" i="9"/>
  <c r="O26" i="9" s="1"/>
  <c r="J22" i="9"/>
  <c r="J26" i="9" s="1"/>
  <c r="F22" i="9"/>
  <c r="S21" i="9"/>
  <c r="O21" i="9"/>
  <c r="G21" i="9"/>
  <c r="S20" i="9"/>
  <c r="R20" i="9"/>
  <c r="R17" i="9" s="1"/>
  <c r="R21" i="9" s="1"/>
  <c r="Q20" i="9"/>
  <c r="Q17" i="9" s="1"/>
  <c r="Q21" i="9" s="1"/>
  <c r="P20" i="9"/>
  <c r="O20" i="9"/>
  <c r="N20" i="9"/>
  <c r="N17" i="9" s="1"/>
  <c r="N21" i="9" s="1"/>
  <c r="M20" i="9"/>
  <c r="M17" i="9" s="1"/>
  <c r="M21" i="9" s="1"/>
  <c r="L20" i="9"/>
  <c r="K20" i="9"/>
  <c r="K17" i="9" s="1"/>
  <c r="K21" i="9" s="1"/>
  <c r="J20" i="9"/>
  <c r="J17" i="9" s="1"/>
  <c r="J21" i="9" s="1"/>
  <c r="I20" i="9"/>
  <c r="I17" i="9" s="1"/>
  <c r="I21" i="9" s="1"/>
  <c r="H20" i="9"/>
  <c r="H17" i="9" s="1"/>
  <c r="H21" i="9" s="1"/>
  <c r="G20" i="9"/>
  <c r="F20" i="9"/>
  <c r="F17" i="9" s="1"/>
  <c r="S17" i="9"/>
  <c r="P17" i="9"/>
  <c r="P21" i="9" s="1"/>
  <c r="O17" i="9"/>
  <c r="L17" i="9"/>
  <c r="L21" i="9" s="1"/>
  <c r="G17" i="9"/>
  <c r="P16" i="9"/>
  <c r="S15" i="9"/>
  <c r="S12" i="9" s="1"/>
  <c r="S16" i="9" s="1"/>
  <c r="R15" i="9"/>
  <c r="R12" i="9" s="1"/>
  <c r="R16" i="9" s="1"/>
  <c r="Q15" i="9"/>
  <c r="Q12" i="9" s="1"/>
  <c r="Q16" i="9" s="1"/>
  <c r="P15" i="9"/>
  <c r="O15" i="9"/>
  <c r="O12" i="9" s="1"/>
  <c r="O16" i="9" s="1"/>
  <c r="N15" i="9"/>
  <c r="N12" i="9" s="1"/>
  <c r="N16" i="9" s="1"/>
  <c r="M15" i="9"/>
  <c r="L15" i="9"/>
  <c r="L12" i="9" s="1"/>
  <c r="L16" i="9" s="1"/>
  <c r="K15" i="9"/>
  <c r="K12" i="9" s="1"/>
  <c r="K16" i="9" s="1"/>
  <c r="J15" i="9"/>
  <c r="J12" i="9" s="1"/>
  <c r="J16" i="9" s="1"/>
  <c r="I15" i="9"/>
  <c r="H15" i="9"/>
  <c r="H12" i="9" s="1"/>
  <c r="H16" i="9" s="1"/>
  <c r="G15" i="9"/>
  <c r="G12" i="9" s="1"/>
  <c r="G16" i="9" s="1"/>
  <c r="F15" i="9"/>
  <c r="F12" i="9" s="1"/>
  <c r="P12" i="9"/>
  <c r="M12" i="9"/>
  <c r="M16" i="9" s="1"/>
  <c r="I12" i="9"/>
  <c r="I16" i="9" s="1"/>
  <c r="Q11" i="9"/>
  <c r="M11" i="9"/>
  <c r="I11" i="9"/>
  <c r="S10" i="9"/>
  <c r="S7" i="9" s="1"/>
  <c r="S11" i="9" s="1"/>
  <c r="R10" i="9"/>
  <c r="R7" i="9" s="1"/>
  <c r="R11" i="9" s="1"/>
  <c r="Q10" i="9"/>
  <c r="P10" i="9"/>
  <c r="P7" i="9" s="1"/>
  <c r="P11" i="9" s="1"/>
  <c r="O10" i="9"/>
  <c r="O7" i="9" s="1"/>
  <c r="O11" i="9" s="1"/>
  <c r="N10" i="9"/>
  <c r="N7" i="9" s="1"/>
  <c r="N11" i="9" s="1"/>
  <c r="M10" i="9"/>
  <c r="L10" i="9"/>
  <c r="L7" i="9" s="1"/>
  <c r="L11" i="9" s="1"/>
  <c r="K10" i="9"/>
  <c r="K7" i="9" s="1"/>
  <c r="K11" i="9" s="1"/>
  <c r="J10" i="9"/>
  <c r="I10" i="9"/>
  <c r="H10" i="9"/>
  <c r="H7" i="9" s="1"/>
  <c r="H11" i="9" s="1"/>
  <c r="G10" i="9"/>
  <c r="G7" i="9" s="1"/>
  <c r="G11" i="9" s="1"/>
  <c r="F10" i="9"/>
  <c r="Q7" i="9"/>
  <c r="M7" i="9"/>
  <c r="J7" i="9"/>
  <c r="J11" i="9" s="1"/>
  <c r="I7" i="9"/>
  <c r="F7" i="9"/>
  <c r="T26" i="8"/>
  <c r="R26" i="8"/>
  <c r="P26" i="8"/>
  <c r="N26" i="8"/>
  <c r="M26" i="8"/>
  <c r="J26" i="8"/>
  <c r="T25" i="8"/>
  <c r="S25" i="8"/>
  <c r="R25" i="8"/>
  <c r="Q25" i="8"/>
  <c r="P25" i="8"/>
  <c r="O25" i="8"/>
  <c r="N25" i="8"/>
  <c r="M25" i="8"/>
  <c r="L25" i="8"/>
  <c r="L22" i="8" s="1"/>
  <c r="L26" i="8" s="1"/>
  <c r="K25" i="8"/>
  <c r="K22" i="8" s="1"/>
  <c r="K26" i="8" s="1"/>
  <c r="J25" i="8"/>
  <c r="I25" i="8"/>
  <c r="I22" i="8" s="1"/>
  <c r="I26" i="8" s="1"/>
  <c r="H25" i="8"/>
  <c r="H22" i="8" s="1"/>
  <c r="H26" i="8" s="1"/>
  <c r="G25" i="8"/>
  <c r="F25" i="8"/>
  <c r="T22" i="8"/>
  <c r="S22" i="8"/>
  <c r="S26" i="8" s="1"/>
  <c r="R22" i="8"/>
  <c r="Q22" i="8"/>
  <c r="Q26" i="8" s="1"/>
  <c r="P22" i="8"/>
  <c r="O22" i="8"/>
  <c r="O26" i="8" s="1"/>
  <c r="N22" i="8"/>
  <c r="M22" i="8"/>
  <c r="J22" i="8"/>
  <c r="G22" i="8"/>
  <c r="G26" i="8" s="1"/>
  <c r="F22" i="8"/>
  <c r="F26" i="8" s="1"/>
  <c r="T21" i="8"/>
  <c r="R21" i="8"/>
  <c r="P21" i="8"/>
  <c r="N21" i="8"/>
  <c r="M21" i="8"/>
  <c r="K21" i="8"/>
  <c r="T20" i="8"/>
  <c r="S20" i="8"/>
  <c r="S17" i="8" s="1"/>
  <c r="S21" i="8" s="1"/>
  <c r="R20" i="8"/>
  <c r="Q20" i="8"/>
  <c r="P20" i="8"/>
  <c r="O20" i="8"/>
  <c r="N20" i="8"/>
  <c r="M20" i="8"/>
  <c r="L20" i="8"/>
  <c r="L17" i="8" s="1"/>
  <c r="L21" i="8" s="1"/>
  <c r="K20" i="8"/>
  <c r="J20" i="8"/>
  <c r="J17" i="8" s="1"/>
  <c r="J21" i="8" s="1"/>
  <c r="I20" i="8"/>
  <c r="I17" i="8" s="1"/>
  <c r="I21" i="8" s="1"/>
  <c r="H20" i="8"/>
  <c r="H17" i="8" s="1"/>
  <c r="H21" i="8" s="1"/>
  <c r="G20" i="8"/>
  <c r="G17" i="8" s="1"/>
  <c r="G21" i="8" s="1"/>
  <c r="F20" i="8"/>
  <c r="T17" i="8"/>
  <c r="R17" i="8"/>
  <c r="Q17" i="8"/>
  <c r="Q21" i="8" s="1"/>
  <c r="P17" i="8"/>
  <c r="O17" i="8"/>
  <c r="O21" i="8" s="1"/>
  <c r="N17" i="8"/>
  <c r="M17" i="8"/>
  <c r="K17" i="8"/>
  <c r="F17" i="8"/>
  <c r="F21" i="8" s="1"/>
  <c r="T16" i="8"/>
  <c r="R16" i="8"/>
  <c r="P16" i="8"/>
  <c r="N16" i="8"/>
  <c r="M16" i="8"/>
  <c r="I16" i="8"/>
  <c r="H16" i="8"/>
  <c r="T15" i="8"/>
  <c r="S15" i="8"/>
  <c r="R15" i="8"/>
  <c r="Q15" i="8"/>
  <c r="P15" i="8"/>
  <c r="O15" i="8"/>
  <c r="N15" i="8"/>
  <c r="M15" i="8"/>
  <c r="L15" i="8"/>
  <c r="L12" i="8" s="1"/>
  <c r="L16" i="8" s="1"/>
  <c r="K15" i="8"/>
  <c r="K12" i="8" s="1"/>
  <c r="K16" i="8" s="1"/>
  <c r="J15" i="8"/>
  <c r="J12" i="8" s="1"/>
  <c r="J16" i="8" s="1"/>
  <c r="I15" i="8"/>
  <c r="H15" i="8"/>
  <c r="G15" i="8"/>
  <c r="F15" i="8"/>
  <c r="T12" i="8"/>
  <c r="S12" i="8"/>
  <c r="S16" i="8" s="1"/>
  <c r="R12" i="8"/>
  <c r="Q12" i="8"/>
  <c r="Q16" i="8" s="1"/>
  <c r="P12" i="8"/>
  <c r="O12" i="8"/>
  <c r="O16" i="8" s="1"/>
  <c r="N12" i="8"/>
  <c r="M12" i="8"/>
  <c r="I12" i="8"/>
  <c r="H12" i="8"/>
  <c r="G12" i="8"/>
  <c r="G16" i="8" s="1"/>
  <c r="F12" i="8"/>
  <c r="F16" i="8" s="1"/>
  <c r="T11" i="8"/>
  <c r="R11" i="8"/>
  <c r="P11" i="8"/>
  <c r="N11" i="8"/>
  <c r="M11" i="8"/>
  <c r="K11" i="8"/>
  <c r="T10" i="8"/>
  <c r="S10" i="8"/>
  <c r="R10" i="8"/>
  <c r="Q10" i="8"/>
  <c r="P10" i="8"/>
  <c r="O10" i="8"/>
  <c r="N10" i="8"/>
  <c r="M10" i="8"/>
  <c r="L10" i="8"/>
  <c r="L7" i="8" s="1"/>
  <c r="L11" i="8" s="1"/>
  <c r="K10" i="8"/>
  <c r="J10" i="8"/>
  <c r="J7" i="8" s="1"/>
  <c r="J11" i="8" s="1"/>
  <c r="I10" i="8"/>
  <c r="I7" i="8" s="1"/>
  <c r="I11" i="8" s="1"/>
  <c r="H10" i="8"/>
  <c r="H7" i="8" s="1"/>
  <c r="H11" i="8" s="1"/>
  <c r="G10" i="8"/>
  <c r="F10" i="8"/>
  <c r="T7" i="8"/>
  <c r="S7" i="8"/>
  <c r="S11" i="8" s="1"/>
  <c r="R7" i="8"/>
  <c r="Q7" i="8"/>
  <c r="Q11" i="8" s="1"/>
  <c r="P7" i="8"/>
  <c r="O7" i="8"/>
  <c r="O11" i="8" s="1"/>
  <c r="N7" i="8"/>
  <c r="M7" i="8"/>
  <c r="K7" i="8"/>
  <c r="G7" i="8"/>
  <c r="G11" i="8" s="1"/>
  <c r="F7" i="8"/>
  <c r="F11" i="8" s="1"/>
  <c r="U11" i="8" s="1"/>
  <c r="M39" i="7"/>
  <c r="L39" i="7"/>
  <c r="L36" i="7" s="1"/>
  <c r="L40" i="7" s="1"/>
  <c r="K39" i="7"/>
  <c r="K36" i="7" s="1"/>
  <c r="K40" i="7" s="1"/>
  <c r="J39" i="7"/>
  <c r="J36" i="7" s="1"/>
  <c r="J40" i="7" s="1"/>
  <c r="I39" i="7"/>
  <c r="I36" i="7" s="1"/>
  <c r="I40" i="7" s="1"/>
  <c r="H39" i="7"/>
  <c r="H36" i="7" s="1"/>
  <c r="H40" i="7" s="1"/>
  <c r="G39" i="7"/>
  <c r="G36" i="7" s="1"/>
  <c r="G40" i="7" s="1"/>
  <c r="F39" i="7"/>
  <c r="F36" i="7" s="1"/>
  <c r="M36" i="7"/>
  <c r="M40" i="7" s="1"/>
  <c r="J35" i="7"/>
  <c r="M34" i="7"/>
  <c r="L34" i="7"/>
  <c r="K34" i="7"/>
  <c r="J34" i="7"/>
  <c r="I34" i="7"/>
  <c r="I31" i="7" s="1"/>
  <c r="I35" i="7" s="1"/>
  <c r="H34" i="7"/>
  <c r="G34" i="7"/>
  <c r="G31" i="7" s="1"/>
  <c r="G35" i="7" s="1"/>
  <c r="F34" i="7"/>
  <c r="F31" i="7" s="1"/>
  <c r="M31" i="7"/>
  <c r="M35" i="7" s="1"/>
  <c r="L31" i="7"/>
  <c r="L35" i="7" s="1"/>
  <c r="K31" i="7"/>
  <c r="K35" i="7" s="1"/>
  <c r="J31" i="7"/>
  <c r="H31" i="7"/>
  <c r="H35" i="7" s="1"/>
  <c r="M29" i="7"/>
  <c r="M26" i="7" s="1"/>
  <c r="M30" i="7" s="1"/>
  <c r="L29" i="7"/>
  <c r="L26" i="7" s="1"/>
  <c r="L30" i="7" s="1"/>
  <c r="K29" i="7"/>
  <c r="J29" i="7"/>
  <c r="I29" i="7"/>
  <c r="H29" i="7"/>
  <c r="G29" i="7"/>
  <c r="F29" i="7"/>
  <c r="K26" i="7"/>
  <c r="K30" i="7" s="1"/>
  <c r="J26" i="7"/>
  <c r="J30" i="7" s="1"/>
  <c r="I26" i="7"/>
  <c r="I30" i="7" s="1"/>
  <c r="H26" i="7"/>
  <c r="H30" i="7" s="1"/>
  <c r="G26" i="7"/>
  <c r="G30" i="7" s="1"/>
  <c r="F26" i="7"/>
  <c r="F30" i="7" s="1"/>
  <c r="M24" i="7"/>
  <c r="M21" i="7" s="1"/>
  <c r="M25" i="7" s="1"/>
  <c r="L24" i="7"/>
  <c r="L21" i="7" s="1"/>
  <c r="L25" i="7" s="1"/>
  <c r="K24" i="7"/>
  <c r="K21" i="7" s="1"/>
  <c r="K25" i="7" s="1"/>
  <c r="J24" i="7"/>
  <c r="J21" i="7" s="1"/>
  <c r="J25" i="7" s="1"/>
  <c r="I24" i="7"/>
  <c r="I21" i="7" s="1"/>
  <c r="I25" i="7" s="1"/>
  <c r="H24" i="7"/>
  <c r="H21" i="7" s="1"/>
  <c r="H25" i="7" s="1"/>
  <c r="G24" i="7"/>
  <c r="G21" i="7" s="1"/>
  <c r="G25" i="7" s="1"/>
  <c r="F24" i="7"/>
  <c r="F21" i="7"/>
  <c r="L20" i="7"/>
  <c r="K20" i="7"/>
  <c r="M19" i="7"/>
  <c r="L19" i="7"/>
  <c r="K19" i="7"/>
  <c r="J19" i="7"/>
  <c r="J16" i="7" s="1"/>
  <c r="J20" i="7" s="1"/>
  <c r="I19" i="7"/>
  <c r="H19" i="7"/>
  <c r="H16" i="7" s="1"/>
  <c r="H20" i="7" s="1"/>
  <c r="G19" i="7"/>
  <c r="G16" i="7" s="1"/>
  <c r="G20" i="7" s="1"/>
  <c r="F19" i="7"/>
  <c r="F16" i="7" s="1"/>
  <c r="M16" i="7"/>
  <c r="M20" i="7" s="1"/>
  <c r="L16" i="7"/>
  <c r="K16" i="7"/>
  <c r="I16" i="7"/>
  <c r="I20" i="7" s="1"/>
  <c r="G15" i="7"/>
  <c r="F15" i="7"/>
  <c r="M14" i="7"/>
  <c r="M11" i="7" s="1"/>
  <c r="M15" i="7" s="1"/>
  <c r="L14" i="7"/>
  <c r="K14" i="7"/>
  <c r="J14" i="7"/>
  <c r="I14" i="7"/>
  <c r="H14" i="7"/>
  <c r="G14" i="7"/>
  <c r="F14" i="7"/>
  <c r="L11" i="7"/>
  <c r="L15" i="7" s="1"/>
  <c r="K11" i="7"/>
  <c r="K15" i="7" s="1"/>
  <c r="J11" i="7"/>
  <c r="J15" i="7" s="1"/>
  <c r="I11" i="7"/>
  <c r="I15" i="7" s="1"/>
  <c r="H11" i="7"/>
  <c r="H15" i="7" s="1"/>
  <c r="G11" i="7"/>
  <c r="F11" i="7"/>
  <c r="M9" i="7"/>
  <c r="M6" i="7" s="1"/>
  <c r="M10" i="7" s="1"/>
  <c r="L9" i="7"/>
  <c r="L6" i="7" s="1"/>
  <c r="L10" i="7" s="1"/>
  <c r="K9" i="7"/>
  <c r="K6" i="7" s="1"/>
  <c r="K10" i="7" s="1"/>
  <c r="J9" i="7"/>
  <c r="J6" i="7" s="1"/>
  <c r="J10" i="7" s="1"/>
  <c r="I9" i="7"/>
  <c r="I6" i="7" s="1"/>
  <c r="I10" i="7" s="1"/>
  <c r="H9" i="7"/>
  <c r="H6" i="7" s="1"/>
  <c r="H10" i="7" s="1"/>
  <c r="G9" i="7"/>
  <c r="F9" i="7"/>
  <c r="G6" i="7"/>
  <c r="G10" i="7" s="1"/>
  <c r="F6" i="7"/>
  <c r="T22" i="11" l="1"/>
  <c r="G26" i="11"/>
  <c r="T12" i="11"/>
  <c r="F16" i="11"/>
  <c r="T16" i="11" s="1"/>
  <c r="U16" i="11" s="1"/>
  <c r="T17" i="11"/>
  <c r="F21" i="11"/>
  <c r="T21" i="11" s="1"/>
  <c r="U21" i="11" s="1"/>
  <c r="T7" i="11"/>
  <c r="T26" i="11"/>
  <c r="U26" i="11" s="1"/>
  <c r="F11" i="11"/>
  <c r="T11" i="11" s="1"/>
  <c r="U11" i="11" s="1"/>
  <c r="F21" i="10"/>
  <c r="T21" i="10" s="1"/>
  <c r="T17" i="10"/>
  <c r="T22" i="10"/>
  <c r="T12" i="10"/>
  <c r="F16" i="10"/>
  <c r="T16" i="10" s="1"/>
  <c r="U16" i="10" s="1"/>
  <c r="T7" i="10"/>
  <c r="F11" i="10"/>
  <c r="T11" i="10" s="1"/>
  <c r="U11" i="10" s="1"/>
  <c r="F26" i="10"/>
  <c r="T26" i="10" s="1"/>
  <c r="U26" i="10" s="1"/>
  <c r="T12" i="9"/>
  <c r="F16" i="9"/>
  <c r="T16" i="9" s="1"/>
  <c r="T17" i="9"/>
  <c r="F21" i="9"/>
  <c r="T21" i="9" s="1"/>
  <c r="U21" i="9" s="1"/>
  <c r="T22" i="9"/>
  <c r="T7" i="9"/>
  <c r="T26" i="9"/>
  <c r="U26" i="9" s="1"/>
  <c r="F11" i="9"/>
  <c r="T11" i="9" s="1"/>
  <c r="U11" i="9" s="1"/>
  <c r="U21" i="8"/>
  <c r="U26" i="8"/>
  <c r="U16" i="8"/>
  <c r="U7" i="8"/>
  <c r="V11" i="8" s="1"/>
  <c r="U12" i="8"/>
  <c r="U17" i="8"/>
  <c r="U22" i="8"/>
  <c r="N15" i="7"/>
  <c r="N21" i="7"/>
  <c r="N11" i="7"/>
  <c r="F20" i="7"/>
  <c r="N20" i="7" s="1"/>
  <c r="N16" i="7"/>
  <c r="N6" i="7"/>
  <c r="N36" i="7"/>
  <c r="F40" i="7"/>
  <c r="N40" i="7" s="1"/>
  <c r="O40" i="7" s="1"/>
  <c r="N30" i="7"/>
  <c r="F35" i="7"/>
  <c r="N35" i="7" s="1"/>
  <c r="N31" i="7"/>
  <c r="F25" i="7"/>
  <c r="N25" i="7" s="1"/>
  <c r="O25" i="7" s="1"/>
  <c r="N26" i="7"/>
  <c r="F10" i="7"/>
  <c r="N10" i="7" s="1"/>
  <c r="O10" i="7" s="1"/>
  <c r="U21" i="10" l="1"/>
  <c r="U16" i="9"/>
  <c r="V26" i="8"/>
  <c r="V16" i="8"/>
  <c r="V21" i="8"/>
  <c r="O30" i="7"/>
  <c r="O35" i="7"/>
  <c r="O20" i="7"/>
  <c r="O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B1133EEA-AA1E-482F-B645-47E6C09EDF49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B1BD5C2C-9036-4C53-8D75-4BA77B686939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2FD5A015-AB71-4DFC-9443-863527B54934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67DF757A-9342-4603-B65C-04713B398685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<sst xmlns="http://schemas.openxmlformats.org/spreadsheetml/2006/main" count="249" uniqueCount="72">
  <si>
    <t>رقم تسلسل</t>
  </si>
  <si>
    <t>رقم القيد</t>
  </si>
  <si>
    <t>التقييم</t>
  </si>
  <si>
    <t>الأمتحان النهائي</t>
  </si>
  <si>
    <t>المجموع</t>
  </si>
  <si>
    <t>عدد الوحدات</t>
  </si>
  <si>
    <t>التقييم النهائي</t>
  </si>
  <si>
    <t>اســــــم الطالـــــب</t>
  </si>
  <si>
    <t>معدل الفصل</t>
  </si>
  <si>
    <t>صحة وسلامة مهنية</t>
  </si>
  <si>
    <t>مواد مطالب بها من الفصل الاول</t>
  </si>
  <si>
    <t>رياضة1</t>
  </si>
  <si>
    <t>فيزياء</t>
  </si>
  <si>
    <t>اساسيات الحاسوب</t>
  </si>
  <si>
    <t>رياضة 2</t>
  </si>
  <si>
    <t>مواد مطالب بها من الفصل الرابع</t>
  </si>
  <si>
    <t>مـــــواد الفصــــــــــــــل الثانــــــــــــــــي</t>
  </si>
  <si>
    <t>التقديـــر</t>
  </si>
  <si>
    <t>نتيجــة الطالــب</t>
  </si>
  <si>
    <t>مــلا حظات</t>
  </si>
  <si>
    <t>مـــــواد الفصــــــــــــــل الثااـــث</t>
  </si>
  <si>
    <t>مواد مطالب بها من الفصل الثاني</t>
  </si>
  <si>
    <t>مواد مطالب بها من الفصل الثالــث</t>
  </si>
  <si>
    <t>مـــــواد الفصــــــــــــــل الرابـــع</t>
  </si>
  <si>
    <t>مـــــواد الفصــــــــــــــل الخامس</t>
  </si>
  <si>
    <t>لغـــة عربية</t>
  </si>
  <si>
    <t>لغة انجليزية 1</t>
  </si>
  <si>
    <t>رسم هندسي 1</t>
  </si>
  <si>
    <t>تقنية ورش</t>
  </si>
  <si>
    <t>لغة انجليزية 2</t>
  </si>
  <si>
    <t>ميكانيكا هندسية</t>
  </si>
  <si>
    <t xml:space="preserve">خواص المواد  </t>
  </si>
  <si>
    <t>رسم صناعي</t>
  </si>
  <si>
    <t>كيمياء عامة</t>
  </si>
  <si>
    <t>أسس هندسة كهربائية</t>
  </si>
  <si>
    <t>ديناميكا حرارية 1</t>
  </si>
  <si>
    <t>مقاومة مواد</t>
  </si>
  <si>
    <t>علم المعادن</t>
  </si>
  <si>
    <t>مصطلحات فنية تحصصية</t>
  </si>
  <si>
    <t>أجهزة قياس ميكانيكية</t>
  </si>
  <si>
    <t>طرق بحت</t>
  </si>
  <si>
    <t>رياضة 3</t>
  </si>
  <si>
    <t>انتقال حرارة</t>
  </si>
  <si>
    <t>ديناميكا حرارية 2</t>
  </si>
  <si>
    <t>ميكانيكا موائع</t>
  </si>
  <si>
    <t>مبادئ تبريد وتكييف</t>
  </si>
  <si>
    <t>محركات الإحتراق الداخلي</t>
  </si>
  <si>
    <t>الات إنتاج</t>
  </si>
  <si>
    <t>إدارة صناعية</t>
  </si>
  <si>
    <t>محطات قوي</t>
  </si>
  <si>
    <t>الات إنتاج 2</t>
  </si>
  <si>
    <t>سباكة وتشكيل معادن</t>
  </si>
  <si>
    <t>اهتزازات ميكانيكية</t>
  </si>
  <si>
    <t>الات دوارة</t>
  </si>
  <si>
    <t>مراقبة جودة</t>
  </si>
  <si>
    <t>إدارة تخطيط وصيانة</t>
  </si>
  <si>
    <t>صالح محمد صالح</t>
  </si>
  <si>
    <t>محمد ابوبكر ميلود</t>
  </si>
  <si>
    <t>حسن احمد علي مادي</t>
  </si>
  <si>
    <t>عبدالهادي حسين ابوطريف</t>
  </si>
  <si>
    <t>مصعب احمد ناجي</t>
  </si>
  <si>
    <t>امحمد ميلود مسعود</t>
  </si>
  <si>
    <t>علي محمد علي ابوالعيون</t>
  </si>
  <si>
    <t>إيهاب علي السنوسي</t>
  </si>
  <si>
    <t>وسام عبدالحميد بن علي</t>
  </si>
  <si>
    <t>ME242002</t>
  </si>
  <si>
    <t>ME252002</t>
  </si>
  <si>
    <t>ME252003</t>
  </si>
  <si>
    <t>اعمال الفصل</t>
  </si>
  <si>
    <t>ME231002</t>
  </si>
  <si>
    <t>ME212002</t>
  </si>
  <si>
    <t>ME221002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</si>
</sst>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4"/>
      <name val="Arial"/>
      <family val="2"/>
    </font>
    <font>
      <b/>
      <i/>
      <sz val="18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7FBD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1">
    <border>
      <left/>
      <right/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1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thick">
        <color indexed="10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10"/>
      </bottom>
      <diagonal/>
    </border>
    <border>
      <left style="double">
        <color indexed="64"/>
      </left>
      <right/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2" borderId="7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5" fillId="2" borderId="8" xfId="0" applyFont="1" applyFill="1" applyBorder="1" applyAlignment="1">
      <alignment wrapText="1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5" borderId="13" xfId="0" applyFont="1" applyFill="1" applyBorder="1"/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textRotation="90"/>
    </xf>
    <xf numFmtId="0" fontId="6" fillId="3" borderId="14" xfId="0" applyFont="1" applyFill="1" applyBorder="1" applyAlignment="1">
      <alignment horizontal="center" vertical="center" textRotation="90"/>
    </xf>
    <xf numFmtId="0" fontId="6" fillId="3" borderId="15" xfId="0" applyFont="1" applyFill="1" applyBorder="1" applyAlignment="1">
      <alignment horizontal="center" vertical="center" textRotation="90"/>
    </xf>
    <xf numFmtId="0" fontId="6" fillId="3" borderId="16" xfId="0" applyFont="1" applyFill="1" applyBorder="1" applyAlignment="1">
      <alignment horizontal="center" vertical="center" textRotation="90"/>
    </xf>
    <xf numFmtId="0" fontId="7" fillId="0" borderId="4" xfId="0" applyFont="1" applyBorder="1"/>
    <xf numFmtId="0" fontId="7" fillId="0" borderId="1" xfId="0" applyFont="1" applyBorder="1"/>
    <xf numFmtId="0" fontId="7" fillId="0" borderId="13" xfId="0" applyFont="1" applyBorder="1"/>
    <xf numFmtId="0" fontId="7" fillId="0" borderId="18" xfId="0" applyFont="1" applyBorder="1" applyAlignment="1">
      <alignment wrapText="1"/>
    </xf>
    <xf numFmtId="0" fontId="7" fillId="0" borderId="2" xfId="0" applyFont="1" applyBorder="1"/>
    <xf numFmtId="0" fontId="7" fillId="0" borderId="8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 textRotation="90"/>
    </xf>
    <xf numFmtId="0" fontId="3" fillId="4" borderId="23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 vertical="center" textRotation="90"/>
    </xf>
    <xf numFmtId="0" fontId="3" fillId="3" borderId="22" xfId="0" applyFont="1" applyFill="1" applyBorder="1" applyAlignment="1">
      <alignment horizontal="center" vertical="center" textRotation="90"/>
    </xf>
    <xf numFmtId="0" fontId="3" fillId="3" borderId="16" xfId="0" applyFont="1" applyFill="1" applyBorder="1" applyAlignment="1">
      <alignment horizontal="center" vertical="center" textRotation="90"/>
    </xf>
    <xf numFmtId="0" fontId="6" fillId="3" borderId="26" xfId="0" applyFont="1" applyFill="1" applyBorder="1" applyAlignment="1">
      <alignment horizontal="center" vertical="center" textRotation="90"/>
    </xf>
    <xf numFmtId="0" fontId="3" fillId="3" borderId="22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wrapText="1"/>
    </xf>
    <xf numFmtId="0" fontId="5" fillId="2" borderId="18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 vertical="center" textRotation="90"/>
    </xf>
    <xf numFmtId="0" fontId="7" fillId="0" borderId="39" xfId="0" applyFont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textRotation="90"/>
    </xf>
    <xf numFmtId="0" fontId="3" fillId="0" borderId="29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 textRotation="90"/>
    </xf>
    <xf numFmtId="0" fontId="3" fillId="0" borderId="3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8" fillId="0" borderId="5" xfId="0" applyFont="1" applyBorder="1"/>
    <xf numFmtId="0" fontId="6" fillId="3" borderId="27" xfId="0" applyFont="1" applyFill="1" applyBorder="1" applyAlignment="1">
      <alignment horizontal="center" vertical="center" textRotation="90"/>
    </xf>
    <xf numFmtId="0" fontId="6" fillId="3" borderId="32" xfId="0" applyFont="1" applyFill="1" applyBorder="1" applyAlignment="1">
      <alignment horizontal="center" vertical="center" textRotation="90"/>
    </xf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textRotation="90"/>
    </xf>
    <xf numFmtId="0" fontId="6" fillId="6" borderId="30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 textRotation="90"/>
    </xf>
    <xf numFmtId="0" fontId="8" fillId="0" borderId="5" xfId="0" applyFont="1" applyBorder="1" applyAlignment="1">
      <alignment textRotation="90"/>
    </xf>
    <xf numFmtId="0" fontId="6" fillId="3" borderId="5" xfId="0" applyFont="1" applyFill="1" applyBorder="1" applyAlignment="1">
      <alignment horizontal="center" vertical="center" textRotation="90"/>
    </xf>
    <xf numFmtId="0" fontId="3" fillId="0" borderId="8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8EC4-CA78-47E6-A717-897D151A683A}">
  <dimension ref="B4:R41"/>
  <sheetViews>
    <sheetView rightToLeft="1" topLeftCell="A22" workbookViewId="0">
      <selection activeCell="T9" sqref="T9"/>
    </sheetView>
  </sheetViews>
  <sheetFormatPr defaultRowHeight="12.75" x14ac:dyDescent="0.2"/>
  <cols>
    <col min="3" max="3" width="23.28515625" customWidth="1"/>
    <col min="5" max="5" width="21.28515625" customWidth="1"/>
    <col min="18" max="18" width="24.7109375" customWidth="1"/>
  </cols>
  <sheetData>
    <row r="4" spans="2:18" ht="13.5" thickBot="1" x14ac:dyDescent="0.25"/>
    <row r="5" spans="2:18" ht="99" thickTop="1" thickBot="1" x14ac:dyDescent="0.25">
      <c r="B5" s="58" t="s">
        <v>0</v>
      </c>
      <c r="C5" s="54" t="s">
        <v>7</v>
      </c>
      <c r="D5" s="53" t="s">
        <v>1</v>
      </c>
      <c r="E5" s="54" t="s">
        <v>2</v>
      </c>
      <c r="F5" s="51" t="s">
        <v>11</v>
      </c>
      <c r="G5" s="51" t="s">
        <v>12</v>
      </c>
      <c r="H5" s="51" t="s">
        <v>26</v>
      </c>
      <c r="I5" s="51" t="s">
        <v>25</v>
      </c>
      <c r="J5" s="51" t="s">
        <v>13</v>
      </c>
      <c r="K5" s="51" t="s">
        <v>27</v>
      </c>
      <c r="L5" s="51" t="s">
        <v>28</v>
      </c>
      <c r="M5" s="51" t="s">
        <v>9</v>
      </c>
      <c r="N5" s="51" t="s">
        <v>4</v>
      </c>
      <c r="O5" s="52" t="s">
        <v>8</v>
      </c>
      <c r="P5" s="50" t="s">
        <v>17</v>
      </c>
      <c r="Q5" s="45" t="s">
        <v>18</v>
      </c>
      <c r="R5" s="106" t="s">
        <v>19</v>
      </c>
    </row>
    <row r="6" spans="2:18" ht="20.25" customHeight="1" thickTop="1" thickBot="1" x14ac:dyDescent="0.35">
      <c r="B6" s="74">
        <v>-1</v>
      </c>
      <c r="C6" s="73" t="s">
        <v>56</v>
      </c>
      <c r="D6" s="71" t="s">
        <v>65</v>
      </c>
      <c r="E6" s="46" t="s">
        <v>5</v>
      </c>
      <c r="F6" s="47">
        <f>IF(IF(F9=0,0,3),3,0)</f>
        <v>3</v>
      </c>
      <c r="G6" s="47">
        <f>IF(IF(G9=0,0,3),3,0)</f>
        <v>3</v>
      </c>
      <c r="H6" s="47">
        <f>IF(IF(H9=0,0,2),2,0)</f>
        <v>0</v>
      </c>
      <c r="I6" s="47">
        <f>IF(IF(I9=0,0,2),2,0)</f>
        <v>0</v>
      </c>
      <c r="J6" s="47">
        <f>IF(IF(J9=0,0,3),3,0)</f>
        <v>0</v>
      </c>
      <c r="K6" s="47">
        <f>IF(IF(K9=0,0,3),3,0)</f>
        <v>3</v>
      </c>
      <c r="L6" s="48">
        <f>IF(IF(L9=0,0,3),3,0)</f>
        <v>0</v>
      </c>
      <c r="M6" s="48">
        <f>IF(IF(M9=0,0,2),2,0)</f>
        <v>2</v>
      </c>
      <c r="N6" s="48">
        <f>SUM(F6:M6)</f>
        <v>11</v>
      </c>
      <c r="O6" s="49"/>
      <c r="P6" s="78"/>
      <c r="Q6" s="78"/>
      <c r="R6" s="75"/>
    </row>
    <row r="7" spans="2:18" ht="19.5" customHeight="1" thickTop="1" thickBot="1" x14ac:dyDescent="0.3">
      <c r="B7" s="63"/>
      <c r="C7" s="69"/>
      <c r="D7" s="71"/>
      <c r="E7" s="5" t="s">
        <v>68</v>
      </c>
      <c r="F7" s="6">
        <v>25</v>
      </c>
      <c r="G7" s="6">
        <v>20</v>
      </c>
      <c r="H7" s="6">
        <v>0</v>
      </c>
      <c r="I7" s="7">
        <v>0</v>
      </c>
      <c r="J7" s="7">
        <v>0</v>
      </c>
      <c r="K7" s="7">
        <v>32</v>
      </c>
      <c r="L7" s="7">
        <v>0</v>
      </c>
      <c r="M7" s="7">
        <v>21</v>
      </c>
      <c r="N7" s="4"/>
      <c r="O7" s="15"/>
      <c r="P7" s="79"/>
      <c r="Q7" s="79"/>
      <c r="R7" s="76"/>
    </row>
    <row r="8" spans="2:18" ht="19.5" customHeight="1" thickTop="1" thickBot="1" x14ac:dyDescent="0.3">
      <c r="B8" s="63"/>
      <c r="C8" s="69"/>
      <c r="D8" s="71"/>
      <c r="E8" s="1" t="s">
        <v>3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4"/>
      <c r="O8" s="15"/>
      <c r="P8" s="79"/>
      <c r="Q8" s="79"/>
      <c r="R8" s="76"/>
    </row>
    <row r="9" spans="2:18" ht="19.5" customHeight="1" thickTop="1" thickBot="1" x14ac:dyDescent="0.3">
      <c r="B9" s="63"/>
      <c r="C9" s="69"/>
      <c r="D9" s="71"/>
      <c r="E9" s="17" t="s">
        <v>4</v>
      </c>
      <c r="F9" s="18">
        <f t="shared" ref="F9:M9" si="0">IF(F8&lt;30,F7,F7+F8)</f>
        <v>25</v>
      </c>
      <c r="G9" s="18">
        <f t="shared" si="0"/>
        <v>20</v>
      </c>
      <c r="H9" s="18">
        <f t="shared" si="0"/>
        <v>0</v>
      </c>
      <c r="I9" s="18">
        <f t="shared" si="0"/>
        <v>0</v>
      </c>
      <c r="J9" s="18">
        <f t="shared" si="0"/>
        <v>0</v>
      </c>
      <c r="K9" s="18">
        <f t="shared" si="0"/>
        <v>32</v>
      </c>
      <c r="L9" s="18">
        <f t="shared" si="0"/>
        <v>0</v>
      </c>
      <c r="M9" s="18">
        <f t="shared" si="0"/>
        <v>21</v>
      </c>
      <c r="N9" s="19"/>
      <c r="O9" s="20"/>
      <c r="P9" s="79"/>
      <c r="Q9" s="79"/>
      <c r="R9" s="76"/>
    </row>
    <row r="10" spans="2:18" ht="37.5" customHeight="1" thickTop="1" thickBot="1" x14ac:dyDescent="0.3">
      <c r="B10" s="64"/>
      <c r="C10" s="70"/>
      <c r="D10" s="72"/>
      <c r="E10" s="11" t="s">
        <v>6</v>
      </c>
      <c r="F10" s="12">
        <f t="shared" ref="F10:M10" si="1">SUM(F6*F9)</f>
        <v>75</v>
      </c>
      <c r="G10" s="12">
        <f t="shared" si="1"/>
        <v>60</v>
      </c>
      <c r="H10" s="12">
        <f t="shared" si="1"/>
        <v>0</v>
      </c>
      <c r="I10" s="12">
        <f t="shared" si="1"/>
        <v>0</v>
      </c>
      <c r="J10" s="12">
        <f t="shared" si="1"/>
        <v>0</v>
      </c>
      <c r="K10" s="12">
        <f t="shared" si="1"/>
        <v>96</v>
      </c>
      <c r="L10" s="12">
        <f t="shared" si="1"/>
        <v>0</v>
      </c>
      <c r="M10" s="12">
        <f t="shared" si="1"/>
        <v>42</v>
      </c>
      <c r="N10" s="13">
        <f>SUM(F10:M10)</f>
        <v>273</v>
      </c>
      <c r="O10" s="16">
        <f>SUM(N10/N6)</f>
        <v>24.818181818181817</v>
      </c>
      <c r="P10" s="80"/>
      <c r="Q10" s="80"/>
      <c r="R10" s="77"/>
    </row>
    <row r="11" spans="2:18" ht="20.25" customHeight="1" thickTop="1" thickBot="1" x14ac:dyDescent="0.35">
      <c r="B11" s="62">
        <v>-2</v>
      </c>
      <c r="C11" s="68" t="s">
        <v>63</v>
      </c>
      <c r="D11" s="71" t="s">
        <v>66</v>
      </c>
      <c r="E11" s="14" t="s">
        <v>5</v>
      </c>
      <c r="F11" s="47">
        <f>IF(IF(F14=0,0,3),3,0)</f>
        <v>0</v>
      </c>
      <c r="G11" s="47">
        <f>IF(IF(G14=0,0,3),3,0)</f>
        <v>0</v>
      </c>
      <c r="H11" s="47">
        <f>IF(IF(H14=0,0,2),2,0)</f>
        <v>0</v>
      </c>
      <c r="I11" s="47">
        <f>IF(IF(I14=0,0,2),2,0)</f>
        <v>0</v>
      </c>
      <c r="J11" s="47">
        <f>IF(IF(J14=0,0,3),3,0)</f>
        <v>0</v>
      </c>
      <c r="K11" s="47">
        <f>IF(IF(K14=0,0,3),3,0)</f>
        <v>0</v>
      </c>
      <c r="L11" s="48">
        <f>IF(IF(L14=0,0,3),3,0)</f>
        <v>0</v>
      </c>
      <c r="M11" s="48">
        <f>IF(IF(M14=0,0,2),2,0)</f>
        <v>0</v>
      </c>
      <c r="N11" s="48">
        <f>SUM(F11:M11)</f>
        <v>0</v>
      </c>
      <c r="O11" s="49"/>
      <c r="P11" s="78"/>
      <c r="Q11" s="78"/>
      <c r="R11" s="81"/>
    </row>
    <row r="12" spans="2:18" ht="19.5" customHeight="1" thickTop="1" thickBot="1" x14ac:dyDescent="0.3">
      <c r="B12" s="63"/>
      <c r="C12" s="69"/>
      <c r="D12" s="71"/>
      <c r="E12" s="2" t="s">
        <v>68</v>
      </c>
      <c r="F12" s="6">
        <v>0</v>
      </c>
      <c r="G12" s="6">
        <v>0</v>
      </c>
      <c r="H12" s="6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4"/>
      <c r="O12" s="15"/>
      <c r="P12" s="79"/>
      <c r="Q12" s="79"/>
      <c r="R12" s="76"/>
    </row>
    <row r="13" spans="2:18" ht="19.5" customHeight="1" thickTop="1" thickBot="1" x14ac:dyDescent="0.3">
      <c r="B13" s="63"/>
      <c r="C13" s="69"/>
      <c r="D13" s="71"/>
      <c r="E13" s="1" t="s">
        <v>3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4"/>
      <c r="O13" s="15"/>
      <c r="P13" s="79"/>
      <c r="Q13" s="79"/>
      <c r="R13" s="76"/>
    </row>
    <row r="14" spans="2:18" ht="19.5" customHeight="1" thickTop="1" thickBot="1" x14ac:dyDescent="0.3">
      <c r="B14" s="63"/>
      <c r="C14" s="69"/>
      <c r="D14" s="71"/>
      <c r="E14" s="17" t="s">
        <v>4</v>
      </c>
      <c r="F14" s="18">
        <f t="shared" ref="F14:M14" si="2">IF(F13&lt;30,F12,F12+F13)</f>
        <v>0</v>
      </c>
      <c r="G14" s="18">
        <f t="shared" si="2"/>
        <v>0</v>
      </c>
      <c r="H14" s="18">
        <f t="shared" si="2"/>
        <v>0</v>
      </c>
      <c r="I14" s="18">
        <f t="shared" si="2"/>
        <v>0</v>
      </c>
      <c r="J14" s="18">
        <f t="shared" si="2"/>
        <v>0</v>
      </c>
      <c r="K14" s="18">
        <f t="shared" si="2"/>
        <v>0</v>
      </c>
      <c r="L14" s="18">
        <f t="shared" si="2"/>
        <v>0</v>
      </c>
      <c r="M14" s="18">
        <f t="shared" si="2"/>
        <v>0</v>
      </c>
      <c r="N14" s="19"/>
      <c r="O14" s="20"/>
      <c r="P14" s="79"/>
      <c r="Q14" s="79"/>
      <c r="R14" s="76"/>
    </row>
    <row r="15" spans="2:18" ht="37.5" customHeight="1" thickTop="1" thickBot="1" x14ac:dyDescent="0.3">
      <c r="B15" s="64"/>
      <c r="C15" s="70"/>
      <c r="D15" s="72"/>
      <c r="E15" s="11" t="s">
        <v>6</v>
      </c>
      <c r="F15" s="12">
        <f t="shared" ref="F15:M15" si="3">SUM(F11*F14)</f>
        <v>0</v>
      </c>
      <c r="G15" s="12">
        <f t="shared" si="3"/>
        <v>0</v>
      </c>
      <c r="H15" s="12">
        <f t="shared" si="3"/>
        <v>0</v>
      </c>
      <c r="I15" s="12">
        <f t="shared" si="3"/>
        <v>0</v>
      </c>
      <c r="J15" s="12">
        <f t="shared" si="3"/>
        <v>0</v>
      </c>
      <c r="K15" s="12">
        <f t="shared" si="3"/>
        <v>0</v>
      </c>
      <c r="L15" s="12">
        <f t="shared" si="3"/>
        <v>0</v>
      </c>
      <c r="M15" s="12">
        <f t="shared" si="3"/>
        <v>0</v>
      </c>
      <c r="N15" s="13">
        <f>SUM(F15:M15)</f>
        <v>0</v>
      </c>
      <c r="O15" s="16" t="e">
        <f>SUM(N15/N11)</f>
        <v>#DIV/0!</v>
      </c>
      <c r="P15" s="80"/>
      <c r="Q15" s="80"/>
      <c r="R15" s="77"/>
    </row>
    <row r="16" spans="2:18" ht="20.25" customHeight="1" thickTop="1" thickBot="1" x14ac:dyDescent="0.35">
      <c r="B16" s="62">
        <v>-3</v>
      </c>
      <c r="C16" s="68" t="s">
        <v>62</v>
      </c>
      <c r="D16" s="71" t="s">
        <v>66</v>
      </c>
      <c r="E16" s="14" t="s">
        <v>5</v>
      </c>
      <c r="F16" s="47">
        <f>IF(IF(F19=0,0,3),3,0)</f>
        <v>0</v>
      </c>
      <c r="G16" s="47">
        <f>IF(IF(G19=0,0,3),3,0)</f>
        <v>0</v>
      </c>
      <c r="H16" s="47">
        <f>IF(IF(H19=0,0,2),2,0)</f>
        <v>0</v>
      </c>
      <c r="I16" s="47">
        <f>IF(IF(I19=0,0,2),2,0)</f>
        <v>0</v>
      </c>
      <c r="J16" s="47">
        <f>IF(IF(J19=0,0,3),3,0)</f>
        <v>0</v>
      </c>
      <c r="K16" s="47">
        <f>IF(IF(K19=0,0,3),3,0)</f>
        <v>0</v>
      </c>
      <c r="L16" s="48">
        <f>IF(IF(L19=0,0,3),3,0)</f>
        <v>0</v>
      </c>
      <c r="M16" s="48">
        <f>IF(IF(M19=0,0,2),2,0)</f>
        <v>0</v>
      </c>
      <c r="N16" s="48">
        <f>SUM(F16:M16)</f>
        <v>0</v>
      </c>
      <c r="O16" s="49"/>
      <c r="P16" s="78"/>
      <c r="Q16" s="78"/>
      <c r="R16" s="81"/>
    </row>
    <row r="17" spans="2:18" ht="19.5" customHeight="1" thickTop="1" thickBot="1" x14ac:dyDescent="0.3">
      <c r="B17" s="63"/>
      <c r="C17" s="69"/>
      <c r="D17" s="71"/>
      <c r="E17" s="2" t="s">
        <v>68</v>
      </c>
      <c r="F17" s="6">
        <v>0</v>
      </c>
      <c r="G17" s="6">
        <v>0</v>
      </c>
      <c r="H17" s="6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4"/>
      <c r="O17" s="15"/>
      <c r="P17" s="79"/>
      <c r="Q17" s="79"/>
      <c r="R17" s="76"/>
    </row>
    <row r="18" spans="2:18" ht="19.5" customHeight="1" thickTop="1" thickBot="1" x14ac:dyDescent="0.3">
      <c r="B18" s="63"/>
      <c r="C18" s="69"/>
      <c r="D18" s="71"/>
      <c r="E18" s="1" t="s">
        <v>3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4"/>
      <c r="O18" s="15"/>
      <c r="P18" s="79"/>
      <c r="Q18" s="79"/>
      <c r="R18" s="76"/>
    </row>
    <row r="19" spans="2:18" ht="19.5" customHeight="1" thickTop="1" thickBot="1" x14ac:dyDescent="0.3">
      <c r="B19" s="63"/>
      <c r="C19" s="69"/>
      <c r="D19" s="71"/>
      <c r="E19" s="17" t="s">
        <v>4</v>
      </c>
      <c r="F19" s="18">
        <f t="shared" ref="F19:M19" si="4">IF(F18&lt;30,F17,F17+F18)</f>
        <v>0</v>
      </c>
      <c r="G19" s="18">
        <f t="shared" si="4"/>
        <v>0</v>
      </c>
      <c r="H19" s="18">
        <f t="shared" si="4"/>
        <v>0</v>
      </c>
      <c r="I19" s="18">
        <f t="shared" si="4"/>
        <v>0</v>
      </c>
      <c r="J19" s="18">
        <f t="shared" si="4"/>
        <v>0</v>
      </c>
      <c r="K19" s="18">
        <f t="shared" si="4"/>
        <v>0</v>
      </c>
      <c r="L19" s="18">
        <f t="shared" si="4"/>
        <v>0</v>
      </c>
      <c r="M19" s="18">
        <f t="shared" si="4"/>
        <v>0</v>
      </c>
      <c r="N19" s="19"/>
      <c r="O19" s="20"/>
      <c r="P19" s="79"/>
      <c r="Q19" s="79"/>
      <c r="R19" s="76"/>
    </row>
    <row r="20" spans="2:18" ht="37.5" customHeight="1" thickTop="1" thickBot="1" x14ac:dyDescent="0.3">
      <c r="B20" s="64"/>
      <c r="C20" s="70"/>
      <c r="D20" s="72"/>
      <c r="E20" s="8" t="s">
        <v>6</v>
      </c>
      <c r="F20" s="12">
        <f t="shared" ref="F20:M20" si="5">SUM(F16*F19)</f>
        <v>0</v>
      </c>
      <c r="G20" s="12">
        <f t="shared" si="5"/>
        <v>0</v>
      </c>
      <c r="H20" s="12">
        <f t="shared" si="5"/>
        <v>0</v>
      </c>
      <c r="I20" s="12">
        <f t="shared" si="5"/>
        <v>0</v>
      </c>
      <c r="J20" s="12">
        <f t="shared" si="5"/>
        <v>0</v>
      </c>
      <c r="K20" s="12">
        <f t="shared" si="5"/>
        <v>0</v>
      </c>
      <c r="L20" s="12">
        <f t="shared" si="5"/>
        <v>0</v>
      </c>
      <c r="M20" s="12">
        <f t="shared" si="5"/>
        <v>0</v>
      </c>
      <c r="N20" s="13">
        <f>SUM(F20:M20)</f>
        <v>0</v>
      </c>
      <c r="O20" s="16" t="e">
        <f>SUM(N20/N16)</f>
        <v>#DIV/0!</v>
      </c>
      <c r="P20" s="80"/>
      <c r="Q20" s="80"/>
      <c r="R20" s="77"/>
    </row>
    <row r="21" spans="2:18" ht="20.25" customHeight="1" thickTop="1" thickBot="1" x14ac:dyDescent="0.35">
      <c r="B21" s="62">
        <v>-4</v>
      </c>
      <c r="C21" s="68" t="s">
        <v>64</v>
      </c>
      <c r="D21" s="82" t="s">
        <v>67</v>
      </c>
      <c r="E21" s="10" t="s">
        <v>5</v>
      </c>
      <c r="F21" s="47">
        <f>IF(IF(F24=0,0,3),3,0)</f>
        <v>3</v>
      </c>
      <c r="G21" s="47">
        <f>IF(IF(G24=0,0,3),3,0)</f>
        <v>3</v>
      </c>
      <c r="H21" s="47">
        <f>IF(IF(H24=0,0,2),2,0)</f>
        <v>0</v>
      </c>
      <c r="I21" s="47">
        <f>IF(IF(I24=0,0,2),2,0)</f>
        <v>0</v>
      </c>
      <c r="J21" s="47">
        <f>IF(IF(J24=0,0,3),3,0)</f>
        <v>3</v>
      </c>
      <c r="K21" s="47">
        <f>IF(IF(K24=0,0,3),3,0)</f>
        <v>3</v>
      </c>
      <c r="L21" s="48">
        <f>IF(IF(L24=0,0,3),3,0)</f>
        <v>0</v>
      </c>
      <c r="M21" s="48">
        <f>IF(IF(M24=0,0,2),2,0)</f>
        <v>2</v>
      </c>
      <c r="N21" s="48">
        <f>SUM(F21:M21)</f>
        <v>14</v>
      </c>
      <c r="O21" s="49"/>
      <c r="P21" s="78"/>
      <c r="Q21" s="78"/>
      <c r="R21" s="81"/>
    </row>
    <row r="22" spans="2:18" ht="19.5" customHeight="1" thickTop="1" thickBot="1" x14ac:dyDescent="0.3">
      <c r="B22" s="63"/>
      <c r="C22" s="69"/>
      <c r="D22" s="71"/>
      <c r="E22" s="2" t="s">
        <v>68</v>
      </c>
      <c r="F22" s="6">
        <v>23</v>
      </c>
      <c r="G22" s="6">
        <v>10</v>
      </c>
      <c r="H22" s="6">
        <v>0</v>
      </c>
      <c r="I22" s="7">
        <v>0</v>
      </c>
      <c r="J22" s="7">
        <v>23</v>
      </c>
      <c r="K22" s="7">
        <v>27</v>
      </c>
      <c r="L22" s="7">
        <v>0</v>
      </c>
      <c r="M22" s="7">
        <v>11</v>
      </c>
      <c r="N22" s="4"/>
      <c r="O22" s="15"/>
      <c r="P22" s="79"/>
      <c r="Q22" s="79"/>
      <c r="R22" s="76"/>
    </row>
    <row r="23" spans="2:18" ht="19.5" customHeight="1" thickTop="1" thickBot="1" x14ac:dyDescent="0.3">
      <c r="B23" s="63"/>
      <c r="C23" s="69"/>
      <c r="D23" s="71"/>
      <c r="E23" s="1" t="s">
        <v>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4"/>
      <c r="O23" s="15"/>
      <c r="P23" s="79"/>
      <c r="Q23" s="79"/>
      <c r="R23" s="76"/>
    </row>
    <row r="24" spans="2:18" ht="19.5" customHeight="1" thickTop="1" thickBot="1" x14ac:dyDescent="0.3">
      <c r="B24" s="63"/>
      <c r="C24" s="69"/>
      <c r="D24" s="71"/>
      <c r="E24" s="17" t="s">
        <v>4</v>
      </c>
      <c r="F24" s="18">
        <f t="shared" ref="F24:M24" si="6">IF(F23&lt;30,F22,F22+F23)</f>
        <v>23</v>
      </c>
      <c r="G24" s="18">
        <f t="shared" si="6"/>
        <v>10</v>
      </c>
      <c r="H24" s="18">
        <f t="shared" si="6"/>
        <v>0</v>
      </c>
      <c r="I24" s="18">
        <f t="shared" si="6"/>
        <v>0</v>
      </c>
      <c r="J24" s="18">
        <f t="shared" si="6"/>
        <v>23</v>
      </c>
      <c r="K24" s="18">
        <f t="shared" si="6"/>
        <v>27</v>
      </c>
      <c r="L24" s="18">
        <f t="shared" si="6"/>
        <v>0</v>
      </c>
      <c r="M24" s="18">
        <f t="shared" si="6"/>
        <v>11</v>
      </c>
      <c r="N24" s="19"/>
      <c r="O24" s="20"/>
      <c r="P24" s="79"/>
      <c r="Q24" s="79"/>
      <c r="R24" s="76"/>
    </row>
    <row r="25" spans="2:18" ht="37.5" customHeight="1" thickTop="1" thickBot="1" x14ac:dyDescent="0.3">
      <c r="B25" s="64"/>
      <c r="C25" s="70"/>
      <c r="D25" s="72"/>
      <c r="E25" s="8" t="s">
        <v>6</v>
      </c>
      <c r="F25" s="12">
        <f t="shared" ref="F25:M25" si="7">SUM(F21*F24)</f>
        <v>69</v>
      </c>
      <c r="G25" s="12">
        <f t="shared" si="7"/>
        <v>30</v>
      </c>
      <c r="H25" s="12">
        <f t="shared" si="7"/>
        <v>0</v>
      </c>
      <c r="I25" s="12">
        <f t="shared" si="7"/>
        <v>0</v>
      </c>
      <c r="J25" s="12">
        <f t="shared" si="7"/>
        <v>69</v>
      </c>
      <c r="K25" s="12">
        <f t="shared" si="7"/>
        <v>81</v>
      </c>
      <c r="L25" s="12">
        <f t="shared" si="7"/>
        <v>0</v>
      </c>
      <c r="M25" s="12">
        <f t="shared" si="7"/>
        <v>22</v>
      </c>
      <c r="N25" s="13">
        <f>SUM(F25:M25)</f>
        <v>271</v>
      </c>
      <c r="O25" s="16">
        <f>SUM(N25/N21)</f>
        <v>19.357142857142858</v>
      </c>
      <c r="P25" s="80"/>
      <c r="Q25" s="80"/>
      <c r="R25" s="77"/>
    </row>
    <row r="26" spans="2:18" ht="20.25" customHeight="1" thickTop="1" thickBot="1" x14ac:dyDescent="0.35">
      <c r="B26" s="62">
        <v>-5</v>
      </c>
      <c r="C26" s="65"/>
      <c r="D26" s="82"/>
      <c r="E26" s="10" t="s">
        <v>5</v>
      </c>
      <c r="F26" s="47">
        <f>IF(IF(F29=0,0,3),3,0)</f>
        <v>0</v>
      </c>
      <c r="G26" s="47">
        <f>IF(IF(G29=0,0,3),3,0)</f>
        <v>0</v>
      </c>
      <c r="H26" s="47">
        <f>IF(IF(H29=0,0,2),2,0)</f>
        <v>0</v>
      </c>
      <c r="I26" s="47">
        <f>IF(IF(I29=0,0,2),2,0)</f>
        <v>0</v>
      </c>
      <c r="J26" s="47">
        <f>IF(IF(J29=0,0,3),3,0)</f>
        <v>0</v>
      </c>
      <c r="K26" s="47">
        <f>IF(IF(K29=0,0,3),3,0)</f>
        <v>0</v>
      </c>
      <c r="L26" s="48">
        <f>IF(IF(L29=0,0,3),3,0)</f>
        <v>0</v>
      </c>
      <c r="M26" s="48">
        <f>IF(IF(M29=0,0,2),2,0)</f>
        <v>0</v>
      </c>
      <c r="N26" s="48">
        <f>SUM(F26:M26)</f>
        <v>0</v>
      </c>
      <c r="O26" s="49"/>
      <c r="P26" s="78"/>
      <c r="Q26" s="78"/>
      <c r="R26" s="81"/>
    </row>
    <row r="27" spans="2:18" ht="19.5" customHeight="1" thickTop="1" thickBot="1" x14ac:dyDescent="0.3">
      <c r="B27" s="63"/>
      <c r="C27" s="66"/>
      <c r="D27" s="71"/>
      <c r="E27" s="2" t="s">
        <v>68</v>
      </c>
      <c r="F27" s="6">
        <v>0</v>
      </c>
      <c r="G27" s="6">
        <v>0</v>
      </c>
      <c r="H27" s="6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4"/>
      <c r="O27" s="15"/>
      <c r="P27" s="79"/>
      <c r="Q27" s="79"/>
      <c r="R27" s="76"/>
    </row>
    <row r="28" spans="2:18" ht="19.5" customHeight="1" thickTop="1" thickBot="1" x14ac:dyDescent="0.3">
      <c r="B28" s="63"/>
      <c r="C28" s="66"/>
      <c r="D28" s="71"/>
      <c r="E28" s="1" t="s">
        <v>3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4"/>
      <c r="O28" s="15"/>
      <c r="P28" s="79"/>
      <c r="Q28" s="79"/>
      <c r="R28" s="76"/>
    </row>
    <row r="29" spans="2:18" ht="19.5" customHeight="1" thickTop="1" thickBot="1" x14ac:dyDescent="0.3">
      <c r="B29" s="63"/>
      <c r="C29" s="66"/>
      <c r="D29" s="71"/>
      <c r="E29" s="17" t="s">
        <v>4</v>
      </c>
      <c r="F29" s="18">
        <f t="shared" ref="F29:M29" si="8">IF(F28&lt;30,F27,F27+F28)</f>
        <v>0</v>
      </c>
      <c r="G29" s="18">
        <f t="shared" si="8"/>
        <v>0</v>
      </c>
      <c r="H29" s="18">
        <f t="shared" si="8"/>
        <v>0</v>
      </c>
      <c r="I29" s="18">
        <f t="shared" si="8"/>
        <v>0</v>
      </c>
      <c r="J29" s="18">
        <f t="shared" si="8"/>
        <v>0</v>
      </c>
      <c r="K29" s="18">
        <f t="shared" si="8"/>
        <v>0</v>
      </c>
      <c r="L29" s="18">
        <f t="shared" si="8"/>
        <v>0</v>
      </c>
      <c r="M29" s="18">
        <f t="shared" si="8"/>
        <v>0</v>
      </c>
      <c r="N29" s="19"/>
      <c r="O29" s="20"/>
      <c r="P29" s="79"/>
      <c r="Q29" s="79"/>
      <c r="R29" s="76"/>
    </row>
    <row r="30" spans="2:18" ht="37.5" customHeight="1" thickTop="1" thickBot="1" x14ac:dyDescent="0.3">
      <c r="B30" s="64"/>
      <c r="C30" s="67"/>
      <c r="D30" s="72"/>
      <c r="E30" s="8" t="s">
        <v>6</v>
      </c>
      <c r="F30" s="12">
        <f t="shared" ref="F30:M30" si="9">SUM(F26*F29)</f>
        <v>0</v>
      </c>
      <c r="G30" s="12">
        <f t="shared" si="9"/>
        <v>0</v>
      </c>
      <c r="H30" s="12">
        <f t="shared" si="9"/>
        <v>0</v>
      </c>
      <c r="I30" s="12">
        <f t="shared" si="9"/>
        <v>0</v>
      </c>
      <c r="J30" s="12">
        <f t="shared" si="9"/>
        <v>0</v>
      </c>
      <c r="K30" s="12">
        <f t="shared" si="9"/>
        <v>0</v>
      </c>
      <c r="L30" s="12">
        <f t="shared" si="9"/>
        <v>0</v>
      </c>
      <c r="M30" s="12">
        <f t="shared" si="9"/>
        <v>0</v>
      </c>
      <c r="N30" s="13">
        <f>SUM(F30:M30)</f>
        <v>0</v>
      </c>
      <c r="O30" s="16" t="e">
        <f>SUM(N30/N26)</f>
        <v>#DIV/0!</v>
      </c>
      <c r="P30" s="80"/>
      <c r="Q30" s="80"/>
      <c r="R30" s="77"/>
    </row>
    <row r="31" spans="2:18" ht="20.25" customHeight="1" thickTop="1" thickBot="1" x14ac:dyDescent="0.35">
      <c r="B31" s="62">
        <v>-6</v>
      </c>
      <c r="C31" s="65"/>
      <c r="D31" s="82"/>
      <c r="E31" s="10" t="s">
        <v>5</v>
      </c>
      <c r="F31" s="47">
        <f>IF(IF(F34=0,0,3),3,0)</f>
        <v>0</v>
      </c>
      <c r="G31" s="47">
        <f>IF(IF(G34=0,0,3),3,0)</f>
        <v>0</v>
      </c>
      <c r="H31" s="47">
        <f>IF(IF(H34=0,0,2),2,0)</f>
        <v>0</v>
      </c>
      <c r="I31" s="47">
        <f>IF(IF(I34=0,0,2),2,0)</f>
        <v>0</v>
      </c>
      <c r="J31" s="47">
        <f>IF(IF(J34=0,0,3),3,0)</f>
        <v>0</v>
      </c>
      <c r="K31" s="47">
        <f>IF(IF(K34=0,0,3),3,0)</f>
        <v>0</v>
      </c>
      <c r="L31" s="48">
        <f>IF(IF(L34=0,0,3),3,0)</f>
        <v>0</v>
      </c>
      <c r="M31" s="48">
        <f>IF(IF(M34=0,0,2),2,0)</f>
        <v>0</v>
      </c>
      <c r="N31" s="48">
        <f>SUM(F31:M31)</f>
        <v>0</v>
      </c>
      <c r="O31" s="49"/>
      <c r="P31" s="78"/>
      <c r="Q31" s="78"/>
      <c r="R31" s="81"/>
    </row>
    <row r="32" spans="2:18" ht="19.5" customHeight="1" thickTop="1" thickBot="1" x14ac:dyDescent="0.3">
      <c r="B32" s="63"/>
      <c r="C32" s="66"/>
      <c r="D32" s="71"/>
      <c r="E32" s="2" t="s">
        <v>68</v>
      </c>
      <c r="F32" s="6">
        <v>0</v>
      </c>
      <c r="G32" s="6">
        <v>0</v>
      </c>
      <c r="H32" s="6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4"/>
      <c r="O32" s="15"/>
      <c r="P32" s="79"/>
      <c r="Q32" s="79"/>
      <c r="R32" s="76"/>
    </row>
    <row r="33" spans="2:18" ht="19.5" customHeight="1" thickTop="1" thickBot="1" x14ac:dyDescent="0.3">
      <c r="B33" s="63"/>
      <c r="C33" s="66"/>
      <c r="D33" s="71"/>
      <c r="E33" s="1" t="s">
        <v>3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4"/>
      <c r="O33" s="15"/>
      <c r="P33" s="79"/>
      <c r="Q33" s="79"/>
      <c r="R33" s="76"/>
    </row>
    <row r="34" spans="2:18" ht="19.5" customHeight="1" thickTop="1" thickBot="1" x14ac:dyDescent="0.3">
      <c r="B34" s="63"/>
      <c r="C34" s="66"/>
      <c r="D34" s="71"/>
      <c r="E34" s="17" t="s">
        <v>4</v>
      </c>
      <c r="F34" s="18">
        <f t="shared" ref="F34:M34" si="10">IF(F33&lt;30,F32,F32+F33)</f>
        <v>0</v>
      </c>
      <c r="G34" s="18">
        <f t="shared" si="10"/>
        <v>0</v>
      </c>
      <c r="H34" s="18">
        <f t="shared" si="10"/>
        <v>0</v>
      </c>
      <c r="I34" s="18">
        <f t="shared" si="10"/>
        <v>0</v>
      </c>
      <c r="J34" s="18">
        <f t="shared" si="10"/>
        <v>0</v>
      </c>
      <c r="K34" s="18">
        <f t="shared" si="10"/>
        <v>0</v>
      </c>
      <c r="L34" s="18">
        <f t="shared" si="10"/>
        <v>0</v>
      </c>
      <c r="M34" s="18">
        <f t="shared" si="10"/>
        <v>0</v>
      </c>
      <c r="N34" s="19"/>
      <c r="O34" s="20"/>
      <c r="P34" s="79"/>
      <c r="Q34" s="79"/>
      <c r="R34" s="76"/>
    </row>
    <row r="35" spans="2:18" ht="37.5" customHeight="1" thickTop="1" thickBot="1" x14ac:dyDescent="0.3">
      <c r="B35" s="64"/>
      <c r="C35" s="67"/>
      <c r="D35" s="72"/>
      <c r="E35" s="11" t="s">
        <v>6</v>
      </c>
      <c r="F35" s="12">
        <f t="shared" ref="F35:M35" si="11">SUM(F31*F34)</f>
        <v>0</v>
      </c>
      <c r="G35" s="12">
        <f t="shared" si="11"/>
        <v>0</v>
      </c>
      <c r="H35" s="12">
        <f t="shared" si="11"/>
        <v>0</v>
      </c>
      <c r="I35" s="12">
        <f t="shared" si="11"/>
        <v>0</v>
      </c>
      <c r="J35" s="12">
        <f t="shared" si="11"/>
        <v>0</v>
      </c>
      <c r="K35" s="12">
        <f t="shared" si="11"/>
        <v>0</v>
      </c>
      <c r="L35" s="12">
        <f t="shared" si="11"/>
        <v>0</v>
      </c>
      <c r="M35" s="12">
        <f t="shared" si="11"/>
        <v>0</v>
      </c>
      <c r="N35" s="13">
        <f>SUM(F35:M35)</f>
        <v>0</v>
      </c>
      <c r="O35" s="16" t="e">
        <f>SUM(N35/N31)</f>
        <v>#DIV/0!</v>
      </c>
      <c r="P35" s="80"/>
      <c r="Q35" s="80"/>
      <c r="R35" s="77"/>
    </row>
    <row r="36" spans="2:18" ht="20.25" customHeight="1" thickTop="1" thickBot="1" x14ac:dyDescent="0.35">
      <c r="B36" s="62">
        <v>-7</v>
      </c>
      <c r="C36" s="65"/>
      <c r="D36" s="82"/>
      <c r="E36" s="10" t="s">
        <v>5</v>
      </c>
      <c r="F36" s="47">
        <f>IF(IF(F39=0,0,3),3,0)</f>
        <v>0</v>
      </c>
      <c r="G36" s="47">
        <f>IF(IF(G39=0,0,3),3,0)</f>
        <v>0</v>
      </c>
      <c r="H36" s="47">
        <f>IF(IF(H39=0,0,2),2,0)</f>
        <v>0</v>
      </c>
      <c r="I36" s="47">
        <f>IF(IF(I39=0,0,2),2,0)</f>
        <v>0</v>
      </c>
      <c r="J36" s="47">
        <f>IF(IF(J39=0,0,3),3,0)</f>
        <v>0</v>
      </c>
      <c r="K36" s="47">
        <f>IF(IF(K39=0,0,3),3,0)</f>
        <v>0</v>
      </c>
      <c r="L36" s="48">
        <f>IF(IF(L39=0,0,3),3,0)</f>
        <v>0</v>
      </c>
      <c r="M36" s="48">
        <f>IF(IF(M39=0,0,2),2,0)</f>
        <v>0</v>
      </c>
      <c r="N36" s="48">
        <f>SUM(F36:M36)</f>
        <v>0</v>
      </c>
      <c r="O36" s="49"/>
      <c r="P36" s="78"/>
      <c r="Q36" s="78"/>
      <c r="R36" s="81"/>
    </row>
    <row r="37" spans="2:18" ht="19.5" customHeight="1" thickTop="1" thickBot="1" x14ac:dyDescent="0.3">
      <c r="B37" s="63"/>
      <c r="C37" s="66"/>
      <c r="D37" s="71"/>
      <c r="E37" s="2" t="s">
        <v>68</v>
      </c>
      <c r="F37" s="6">
        <v>0</v>
      </c>
      <c r="G37" s="6">
        <v>0</v>
      </c>
      <c r="H37" s="6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4"/>
      <c r="O37" s="15"/>
      <c r="P37" s="79"/>
      <c r="Q37" s="79"/>
      <c r="R37" s="76"/>
    </row>
    <row r="38" spans="2:18" ht="19.5" customHeight="1" thickTop="1" thickBot="1" x14ac:dyDescent="0.3">
      <c r="B38" s="63"/>
      <c r="C38" s="66"/>
      <c r="D38" s="71"/>
      <c r="E38" s="1" t="s">
        <v>3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4"/>
      <c r="O38" s="15"/>
      <c r="P38" s="79"/>
      <c r="Q38" s="79"/>
      <c r="R38" s="76"/>
    </row>
    <row r="39" spans="2:18" ht="19.5" customHeight="1" thickTop="1" thickBot="1" x14ac:dyDescent="0.3">
      <c r="B39" s="63"/>
      <c r="C39" s="66"/>
      <c r="D39" s="71"/>
      <c r="E39" s="17" t="s">
        <v>4</v>
      </c>
      <c r="F39" s="18">
        <f t="shared" ref="F39:M39" si="12">IF(F38&lt;30,F37,F37+F38)</f>
        <v>0</v>
      </c>
      <c r="G39" s="18">
        <f t="shared" si="12"/>
        <v>0</v>
      </c>
      <c r="H39" s="18">
        <f t="shared" si="12"/>
        <v>0</v>
      </c>
      <c r="I39" s="18">
        <f t="shared" si="12"/>
        <v>0</v>
      </c>
      <c r="J39" s="18">
        <f t="shared" si="12"/>
        <v>0</v>
      </c>
      <c r="K39" s="18">
        <f t="shared" si="12"/>
        <v>0</v>
      </c>
      <c r="L39" s="18">
        <f t="shared" si="12"/>
        <v>0</v>
      </c>
      <c r="M39" s="18">
        <f t="shared" si="12"/>
        <v>0</v>
      </c>
      <c r="N39" s="19"/>
      <c r="O39" s="20"/>
      <c r="P39" s="79"/>
      <c r="Q39" s="79"/>
      <c r="R39" s="76"/>
    </row>
    <row r="40" spans="2:18" ht="37.5" customHeight="1" thickTop="1" thickBot="1" x14ac:dyDescent="0.3">
      <c r="B40" s="64"/>
      <c r="C40" s="67"/>
      <c r="D40" s="72"/>
      <c r="E40" s="55" t="s">
        <v>6</v>
      </c>
      <c r="F40" s="56">
        <f t="shared" ref="F40:M40" si="13">SUM(F36*F39)</f>
        <v>0</v>
      </c>
      <c r="G40" s="56">
        <f t="shared" si="13"/>
        <v>0</v>
      </c>
      <c r="H40" s="56">
        <f t="shared" si="13"/>
        <v>0</v>
      </c>
      <c r="I40" s="56">
        <f t="shared" si="13"/>
        <v>0</v>
      </c>
      <c r="J40" s="56">
        <f t="shared" si="13"/>
        <v>0</v>
      </c>
      <c r="K40" s="56">
        <f t="shared" si="13"/>
        <v>0</v>
      </c>
      <c r="L40" s="56">
        <f t="shared" si="13"/>
        <v>0</v>
      </c>
      <c r="M40" s="56">
        <f t="shared" si="13"/>
        <v>0</v>
      </c>
      <c r="N40" s="57">
        <f>SUM(F40:M40)</f>
        <v>0</v>
      </c>
      <c r="O40" s="56" t="e">
        <f>SUM(N40/N36)</f>
        <v>#DIV/0!</v>
      </c>
      <c r="P40" s="80"/>
      <c r="Q40" s="80"/>
      <c r="R40" s="77"/>
    </row>
    <row r="41" spans="2:18" ht="13.5" thickTop="1" x14ac:dyDescent="0.2"/>
  </sheetData>
  <mergeCells count="42">
    <mergeCell ref="B36:B40"/>
    <mergeCell ref="C36:C40"/>
    <mergeCell ref="D36:D40"/>
    <mergeCell ref="P36:P40"/>
    <mergeCell ref="Q36:Q40"/>
    <mergeCell ref="R36:R40"/>
    <mergeCell ref="B31:B35"/>
    <mergeCell ref="C31:C35"/>
    <mergeCell ref="D31:D35"/>
    <mergeCell ref="P31:P35"/>
    <mergeCell ref="Q31:Q35"/>
    <mergeCell ref="R31:R35"/>
    <mergeCell ref="B26:B30"/>
    <mergeCell ref="C26:C30"/>
    <mergeCell ref="D26:D30"/>
    <mergeCell ref="P26:P30"/>
    <mergeCell ref="Q26:Q30"/>
    <mergeCell ref="R26:R30"/>
    <mergeCell ref="B21:B25"/>
    <mergeCell ref="C21:C25"/>
    <mergeCell ref="D21:D25"/>
    <mergeCell ref="P21:P25"/>
    <mergeCell ref="Q21:Q25"/>
    <mergeCell ref="R21:R25"/>
    <mergeCell ref="B16:B20"/>
    <mergeCell ref="C16:C20"/>
    <mergeCell ref="D16:D20"/>
    <mergeCell ref="P16:P20"/>
    <mergeCell ref="Q16:Q20"/>
    <mergeCell ref="R16:R20"/>
    <mergeCell ref="B11:B15"/>
    <mergeCell ref="C11:C15"/>
    <mergeCell ref="D11:D15"/>
    <mergeCell ref="P11:P15"/>
    <mergeCell ref="Q11:Q15"/>
    <mergeCell ref="R11:R15"/>
    <mergeCell ref="B6:B10"/>
    <mergeCell ref="C6:C10"/>
    <mergeCell ref="D6:D10"/>
    <mergeCell ref="P6:P10"/>
    <mergeCell ref="Q6:Q10"/>
    <mergeCell ref="R6:R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DB66-77F5-4A4C-A0CB-7FE3E44D0EBC}">
  <dimension ref="B4:Y27"/>
  <sheetViews>
    <sheetView rightToLeft="1" zoomScale="78" zoomScaleNormal="78" workbookViewId="0">
      <selection activeCell="E29" sqref="E29"/>
    </sheetView>
  </sheetViews>
  <sheetFormatPr defaultRowHeight="12.75" x14ac:dyDescent="0.2"/>
  <cols>
    <col min="3" max="3" width="23.5703125" customWidth="1"/>
    <col min="5" max="5" width="23.5703125" customWidth="1"/>
    <col min="25" max="25" width="23.5703125" customWidth="1"/>
  </cols>
  <sheetData>
    <row r="4" spans="2:25" ht="13.5" thickBot="1" x14ac:dyDescent="0.25"/>
    <row r="5" spans="2:25" ht="16.5" thickTop="1" thickBot="1" x14ac:dyDescent="0.25">
      <c r="B5" s="91" t="s">
        <v>0</v>
      </c>
      <c r="C5" s="89" t="s">
        <v>7</v>
      </c>
      <c r="D5" s="101" t="s">
        <v>1</v>
      </c>
      <c r="E5" s="89" t="s">
        <v>2</v>
      </c>
      <c r="F5" s="97" t="s">
        <v>16</v>
      </c>
      <c r="G5" s="98"/>
      <c r="H5" s="98"/>
      <c r="I5" s="98"/>
      <c r="J5" s="98"/>
      <c r="K5" s="98"/>
      <c r="L5" s="99"/>
      <c r="M5" s="93" t="s">
        <v>10</v>
      </c>
      <c r="N5" s="94"/>
      <c r="O5" s="94"/>
      <c r="P5" s="94"/>
      <c r="Q5" s="94"/>
      <c r="R5" s="94"/>
      <c r="S5" s="94"/>
      <c r="T5" s="95"/>
      <c r="U5" s="101" t="s">
        <v>4</v>
      </c>
      <c r="V5" s="101" t="s">
        <v>8</v>
      </c>
      <c r="W5" s="23"/>
      <c r="X5" s="101" t="s">
        <v>18</v>
      </c>
      <c r="Y5" s="24"/>
    </row>
    <row r="6" spans="2:25" ht="99" thickTop="1" thickBot="1" x14ac:dyDescent="0.25">
      <c r="B6" s="92"/>
      <c r="C6" s="90"/>
      <c r="D6" s="102"/>
      <c r="E6" s="100"/>
      <c r="F6" s="21" t="s">
        <v>14</v>
      </c>
      <c r="G6" s="21" t="s">
        <v>29</v>
      </c>
      <c r="H6" s="21" t="s">
        <v>30</v>
      </c>
      <c r="I6" s="21" t="s">
        <v>31</v>
      </c>
      <c r="J6" s="21" t="s">
        <v>32</v>
      </c>
      <c r="K6" s="21" t="s">
        <v>33</v>
      </c>
      <c r="L6" s="21" t="s">
        <v>34</v>
      </c>
      <c r="M6" s="51" t="s">
        <v>11</v>
      </c>
      <c r="N6" s="51" t="s">
        <v>12</v>
      </c>
      <c r="O6" s="51" t="s">
        <v>26</v>
      </c>
      <c r="P6" s="51" t="s">
        <v>25</v>
      </c>
      <c r="Q6" s="51" t="s">
        <v>13</v>
      </c>
      <c r="R6" s="51" t="s">
        <v>27</v>
      </c>
      <c r="S6" s="51" t="s">
        <v>28</v>
      </c>
      <c r="T6" s="51" t="s">
        <v>9</v>
      </c>
      <c r="U6" s="103"/>
      <c r="V6" s="103"/>
      <c r="W6" s="21" t="s">
        <v>17</v>
      </c>
      <c r="X6" s="103"/>
      <c r="Y6" s="22" t="s">
        <v>19</v>
      </c>
    </row>
    <row r="7" spans="2:25" ht="20.25" thickTop="1" thickBot="1" x14ac:dyDescent="0.35">
      <c r="B7" s="83">
        <v>-1</v>
      </c>
      <c r="C7" s="73" t="s">
        <v>57</v>
      </c>
      <c r="D7" s="96" t="s">
        <v>69</v>
      </c>
      <c r="E7" s="9" t="s">
        <v>5</v>
      </c>
      <c r="F7" s="33">
        <f>IF(IF(F10=0,0,3),3,0)</f>
        <v>0</v>
      </c>
      <c r="G7" s="33">
        <f>IF(IF(G10=0,0,2),2,0)</f>
        <v>0</v>
      </c>
      <c r="H7" s="33">
        <f t="shared" ref="H7:N7" si="0">IF(IF(H10=0,0,3),3,0)</f>
        <v>0</v>
      </c>
      <c r="I7" s="33">
        <f t="shared" si="0"/>
        <v>0</v>
      </c>
      <c r="J7" s="33">
        <f t="shared" si="0"/>
        <v>0</v>
      </c>
      <c r="K7" s="33">
        <f t="shared" si="0"/>
        <v>0</v>
      </c>
      <c r="L7" s="33">
        <f t="shared" si="0"/>
        <v>0</v>
      </c>
      <c r="M7" s="47">
        <f t="shared" si="0"/>
        <v>0</v>
      </c>
      <c r="N7" s="47">
        <f t="shared" si="0"/>
        <v>0</v>
      </c>
      <c r="O7" s="47">
        <f>IF(IF(O10=0,0,2),2,0)</f>
        <v>0</v>
      </c>
      <c r="P7" s="47">
        <f>IF(IF(P10=0,0,2),2,0)</f>
        <v>0</v>
      </c>
      <c r="Q7" s="47">
        <f>IF(IF(Q10=0,0,3),3,0)</f>
        <v>0</v>
      </c>
      <c r="R7" s="47">
        <f>IF(IF(R10=0,0,3),3,0)</f>
        <v>0</v>
      </c>
      <c r="S7" s="48">
        <f>IF(IF(S10=0,0,3),3,0)</f>
        <v>0</v>
      </c>
      <c r="T7" s="48">
        <f>IF(IF(T10=0,0,2),2,0)</f>
        <v>0</v>
      </c>
      <c r="U7" s="33">
        <f>SUM(F7:T7)</f>
        <v>0</v>
      </c>
      <c r="V7" s="34"/>
      <c r="W7" s="82"/>
      <c r="X7" s="82"/>
      <c r="Y7" s="86"/>
    </row>
    <row r="8" spans="2:25" ht="19.5" thickTop="1" thickBot="1" x14ac:dyDescent="0.3">
      <c r="B8" s="84"/>
      <c r="C8" s="69"/>
      <c r="D8" s="71"/>
      <c r="E8" s="25" t="s">
        <v>68</v>
      </c>
      <c r="F8" s="35"/>
      <c r="G8" s="35"/>
      <c r="H8" s="35"/>
      <c r="I8" s="36"/>
      <c r="J8" s="36"/>
      <c r="K8" s="36"/>
      <c r="L8" s="36"/>
      <c r="M8" s="6">
        <v>0</v>
      </c>
      <c r="N8" s="6">
        <v>0</v>
      </c>
      <c r="O8" s="6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36"/>
      <c r="V8" s="37"/>
      <c r="W8" s="71"/>
      <c r="X8" s="71"/>
      <c r="Y8" s="87"/>
    </row>
    <row r="9" spans="2:25" ht="19.5" thickTop="1" thickBot="1" x14ac:dyDescent="0.3">
      <c r="B9" s="84"/>
      <c r="C9" s="69"/>
      <c r="D9" s="71"/>
      <c r="E9" s="26" t="s">
        <v>3</v>
      </c>
      <c r="F9" s="38"/>
      <c r="G9" s="38"/>
      <c r="H9" s="38"/>
      <c r="I9" s="38"/>
      <c r="J9" s="38"/>
      <c r="K9" s="38"/>
      <c r="L9" s="38"/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9"/>
      <c r="V9" s="40"/>
      <c r="W9" s="71"/>
      <c r="X9" s="71"/>
      <c r="Y9" s="87"/>
    </row>
    <row r="10" spans="2:25" ht="19.5" thickTop="1" thickBot="1" x14ac:dyDescent="0.3">
      <c r="B10" s="84"/>
      <c r="C10" s="69"/>
      <c r="D10" s="71"/>
      <c r="E10" s="27" t="s">
        <v>4</v>
      </c>
      <c r="F10" s="38">
        <f t="shared" ref="F10:T10" si="1">IF(F9&lt;30,F8,F8+F9)</f>
        <v>0</v>
      </c>
      <c r="G10" s="38">
        <f t="shared" si="1"/>
        <v>0</v>
      </c>
      <c r="H10" s="38">
        <f t="shared" si="1"/>
        <v>0</v>
      </c>
      <c r="I10" s="38">
        <f t="shared" si="1"/>
        <v>0</v>
      </c>
      <c r="J10" s="38">
        <f t="shared" si="1"/>
        <v>0</v>
      </c>
      <c r="K10" s="38">
        <f t="shared" si="1"/>
        <v>0</v>
      </c>
      <c r="L10" s="38">
        <f t="shared" si="1"/>
        <v>0</v>
      </c>
      <c r="M10" s="18">
        <f t="shared" si="1"/>
        <v>0</v>
      </c>
      <c r="N10" s="18">
        <f t="shared" si="1"/>
        <v>0</v>
      </c>
      <c r="O10" s="18">
        <f t="shared" si="1"/>
        <v>0</v>
      </c>
      <c r="P10" s="18">
        <f t="shared" si="1"/>
        <v>0</v>
      </c>
      <c r="Q10" s="18">
        <f t="shared" si="1"/>
        <v>0</v>
      </c>
      <c r="R10" s="18">
        <f t="shared" si="1"/>
        <v>0</v>
      </c>
      <c r="S10" s="18">
        <f t="shared" si="1"/>
        <v>0</v>
      </c>
      <c r="T10" s="18">
        <f t="shared" si="1"/>
        <v>0</v>
      </c>
      <c r="U10" s="39"/>
      <c r="V10" s="40"/>
      <c r="W10" s="71"/>
      <c r="X10" s="71"/>
      <c r="Y10" s="87"/>
    </row>
    <row r="11" spans="2:25" ht="37.5" thickTop="1" thickBot="1" x14ac:dyDescent="0.3">
      <c r="B11" s="85"/>
      <c r="C11" s="70"/>
      <c r="D11" s="72"/>
      <c r="E11" s="28" t="s">
        <v>6</v>
      </c>
      <c r="F11" s="32">
        <f t="shared" ref="F11:L11" si="2">SUM(F7*F10)</f>
        <v>0</v>
      </c>
      <c r="G11" s="32">
        <f t="shared" si="2"/>
        <v>0</v>
      </c>
      <c r="H11" s="32">
        <f t="shared" si="2"/>
        <v>0</v>
      </c>
      <c r="I11" s="32">
        <f t="shared" si="2"/>
        <v>0</v>
      </c>
      <c r="J11" s="32">
        <f t="shared" si="2"/>
        <v>0</v>
      </c>
      <c r="K11" s="32">
        <f t="shared" si="2"/>
        <v>0</v>
      </c>
      <c r="L11" s="32">
        <f t="shared" si="2"/>
        <v>0</v>
      </c>
      <c r="M11" s="12">
        <f t="shared" ref="M11:T11" si="3">SUM(M7*M10)</f>
        <v>0</v>
      </c>
      <c r="N11" s="12">
        <f t="shared" si="3"/>
        <v>0</v>
      </c>
      <c r="O11" s="12">
        <f t="shared" si="3"/>
        <v>0</v>
      </c>
      <c r="P11" s="12">
        <f t="shared" si="3"/>
        <v>0</v>
      </c>
      <c r="Q11" s="12">
        <f t="shared" si="3"/>
        <v>0</v>
      </c>
      <c r="R11" s="12">
        <f t="shared" si="3"/>
        <v>0</v>
      </c>
      <c r="S11" s="12">
        <f t="shared" si="3"/>
        <v>0</v>
      </c>
      <c r="T11" s="12">
        <f t="shared" si="3"/>
        <v>0</v>
      </c>
      <c r="U11" s="41">
        <f>SUM(F11:T11)</f>
        <v>0</v>
      </c>
      <c r="V11" s="42" t="e">
        <f>SUM(U11/U7)</f>
        <v>#DIV/0!</v>
      </c>
      <c r="W11" s="72"/>
      <c r="X11" s="72"/>
      <c r="Y11" s="88"/>
    </row>
    <row r="12" spans="2:25" ht="20.25" thickTop="1" thickBot="1" x14ac:dyDescent="0.35">
      <c r="B12" s="83">
        <v>-2</v>
      </c>
      <c r="C12" s="73"/>
      <c r="D12" s="82"/>
      <c r="E12" s="10" t="s">
        <v>5</v>
      </c>
      <c r="F12" s="33">
        <f>IF(IF(F15=0,0,3),3,0)</f>
        <v>0</v>
      </c>
      <c r="G12" s="33">
        <f>IF(IF(G15=0,0,2),2,0)</f>
        <v>0</v>
      </c>
      <c r="H12" s="33">
        <f t="shared" ref="H12:N12" si="4">IF(IF(H15=0,0,3),3,0)</f>
        <v>0</v>
      </c>
      <c r="I12" s="33">
        <f t="shared" si="4"/>
        <v>0</v>
      </c>
      <c r="J12" s="33">
        <f t="shared" si="4"/>
        <v>0</v>
      </c>
      <c r="K12" s="33">
        <f t="shared" si="4"/>
        <v>0</v>
      </c>
      <c r="L12" s="33">
        <f t="shared" si="4"/>
        <v>0</v>
      </c>
      <c r="M12" s="47">
        <f t="shared" si="4"/>
        <v>0</v>
      </c>
      <c r="N12" s="47">
        <f t="shared" si="4"/>
        <v>0</v>
      </c>
      <c r="O12" s="47">
        <f>IF(IF(O15=0,0,2),2,0)</f>
        <v>0</v>
      </c>
      <c r="P12" s="47">
        <f>IF(IF(P15=0,0,2),2,0)</f>
        <v>0</v>
      </c>
      <c r="Q12" s="47">
        <f>IF(IF(Q15=0,0,3),3,0)</f>
        <v>0</v>
      </c>
      <c r="R12" s="47">
        <f>IF(IF(R15=0,0,3),3,0)</f>
        <v>0</v>
      </c>
      <c r="S12" s="48">
        <f>IF(IF(S15=0,0,3),3,0)</f>
        <v>0</v>
      </c>
      <c r="T12" s="48">
        <f>IF(IF(T15=0,0,2),2,0)</f>
        <v>0</v>
      </c>
      <c r="U12" s="33">
        <f>SUM(F12:T12)</f>
        <v>0</v>
      </c>
      <c r="V12" s="34"/>
      <c r="W12" s="82"/>
      <c r="X12" s="82"/>
      <c r="Y12" s="86"/>
    </row>
    <row r="13" spans="2:25" ht="19.5" thickTop="1" thickBot="1" x14ac:dyDescent="0.3">
      <c r="B13" s="84"/>
      <c r="C13" s="69"/>
      <c r="D13" s="71"/>
      <c r="E13" s="29" t="s">
        <v>68</v>
      </c>
      <c r="F13" s="35"/>
      <c r="G13" s="35"/>
      <c r="H13" s="35"/>
      <c r="I13" s="36"/>
      <c r="J13" s="36"/>
      <c r="K13" s="36"/>
      <c r="L13" s="36"/>
      <c r="M13" s="6">
        <v>0</v>
      </c>
      <c r="N13" s="6">
        <v>0</v>
      </c>
      <c r="O13" s="6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36"/>
      <c r="V13" s="37"/>
      <c r="W13" s="71"/>
      <c r="X13" s="71"/>
      <c r="Y13" s="87"/>
    </row>
    <row r="14" spans="2:25" ht="19.5" thickTop="1" thickBot="1" x14ac:dyDescent="0.3">
      <c r="B14" s="84"/>
      <c r="C14" s="69"/>
      <c r="D14" s="71"/>
      <c r="E14" s="26" t="s">
        <v>3</v>
      </c>
      <c r="F14" s="38"/>
      <c r="G14" s="38"/>
      <c r="H14" s="38"/>
      <c r="I14" s="38"/>
      <c r="J14" s="38"/>
      <c r="K14" s="38"/>
      <c r="L14" s="38"/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9"/>
      <c r="V14" s="40"/>
      <c r="W14" s="71"/>
      <c r="X14" s="71"/>
      <c r="Y14" s="87"/>
    </row>
    <row r="15" spans="2:25" ht="19.5" thickTop="1" thickBot="1" x14ac:dyDescent="0.3">
      <c r="B15" s="84"/>
      <c r="C15" s="69"/>
      <c r="D15" s="71"/>
      <c r="E15" s="27" t="s">
        <v>4</v>
      </c>
      <c r="F15" s="38">
        <f t="shared" ref="F15:T15" si="5">IF(F14&lt;30,F13,F13+F14)</f>
        <v>0</v>
      </c>
      <c r="G15" s="38">
        <f t="shared" si="5"/>
        <v>0</v>
      </c>
      <c r="H15" s="38">
        <f t="shared" si="5"/>
        <v>0</v>
      </c>
      <c r="I15" s="38">
        <f t="shared" si="5"/>
        <v>0</v>
      </c>
      <c r="J15" s="38">
        <f t="shared" si="5"/>
        <v>0</v>
      </c>
      <c r="K15" s="38">
        <f t="shared" si="5"/>
        <v>0</v>
      </c>
      <c r="L15" s="38">
        <f t="shared" si="5"/>
        <v>0</v>
      </c>
      <c r="M15" s="18">
        <f t="shared" si="5"/>
        <v>0</v>
      </c>
      <c r="N15" s="18">
        <f t="shared" si="5"/>
        <v>0</v>
      </c>
      <c r="O15" s="18">
        <f t="shared" si="5"/>
        <v>0</v>
      </c>
      <c r="P15" s="18">
        <f t="shared" si="5"/>
        <v>0</v>
      </c>
      <c r="Q15" s="18">
        <f t="shared" si="5"/>
        <v>0</v>
      </c>
      <c r="R15" s="18">
        <f t="shared" si="5"/>
        <v>0</v>
      </c>
      <c r="S15" s="18">
        <f t="shared" si="5"/>
        <v>0</v>
      </c>
      <c r="T15" s="18">
        <f t="shared" si="5"/>
        <v>0</v>
      </c>
      <c r="U15" s="39"/>
      <c r="V15" s="40"/>
      <c r="W15" s="71"/>
      <c r="X15" s="71"/>
      <c r="Y15" s="87"/>
    </row>
    <row r="16" spans="2:25" ht="37.5" thickTop="1" thickBot="1" x14ac:dyDescent="0.3">
      <c r="B16" s="85"/>
      <c r="C16" s="70"/>
      <c r="D16" s="72"/>
      <c r="E16" s="30" t="s">
        <v>6</v>
      </c>
      <c r="F16" s="32">
        <f t="shared" ref="F16:L16" si="6">SUM(F12*F15)</f>
        <v>0</v>
      </c>
      <c r="G16" s="32">
        <f t="shared" si="6"/>
        <v>0</v>
      </c>
      <c r="H16" s="32">
        <f t="shared" si="6"/>
        <v>0</v>
      </c>
      <c r="I16" s="32">
        <f t="shared" si="6"/>
        <v>0</v>
      </c>
      <c r="J16" s="32">
        <f t="shared" si="6"/>
        <v>0</v>
      </c>
      <c r="K16" s="32">
        <f t="shared" si="6"/>
        <v>0</v>
      </c>
      <c r="L16" s="32">
        <f t="shared" si="6"/>
        <v>0</v>
      </c>
      <c r="M16" s="12">
        <f t="shared" ref="M16:T16" si="7">SUM(M12*M15)</f>
        <v>0</v>
      </c>
      <c r="N16" s="12">
        <f t="shared" si="7"/>
        <v>0</v>
      </c>
      <c r="O16" s="12">
        <f t="shared" si="7"/>
        <v>0</v>
      </c>
      <c r="P16" s="12">
        <f t="shared" si="7"/>
        <v>0</v>
      </c>
      <c r="Q16" s="12">
        <f t="shared" si="7"/>
        <v>0</v>
      </c>
      <c r="R16" s="12">
        <f t="shared" si="7"/>
        <v>0</v>
      </c>
      <c r="S16" s="12">
        <f t="shared" si="7"/>
        <v>0</v>
      </c>
      <c r="T16" s="12">
        <f t="shared" si="7"/>
        <v>0</v>
      </c>
      <c r="U16" s="41">
        <f>SUM(F16:T16)</f>
        <v>0</v>
      </c>
      <c r="V16" s="42" t="e">
        <f>SUM(U16/U12)</f>
        <v>#DIV/0!</v>
      </c>
      <c r="W16" s="72"/>
      <c r="X16" s="72"/>
      <c r="Y16" s="88"/>
    </row>
    <row r="17" spans="2:25" ht="20.25" thickTop="1" thickBot="1" x14ac:dyDescent="0.35">
      <c r="B17" s="83">
        <v>-3</v>
      </c>
      <c r="C17" s="73"/>
      <c r="D17" s="82"/>
      <c r="E17" s="10" t="s">
        <v>5</v>
      </c>
      <c r="F17" s="33">
        <f>IF(IF(F20=0,0,3),3,0)</f>
        <v>0</v>
      </c>
      <c r="G17" s="33">
        <f>IF(IF(G20=0,0,2),2,0)</f>
        <v>0</v>
      </c>
      <c r="H17" s="33">
        <f t="shared" ref="H17:N17" si="8">IF(IF(H20=0,0,3),3,0)</f>
        <v>0</v>
      </c>
      <c r="I17" s="33">
        <f t="shared" si="8"/>
        <v>0</v>
      </c>
      <c r="J17" s="33">
        <f t="shared" si="8"/>
        <v>0</v>
      </c>
      <c r="K17" s="33">
        <f t="shared" si="8"/>
        <v>0</v>
      </c>
      <c r="L17" s="33">
        <f t="shared" si="8"/>
        <v>0</v>
      </c>
      <c r="M17" s="47">
        <f t="shared" si="8"/>
        <v>0</v>
      </c>
      <c r="N17" s="47">
        <f t="shared" si="8"/>
        <v>0</v>
      </c>
      <c r="O17" s="47">
        <f>IF(IF(O20=0,0,2),2,0)</f>
        <v>0</v>
      </c>
      <c r="P17" s="47">
        <f>IF(IF(P20=0,0,2),2,0)</f>
        <v>0</v>
      </c>
      <c r="Q17" s="47">
        <f>IF(IF(Q20=0,0,3),3,0)</f>
        <v>0</v>
      </c>
      <c r="R17" s="47">
        <f>IF(IF(R20=0,0,3),3,0)</f>
        <v>0</v>
      </c>
      <c r="S17" s="48">
        <f>IF(IF(S20=0,0,3),3,0)</f>
        <v>0</v>
      </c>
      <c r="T17" s="48">
        <f>IF(IF(T20=0,0,2),2,0)</f>
        <v>0</v>
      </c>
      <c r="U17" s="33">
        <f>SUM(F17:T17)</f>
        <v>0</v>
      </c>
      <c r="V17" s="34"/>
      <c r="W17" s="82"/>
      <c r="X17" s="82"/>
      <c r="Y17" s="86"/>
    </row>
    <row r="18" spans="2:25" ht="19.5" thickTop="1" thickBot="1" x14ac:dyDescent="0.3">
      <c r="B18" s="84"/>
      <c r="C18" s="69"/>
      <c r="D18" s="71"/>
      <c r="E18" s="29" t="s">
        <v>68</v>
      </c>
      <c r="F18" s="35"/>
      <c r="G18" s="35"/>
      <c r="H18" s="35"/>
      <c r="I18" s="36"/>
      <c r="J18" s="36"/>
      <c r="K18" s="36"/>
      <c r="L18" s="36"/>
      <c r="M18" s="6">
        <v>0</v>
      </c>
      <c r="N18" s="6">
        <v>0</v>
      </c>
      <c r="O18" s="6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36"/>
      <c r="V18" s="37"/>
      <c r="W18" s="71"/>
      <c r="X18" s="71"/>
      <c r="Y18" s="87"/>
    </row>
    <row r="19" spans="2:25" ht="19.5" thickTop="1" thickBot="1" x14ac:dyDescent="0.3">
      <c r="B19" s="84"/>
      <c r="C19" s="69"/>
      <c r="D19" s="71"/>
      <c r="E19" s="26" t="s">
        <v>3</v>
      </c>
      <c r="F19" s="38"/>
      <c r="G19" s="38"/>
      <c r="H19" s="38"/>
      <c r="I19" s="38"/>
      <c r="J19" s="38"/>
      <c r="K19" s="38"/>
      <c r="L19" s="38"/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9"/>
      <c r="V19" s="40"/>
      <c r="W19" s="71"/>
      <c r="X19" s="71"/>
      <c r="Y19" s="87"/>
    </row>
    <row r="20" spans="2:25" ht="19.5" thickTop="1" thickBot="1" x14ac:dyDescent="0.3">
      <c r="B20" s="84"/>
      <c r="C20" s="69"/>
      <c r="D20" s="71"/>
      <c r="E20" s="27" t="s">
        <v>4</v>
      </c>
      <c r="F20" s="38">
        <f t="shared" ref="F20:T20" si="9">IF(F19&lt;30,F18,F18+F19)</f>
        <v>0</v>
      </c>
      <c r="G20" s="38">
        <f t="shared" si="9"/>
        <v>0</v>
      </c>
      <c r="H20" s="38">
        <f t="shared" si="9"/>
        <v>0</v>
      </c>
      <c r="I20" s="38">
        <f t="shared" si="9"/>
        <v>0</v>
      </c>
      <c r="J20" s="38">
        <f t="shared" si="9"/>
        <v>0</v>
      </c>
      <c r="K20" s="38">
        <f t="shared" si="9"/>
        <v>0</v>
      </c>
      <c r="L20" s="38">
        <f t="shared" si="9"/>
        <v>0</v>
      </c>
      <c r="M20" s="18">
        <f t="shared" si="9"/>
        <v>0</v>
      </c>
      <c r="N20" s="18">
        <f t="shared" si="9"/>
        <v>0</v>
      </c>
      <c r="O20" s="18">
        <f t="shared" si="9"/>
        <v>0</v>
      </c>
      <c r="P20" s="18">
        <f t="shared" si="9"/>
        <v>0</v>
      </c>
      <c r="Q20" s="18">
        <f t="shared" si="9"/>
        <v>0</v>
      </c>
      <c r="R20" s="18">
        <f t="shared" si="9"/>
        <v>0</v>
      </c>
      <c r="S20" s="18">
        <f t="shared" si="9"/>
        <v>0</v>
      </c>
      <c r="T20" s="18">
        <f t="shared" si="9"/>
        <v>0</v>
      </c>
      <c r="U20" s="39"/>
      <c r="V20" s="40"/>
      <c r="W20" s="71"/>
      <c r="X20" s="71"/>
      <c r="Y20" s="87"/>
    </row>
    <row r="21" spans="2:25" ht="37.5" thickTop="1" thickBot="1" x14ac:dyDescent="0.3">
      <c r="B21" s="85"/>
      <c r="C21" s="70"/>
      <c r="D21" s="72"/>
      <c r="E21" s="31" t="s">
        <v>6</v>
      </c>
      <c r="F21" s="32">
        <f t="shared" ref="F21:L21" si="10">SUM(F17*F20)</f>
        <v>0</v>
      </c>
      <c r="G21" s="32">
        <f t="shared" si="10"/>
        <v>0</v>
      </c>
      <c r="H21" s="32">
        <f t="shared" si="10"/>
        <v>0</v>
      </c>
      <c r="I21" s="32">
        <f t="shared" si="10"/>
        <v>0</v>
      </c>
      <c r="J21" s="32">
        <f t="shared" si="10"/>
        <v>0</v>
      </c>
      <c r="K21" s="32">
        <f t="shared" si="10"/>
        <v>0</v>
      </c>
      <c r="L21" s="32">
        <f t="shared" si="10"/>
        <v>0</v>
      </c>
      <c r="M21" s="12">
        <f t="shared" ref="M21:T21" si="11">SUM(M17*M20)</f>
        <v>0</v>
      </c>
      <c r="N21" s="12">
        <f t="shared" si="11"/>
        <v>0</v>
      </c>
      <c r="O21" s="12">
        <f t="shared" si="11"/>
        <v>0</v>
      </c>
      <c r="P21" s="12">
        <f t="shared" si="11"/>
        <v>0</v>
      </c>
      <c r="Q21" s="12">
        <f t="shared" si="11"/>
        <v>0</v>
      </c>
      <c r="R21" s="12">
        <f t="shared" si="11"/>
        <v>0</v>
      </c>
      <c r="S21" s="12">
        <f t="shared" si="11"/>
        <v>0</v>
      </c>
      <c r="T21" s="12">
        <f t="shared" si="11"/>
        <v>0</v>
      </c>
      <c r="U21" s="41">
        <f>SUM(F21:T21)</f>
        <v>0</v>
      </c>
      <c r="V21" s="42" t="e">
        <f>SUM(U21/U17)</f>
        <v>#DIV/0!</v>
      </c>
      <c r="W21" s="72"/>
      <c r="X21" s="72"/>
      <c r="Y21" s="88"/>
    </row>
    <row r="22" spans="2:25" ht="20.25" thickTop="1" thickBot="1" x14ac:dyDescent="0.35">
      <c r="B22" s="83">
        <v>-4</v>
      </c>
      <c r="C22" s="73"/>
      <c r="D22" s="82"/>
      <c r="E22" s="10" t="s">
        <v>5</v>
      </c>
      <c r="F22" s="33">
        <f>IF(IF(F25=0,0,3),3,0)</f>
        <v>0</v>
      </c>
      <c r="G22" s="33">
        <f>IF(IF(G25=0,0,2),2,0)</f>
        <v>0</v>
      </c>
      <c r="H22" s="33">
        <f t="shared" ref="H22:N22" si="12">IF(IF(H25=0,0,3),3,0)</f>
        <v>0</v>
      </c>
      <c r="I22" s="33">
        <f t="shared" si="12"/>
        <v>0</v>
      </c>
      <c r="J22" s="33">
        <f t="shared" si="12"/>
        <v>0</v>
      </c>
      <c r="K22" s="33">
        <f t="shared" si="12"/>
        <v>0</v>
      </c>
      <c r="L22" s="33">
        <f t="shared" si="12"/>
        <v>0</v>
      </c>
      <c r="M22" s="47">
        <f t="shared" si="12"/>
        <v>0</v>
      </c>
      <c r="N22" s="47">
        <f t="shared" si="12"/>
        <v>0</v>
      </c>
      <c r="O22" s="47">
        <f>IF(IF(O25=0,0,2),2,0)</f>
        <v>0</v>
      </c>
      <c r="P22" s="47">
        <f>IF(IF(P25=0,0,2),2,0)</f>
        <v>0</v>
      </c>
      <c r="Q22" s="47">
        <f>IF(IF(Q25=0,0,3),3,0)</f>
        <v>0</v>
      </c>
      <c r="R22" s="47">
        <f>IF(IF(R25=0,0,3),3,0)</f>
        <v>0</v>
      </c>
      <c r="S22" s="48">
        <f>IF(IF(S25=0,0,3),3,0)</f>
        <v>0</v>
      </c>
      <c r="T22" s="48">
        <f>IF(IF(T25=0,0,2),2,0)</f>
        <v>0</v>
      </c>
      <c r="U22" s="33">
        <f>SUM(F22:T22)</f>
        <v>0</v>
      </c>
      <c r="V22" s="34"/>
      <c r="W22" s="82"/>
      <c r="X22" s="82"/>
      <c r="Y22" s="86"/>
    </row>
    <row r="23" spans="2:25" ht="19.5" thickTop="1" thickBot="1" x14ac:dyDescent="0.3">
      <c r="B23" s="84"/>
      <c r="C23" s="69"/>
      <c r="D23" s="71"/>
      <c r="E23" s="29" t="s">
        <v>68</v>
      </c>
      <c r="F23" s="35"/>
      <c r="G23" s="35"/>
      <c r="H23" s="35"/>
      <c r="I23" s="36"/>
      <c r="J23" s="36"/>
      <c r="K23" s="36"/>
      <c r="L23" s="36"/>
      <c r="M23" s="6">
        <v>0</v>
      </c>
      <c r="N23" s="6">
        <v>0</v>
      </c>
      <c r="O23" s="6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36"/>
      <c r="V23" s="37"/>
      <c r="W23" s="71"/>
      <c r="X23" s="71"/>
      <c r="Y23" s="87"/>
    </row>
    <row r="24" spans="2:25" ht="19.5" thickTop="1" thickBot="1" x14ac:dyDescent="0.3">
      <c r="B24" s="84"/>
      <c r="C24" s="69"/>
      <c r="D24" s="71"/>
      <c r="E24" s="26" t="s">
        <v>3</v>
      </c>
      <c r="F24" s="38"/>
      <c r="G24" s="38"/>
      <c r="H24" s="38"/>
      <c r="I24" s="38"/>
      <c r="J24" s="38"/>
      <c r="K24" s="38"/>
      <c r="L24" s="38"/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9"/>
      <c r="V24" s="40"/>
      <c r="W24" s="71"/>
      <c r="X24" s="71"/>
      <c r="Y24" s="87"/>
    </row>
    <row r="25" spans="2:25" ht="19.5" thickTop="1" thickBot="1" x14ac:dyDescent="0.3">
      <c r="B25" s="84"/>
      <c r="C25" s="69"/>
      <c r="D25" s="71"/>
      <c r="E25" s="27" t="s">
        <v>4</v>
      </c>
      <c r="F25" s="38">
        <f t="shared" ref="F25:T25" si="13">IF(F24&lt;30,F23,F23+F24)</f>
        <v>0</v>
      </c>
      <c r="G25" s="38">
        <f t="shared" si="13"/>
        <v>0</v>
      </c>
      <c r="H25" s="38">
        <f t="shared" si="13"/>
        <v>0</v>
      </c>
      <c r="I25" s="38">
        <f t="shared" si="13"/>
        <v>0</v>
      </c>
      <c r="J25" s="38">
        <f t="shared" si="13"/>
        <v>0</v>
      </c>
      <c r="K25" s="38">
        <f t="shared" si="13"/>
        <v>0</v>
      </c>
      <c r="L25" s="38">
        <f t="shared" si="13"/>
        <v>0</v>
      </c>
      <c r="M25" s="18">
        <f t="shared" si="13"/>
        <v>0</v>
      </c>
      <c r="N25" s="18">
        <f t="shared" si="13"/>
        <v>0</v>
      </c>
      <c r="O25" s="18">
        <f t="shared" si="13"/>
        <v>0</v>
      </c>
      <c r="P25" s="18">
        <f t="shared" si="13"/>
        <v>0</v>
      </c>
      <c r="Q25" s="18">
        <f t="shared" si="13"/>
        <v>0</v>
      </c>
      <c r="R25" s="18">
        <f t="shared" si="13"/>
        <v>0</v>
      </c>
      <c r="S25" s="18">
        <f t="shared" si="13"/>
        <v>0</v>
      </c>
      <c r="T25" s="18">
        <f t="shared" si="13"/>
        <v>0</v>
      </c>
      <c r="U25" s="39"/>
      <c r="V25" s="40"/>
      <c r="W25" s="71"/>
      <c r="X25" s="71"/>
      <c r="Y25" s="87"/>
    </row>
    <row r="26" spans="2:25" ht="37.5" thickTop="1" thickBot="1" x14ac:dyDescent="0.3">
      <c r="B26" s="85"/>
      <c r="C26" s="70"/>
      <c r="D26" s="72"/>
      <c r="E26" s="28" t="s">
        <v>6</v>
      </c>
      <c r="F26" s="43">
        <f t="shared" ref="F26:L26" si="14">SUM(F22*F25)</f>
        <v>0</v>
      </c>
      <c r="G26" s="43">
        <f t="shared" si="14"/>
        <v>0</v>
      </c>
      <c r="H26" s="43">
        <f t="shared" si="14"/>
        <v>0</v>
      </c>
      <c r="I26" s="43">
        <f t="shared" si="14"/>
        <v>0</v>
      </c>
      <c r="J26" s="43">
        <f t="shared" si="14"/>
        <v>0</v>
      </c>
      <c r="K26" s="43">
        <f t="shared" si="14"/>
        <v>0</v>
      </c>
      <c r="L26" s="43">
        <f t="shared" si="14"/>
        <v>0</v>
      </c>
      <c r="M26" s="56">
        <f t="shared" ref="M26:T26" si="15">SUM(M22*M25)</f>
        <v>0</v>
      </c>
      <c r="N26" s="56">
        <f t="shared" si="15"/>
        <v>0</v>
      </c>
      <c r="O26" s="56">
        <f t="shared" si="15"/>
        <v>0</v>
      </c>
      <c r="P26" s="56">
        <f t="shared" si="15"/>
        <v>0</v>
      </c>
      <c r="Q26" s="56">
        <f t="shared" si="15"/>
        <v>0</v>
      </c>
      <c r="R26" s="56">
        <f t="shared" si="15"/>
        <v>0</v>
      </c>
      <c r="S26" s="56">
        <f t="shared" si="15"/>
        <v>0</v>
      </c>
      <c r="T26" s="56">
        <f t="shared" si="15"/>
        <v>0</v>
      </c>
      <c r="U26" s="44">
        <f>SUM(F26:T26)</f>
        <v>0</v>
      </c>
      <c r="V26" s="59" t="e">
        <f>SUM(U26/U22)</f>
        <v>#DIV/0!</v>
      </c>
      <c r="W26" s="72"/>
      <c r="X26" s="72"/>
      <c r="Y26" s="88"/>
    </row>
    <row r="27" spans="2:25" ht="13.5" thickTop="1" x14ac:dyDescent="0.2"/>
  </sheetData>
  <mergeCells count="33">
    <mergeCell ref="B22:B26"/>
    <mergeCell ref="C22:C26"/>
    <mergeCell ref="D22:D26"/>
    <mergeCell ref="W22:W26"/>
    <mergeCell ref="X22:X26"/>
    <mergeCell ref="Y22:Y26"/>
    <mergeCell ref="B17:B21"/>
    <mergeCell ref="C17:C21"/>
    <mergeCell ref="D17:D21"/>
    <mergeCell ref="W17:W21"/>
    <mergeCell ref="X17:X21"/>
    <mergeCell ref="Y17:Y21"/>
    <mergeCell ref="Y7:Y11"/>
    <mergeCell ref="B12:B16"/>
    <mergeCell ref="C12:C16"/>
    <mergeCell ref="D12:D16"/>
    <mergeCell ref="W12:W16"/>
    <mergeCell ref="X12:X16"/>
    <mergeCell ref="Y12:Y16"/>
    <mergeCell ref="U5:U6"/>
    <mergeCell ref="V5:V6"/>
    <mergeCell ref="X5:X6"/>
    <mergeCell ref="B7:B11"/>
    <mergeCell ref="C7:C11"/>
    <mergeCell ref="D7:D11"/>
    <mergeCell ref="W7:W11"/>
    <mergeCell ref="X7:X11"/>
    <mergeCell ref="B5:B6"/>
    <mergeCell ref="C5:C6"/>
    <mergeCell ref="D5:D6"/>
    <mergeCell ref="E5:E6"/>
    <mergeCell ref="F5:L5"/>
    <mergeCell ref="M5:T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8D27-69DA-4D8A-9B68-08408A089C3F}">
  <dimension ref="B4:X27"/>
  <sheetViews>
    <sheetView rightToLeft="1" topLeftCell="A6" workbookViewId="0">
      <selection activeCell="C22" sqref="C22:C26"/>
    </sheetView>
  </sheetViews>
  <sheetFormatPr defaultRowHeight="12.75" x14ac:dyDescent="0.2"/>
  <cols>
    <col min="3" max="3" width="26.5703125" customWidth="1"/>
    <col min="5" max="5" width="26.85546875" customWidth="1"/>
    <col min="24" max="24" width="22" customWidth="1"/>
  </cols>
  <sheetData>
    <row r="4" spans="2:24" ht="13.5" thickBot="1" x14ac:dyDescent="0.25"/>
    <row r="5" spans="2:24" ht="16.5" thickTop="1" thickBot="1" x14ac:dyDescent="0.25">
      <c r="B5" s="91" t="s">
        <v>0</v>
      </c>
      <c r="C5" s="89" t="s">
        <v>7</v>
      </c>
      <c r="D5" s="101" t="s">
        <v>1</v>
      </c>
      <c r="E5" s="89" t="s">
        <v>2</v>
      </c>
      <c r="F5" s="97" t="s">
        <v>20</v>
      </c>
      <c r="G5" s="98"/>
      <c r="H5" s="98"/>
      <c r="I5" s="98"/>
      <c r="J5" s="98"/>
      <c r="K5" s="98"/>
      <c r="L5" s="99"/>
      <c r="M5" s="93" t="s">
        <v>21</v>
      </c>
      <c r="N5" s="94"/>
      <c r="O5" s="94"/>
      <c r="P5" s="94"/>
      <c r="Q5" s="94"/>
      <c r="R5" s="94"/>
      <c r="S5" s="94"/>
      <c r="T5" s="101" t="s">
        <v>4</v>
      </c>
      <c r="U5" s="101" t="s">
        <v>8</v>
      </c>
      <c r="V5" s="23"/>
      <c r="W5" s="101" t="s">
        <v>18</v>
      </c>
      <c r="X5" s="24"/>
    </row>
    <row r="6" spans="2:24" ht="110.25" thickTop="1" thickBot="1" x14ac:dyDescent="0.25">
      <c r="B6" s="92"/>
      <c r="C6" s="90"/>
      <c r="D6" s="102"/>
      <c r="E6" s="100"/>
      <c r="F6" s="21" t="s">
        <v>35</v>
      </c>
      <c r="G6" s="21" t="s">
        <v>36</v>
      </c>
      <c r="H6" s="21" t="s">
        <v>37</v>
      </c>
      <c r="I6" s="21" t="s">
        <v>38</v>
      </c>
      <c r="J6" s="21" t="s">
        <v>39</v>
      </c>
      <c r="K6" s="21" t="s">
        <v>40</v>
      </c>
      <c r="L6" s="21" t="s">
        <v>41</v>
      </c>
      <c r="M6" s="21" t="s">
        <v>14</v>
      </c>
      <c r="N6" s="21" t="s">
        <v>29</v>
      </c>
      <c r="O6" s="21" t="s">
        <v>30</v>
      </c>
      <c r="P6" s="21" t="s">
        <v>31</v>
      </c>
      <c r="Q6" s="21" t="s">
        <v>32</v>
      </c>
      <c r="R6" s="21" t="s">
        <v>33</v>
      </c>
      <c r="S6" s="21" t="s">
        <v>34</v>
      </c>
      <c r="T6" s="103"/>
      <c r="U6" s="103"/>
      <c r="V6" s="21" t="s">
        <v>17</v>
      </c>
      <c r="W6" s="103"/>
      <c r="X6" s="22" t="s">
        <v>19</v>
      </c>
    </row>
    <row r="7" spans="2:24" ht="20.25" thickTop="1" thickBot="1" x14ac:dyDescent="0.35">
      <c r="B7" s="83">
        <v>-1</v>
      </c>
      <c r="C7" s="104"/>
      <c r="D7" s="96"/>
      <c r="E7" s="9" t="s">
        <v>5</v>
      </c>
      <c r="F7" s="33">
        <f>IF(IF(F10=0,0,4),4,0)</f>
        <v>0</v>
      </c>
      <c r="G7" s="33">
        <f>IF(IF(G10=0,0,3),3,0)</f>
        <v>0</v>
      </c>
      <c r="H7" s="33">
        <f>IF(IF(H10=0,0,3),3,0)</f>
        <v>0</v>
      </c>
      <c r="I7" s="33">
        <f>IF(IF(I10=0,0,2),2,0)</f>
        <v>0</v>
      </c>
      <c r="J7" s="33">
        <f>IF(IF(J10=0,0,4),4,0)</f>
        <v>0</v>
      </c>
      <c r="K7" s="33">
        <f>IF(IF(K10=0,0,2),2,0)</f>
        <v>0</v>
      </c>
      <c r="L7" s="33">
        <f>IF(IF(L10=0,0,4),4,0)</f>
        <v>0</v>
      </c>
      <c r="M7" s="33">
        <f>IF(IF(M10=0,0,3),3,0)</f>
        <v>0</v>
      </c>
      <c r="N7" s="33">
        <f>IF(IF(N10=0,0,2),2,0)</f>
        <v>0</v>
      </c>
      <c r="O7" s="33">
        <f>IF(IF(O10=0,0,3),3,0)</f>
        <v>0</v>
      </c>
      <c r="P7" s="33">
        <f>IF(IF(P10=0,0,3),3,0)</f>
        <v>0</v>
      </c>
      <c r="Q7" s="33">
        <f>IF(IF(Q10=0,0,3),3,0)</f>
        <v>0</v>
      </c>
      <c r="R7" s="33">
        <f>IF(IF(R10=0,0,3),3,0)</f>
        <v>0</v>
      </c>
      <c r="S7" s="33">
        <f>IF(IF(S10=0,0,3),3,0)</f>
        <v>0</v>
      </c>
      <c r="T7" s="33">
        <f>SUM(F7:S7)</f>
        <v>0</v>
      </c>
      <c r="U7" s="34"/>
      <c r="V7" s="96"/>
      <c r="W7" s="96"/>
      <c r="X7" s="75"/>
    </row>
    <row r="8" spans="2:24" ht="19.5" thickTop="1" thickBot="1" x14ac:dyDescent="0.3">
      <c r="B8" s="84"/>
      <c r="C8" s="66"/>
      <c r="D8" s="71"/>
      <c r="E8" s="25" t="s">
        <v>68</v>
      </c>
      <c r="F8" s="35"/>
      <c r="G8" s="35"/>
      <c r="H8" s="35"/>
      <c r="I8" s="36"/>
      <c r="J8" s="36"/>
      <c r="K8" s="36"/>
      <c r="L8" s="36"/>
      <c r="M8" s="35">
        <v>0</v>
      </c>
      <c r="N8" s="35">
        <v>0</v>
      </c>
      <c r="O8" s="35">
        <v>0</v>
      </c>
      <c r="P8" s="36">
        <v>0</v>
      </c>
      <c r="Q8" s="36">
        <v>0</v>
      </c>
      <c r="R8" s="36">
        <v>0</v>
      </c>
      <c r="S8" s="36">
        <v>0</v>
      </c>
      <c r="T8" s="36"/>
      <c r="U8" s="37"/>
      <c r="V8" s="71"/>
      <c r="W8" s="71"/>
      <c r="X8" s="76"/>
    </row>
    <row r="9" spans="2:24" ht="19.5" thickTop="1" thickBot="1" x14ac:dyDescent="0.3">
      <c r="B9" s="84"/>
      <c r="C9" s="66"/>
      <c r="D9" s="71"/>
      <c r="E9" s="26" t="s">
        <v>3</v>
      </c>
      <c r="F9" s="38"/>
      <c r="G9" s="38"/>
      <c r="H9" s="38"/>
      <c r="I9" s="38"/>
      <c r="J9" s="38"/>
      <c r="K9" s="38"/>
      <c r="L9" s="38"/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9"/>
      <c r="U9" s="40"/>
      <c r="V9" s="71"/>
      <c r="W9" s="71"/>
      <c r="X9" s="76"/>
    </row>
    <row r="10" spans="2:24" ht="19.5" thickTop="1" thickBot="1" x14ac:dyDescent="0.3">
      <c r="B10" s="84"/>
      <c r="C10" s="66"/>
      <c r="D10" s="71"/>
      <c r="E10" s="27" t="s">
        <v>4</v>
      </c>
      <c r="F10" s="38">
        <f t="shared" ref="F10:S10" si="0">IF(F9&lt;30,F8,F8+F9)</f>
        <v>0</v>
      </c>
      <c r="G10" s="38">
        <f t="shared" si="0"/>
        <v>0</v>
      </c>
      <c r="H10" s="38">
        <f t="shared" si="0"/>
        <v>0</v>
      </c>
      <c r="I10" s="38">
        <f t="shared" si="0"/>
        <v>0</v>
      </c>
      <c r="J10" s="38">
        <f>IF(J9&lt;30,J8,J8+J9)</f>
        <v>0</v>
      </c>
      <c r="K10" s="38">
        <f>IF(K9&lt;30,K8,K8+K9)</f>
        <v>0</v>
      </c>
      <c r="L10" s="38">
        <f t="shared" si="0"/>
        <v>0</v>
      </c>
      <c r="M10" s="38">
        <f t="shared" si="0"/>
        <v>0</v>
      </c>
      <c r="N10" s="38">
        <f t="shared" si="0"/>
        <v>0</v>
      </c>
      <c r="O10" s="38">
        <f t="shared" si="0"/>
        <v>0</v>
      </c>
      <c r="P10" s="38">
        <f t="shared" si="0"/>
        <v>0</v>
      </c>
      <c r="Q10" s="38">
        <f t="shared" si="0"/>
        <v>0</v>
      </c>
      <c r="R10" s="38">
        <f>IF(R9&lt;30,R8,R8+R9)</f>
        <v>0</v>
      </c>
      <c r="S10" s="38">
        <f t="shared" si="0"/>
        <v>0</v>
      </c>
      <c r="T10" s="39"/>
      <c r="U10" s="40"/>
      <c r="V10" s="71"/>
      <c r="W10" s="71"/>
      <c r="X10" s="76"/>
    </row>
    <row r="11" spans="2:24" ht="17.25" customHeight="1" thickTop="1" thickBot="1" x14ac:dyDescent="0.3">
      <c r="B11" s="85"/>
      <c r="C11" s="67"/>
      <c r="D11" s="72"/>
      <c r="E11" s="28" t="s">
        <v>6</v>
      </c>
      <c r="F11" s="32">
        <f t="shared" ref="F11:S11" si="1">SUM(F7*F10)</f>
        <v>0</v>
      </c>
      <c r="G11" s="32">
        <f t="shared" si="1"/>
        <v>0</v>
      </c>
      <c r="H11" s="32">
        <f t="shared" si="1"/>
        <v>0</v>
      </c>
      <c r="I11" s="32">
        <f t="shared" si="1"/>
        <v>0</v>
      </c>
      <c r="J11" s="32">
        <f>SUM(J7*J10)</f>
        <v>0</v>
      </c>
      <c r="K11" s="32">
        <f>SUM(K7*K10)</f>
        <v>0</v>
      </c>
      <c r="L11" s="32">
        <f t="shared" si="1"/>
        <v>0</v>
      </c>
      <c r="M11" s="32">
        <f t="shared" si="1"/>
        <v>0</v>
      </c>
      <c r="N11" s="32">
        <f t="shared" si="1"/>
        <v>0</v>
      </c>
      <c r="O11" s="32">
        <f t="shared" si="1"/>
        <v>0</v>
      </c>
      <c r="P11" s="32">
        <f t="shared" si="1"/>
        <v>0</v>
      </c>
      <c r="Q11" s="32">
        <f t="shared" si="1"/>
        <v>0</v>
      </c>
      <c r="R11" s="32">
        <f>SUM(R7*R10)</f>
        <v>0</v>
      </c>
      <c r="S11" s="32">
        <f t="shared" si="1"/>
        <v>0</v>
      </c>
      <c r="T11" s="41">
        <f>SUM(F11:S11)</f>
        <v>0</v>
      </c>
      <c r="U11" s="42" t="e">
        <f>SUM(T11/T7)</f>
        <v>#DIV/0!</v>
      </c>
      <c r="V11" s="72"/>
      <c r="W11" s="72"/>
      <c r="X11" s="77"/>
    </row>
    <row r="12" spans="2:24" ht="20.25" thickTop="1" thickBot="1" x14ac:dyDescent="0.35">
      <c r="B12" s="83">
        <v>-2</v>
      </c>
      <c r="C12" s="104"/>
      <c r="D12" s="71"/>
      <c r="E12" s="9" t="s">
        <v>5</v>
      </c>
      <c r="F12" s="33">
        <f>IF(IF(F15=0,0,4),4,0)</f>
        <v>0</v>
      </c>
      <c r="G12" s="33">
        <f>IF(IF(G15=0,0,3),3,0)</f>
        <v>0</v>
      </c>
      <c r="H12" s="33">
        <f>IF(IF(H15=0,0,3),3,0)</f>
        <v>0</v>
      </c>
      <c r="I12" s="33">
        <f>IF(IF(I15=0,0,2),2,0)</f>
        <v>0</v>
      </c>
      <c r="J12" s="33">
        <f>IF(IF(J15=0,0,4),4,0)</f>
        <v>0</v>
      </c>
      <c r="K12" s="33">
        <f>IF(IF(K15=0,0,2),2,0)</f>
        <v>0</v>
      </c>
      <c r="L12" s="33">
        <f>IF(IF(L15=0,0,4),4,0)</f>
        <v>0</v>
      </c>
      <c r="M12" s="33">
        <f>IF(IF(M15=0,0,3),3,0)</f>
        <v>0</v>
      </c>
      <c r="N12" s="33">
        <f>IF(IF(N15=0,0,2),2,0)</f>
        <v>0</v>
      </c>
      <c r="O12" s="33">
        <f>IF(IF(O15=0,0,3),3,0)</f>
        <v>0</v>
      </c>
      <c r="P12" s="33">
        <f>IF(IF(P15=0,0,3),3,0)</f>
        <v>0</v>
      </c>
      <c r="Q12" s="33">
        <f>IF(IF(Q15=0,0,3),3,0)</f>
        <v>0</v>
      </c>
      <c r="R12" s="33">
        <f>IF(IF(R15=0,0,3),3,0)</f>
        <v>0</v>
      </c>
      <c r="S12" s="33">
        <f>IF(IF(S15=0,0,3),3,0)</f>
        <v>0</v>
      </c>
      <c r="T12" s="33">
        <f>SUM(F12:S12)</f>
        <v>0</v>
      </c>
      <c r="U12" s="34"/>
      <c r="V12" s="96"/>
      <c r="W12" s="96"/>
      <c r="X12" s="81"/>
    </row>
    <row r="13" spans="2:24" ht="19.5" thickTop="1" thickBot="1" x14ac:dyDescent="0.3">
      <c r="B13" s="84"/>
      <c r="C13" s="66"/>
      <c r="D13" s="71"/>
      <c r="E13" s="25" t="s">
        <v>68</v>
      </c>
      <c r="F13" s="35"/>
      <c r="G13" s="35"/>
      <c r="H13" s="35"/>
      <c r="I13" s="36"/>
      <c r="J13" s="36"/>
      <c r="K13" s="36"/>
      <c r="L13" s="36"/>
      <c r="M13" s="35">
        <v>0</v>
      </c>
      <c r="N13" s="35">
        <v>0</v>
      </c>
      <c r="O13" s="35">
        <v>0</v>
      </c>
      <c r="P13" s="36">
        <v>0</v>
      </c>
      <c r="Q13" s="36">
        <v>0</v>
      </c>
      <c r="R13" s="36">
        <v>0</v>
      </c>
      <c r="S13" s="36">
        <v>0</v>
      </c>
      <c r="T13" s="36"/>
      <c r="U13" s="37"/>
      <c r="V13" s="71"/>
      <c r="W13" s="71"/>
      <c r="X13" s="76"/>
    </row>
    <row r="14" spans="2:24" ht="19.5" thickTop="1" thickBot="1" x14ac:dyDescent="0.3">
      <c r="B14" s="84"/>
      <c r="C14" s="66"/>
      <c r="D14" s="71"/>
      <c r="E14" s="26" t="s">
        <v>3</v>
      </c>
      <c r="F14" s="38"/>
      <c r="G14" s="38"/>
      <c r="H14" s="38"/>
      <c r="I14" s="38"/>
      <c r="J14" s="38"/>
      <c r="K14" s="38"/>
      <c r="L14" s="38"/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9"/>
      <c r="U14" s="40"/>
      <c r="V14" s="71"/>
      <c r="W14" s="71"/>
      <c r="X14" s="76"/>
    </row>
    <row r="15" spans="2:24" ht="19.5" thickTop="1" thickBot="1" x14ac:dyDescent="0.3">
      <c r="B15" s="84"/>
      <c r="C15" s="66"/>
      <c r="D15" s="71"/>
      <c r="E15" s="27" t="s">
        <v>4</v>
      </c>
      <c r="F15" s="38">
        <f t="shared" ref="F15:S15" si="2">IF(F14&lt;30,F13,F13+F14)</f>
        <v>0</v>
      </c>
      <c r="G15" s="38">
        <f t="shared" si="2"/>
        <v>0</v>
      </c>
      <c r="H15" s="38">
        <f t="shared" si="2"/>
        <v>0</v>
      </c>
      <c r="I15" s="38">
        <f t="shared" si="2"/>
        <v>0</v>
      </c>
      <c r="J15" s="38">
        <f t="shared" si="2"/>
        <v>0</v>
      </c>
      <c r="K15" s="38">
        <f t="shared" si="2"/>
        <v>0</v>
      </c>
      <c r="L15" s="38">
        <f t="shared" si="2"/>
        <v>0</v>
      </c>
      <c r="M15" s="38">
        <f t="shared" si="2"/>
        <v>0</v>
      </c>
      <c r="N15" s="38">
        <f t="shared" si="2"/>
        <v>0</v>
      </c>
      <c r="O15" s="38">
        <f t="shared" si="2"/>
        <v>0</v>
      </c>
      <c r="P15" s="38">
        <f t="shared" si="2"/>
        <v>0</v>
      </c>
      <c r="Q15" s="38">
        <f t="shared" si="2"/>
        <v>0</v>
      </c>
      <c r="R15" s="38">
        <f t="shared" si="2"/>
        <v>0</v>
      </c>
      <c r="S15" s="38">
        <f t="shared" si="2"/>
        <v>0</v>
      </c>
      <c r="T15" s="39"/>
      <c r="U15" s="40"/>
      <c r="V15" s="71"/>
      <c r="W15" s="71"/>
      <c r="X15" s="76"/>
    </row>
    <row r="16" spans="2:24" ht="20.25" customHeight="1" thickTop="1" thickBot="1" x14ac:dyDescent="0.3">
      <c r="B16" s="85"/>
      <c r="C16" s="67"/>
      <c r="D16" s="72"/>
      <c r="E16" s="28" t="s">
        <v>6</v>
      </c>
      <c r="F16" s="32">
        <f t="shared" ref="F16:L16" si="3">SUM(F12*F15)</f>
        <v>0</v>
      </c>
      <c r="G16" s="32">
        <f t="shared" si="3"/>
        <v>0</v>
      </c>
      <c r="H16" s="32">
        <f t="shared" si="3"/>
        <v>0</v>
      </c>
      <c r="I16" s="32">
        <f t="shared" si="3"/>
        <v>0</v>
      </c>
      <c r="J16" s="32">
        <f t="shared" si="3"/>
        <v>0</v>
      </c>
      <c r="K16" s="32">
        <f t="shared" si="3"/>
        <v>0</v>
      </c>
      <c r="L16" s="32">
        <f t="shared" si="3"/>
        <v>0</v>
      </c>
      <c r="M16" s="32">
        <f t="shared" ref="M16:S16" si="4">SUM(M12*M15)</f>
        <v>0</v>
      </c>
      <c r="N16" s="32">
        <f t="shared" si="4"/>
        <v>0</v>
      </c>
      <c r="O16" s="32">
        <f t="shared" si="4"/>
        <v>0</v>
      </c>
      <c r="P16" s="32">
        <f t="shared" si="4"/>
        <v>0</v>
      </c>
      <c r="Q16" s="32">
        <f t="shared" si="4"/>
        <v>0</v>
      </c>
      <c r="R16" s="32">
        <f t="shared" si="4"/>
        <v>0</v>
      </c>
      <c r="S16" s="32">
        <f t="shared" si="4"/>
        <v>0</v>
      </c>
      <c r="T16" s="41">
        <f>SUM(F16:S16)</f>
        <v>0</v>
      </c>
      <c r="U16" s="42" t="e">
        <f>SUM(T16/T12)</f>
        <v>#DIV/0!</v>
      </c>
      <c r="V16" s="72"/>
      <c r="W16" s="72"/>
      <c r="X16" s="77"/>
    </row>
    <row r="17" spans="2:24" ht="20.25" thickTop="1" thickBot="1" x14ac:dyDescent="0.35">
      <c r="B17" s="83">
        <v>-3</v>
      </c>
      <c r="C17" s="104"/>
      <c r="D17" s="71"/>
      <c r="E17" s="10" t="s">
        <v>5</v>
      </c>
      <c r="F17" s="33">
        <f>IF(IF(F20=0,0,4),4,0)</f>
        <v>0</v>
      </c>
      <c r="G17" s="33">
        <f>IF(IF(G20=0,0,3),3,0)</f>
        <v>0</v>
      </c>
      <c r="H17" s="33">
        <f>IF(IF(H20=0,0,3),3,0)</f>
        <v>0</v>
      </c>
      <c r="I17" s="33">
        <f>IF(IF(I20=0,0,2),2,0)</f>
        <v>0</v>
      </c>
      <c r="J17" s="33">
        <f>IF(IF(J20=0,0,4),4,0)</f>
        <v>0</v>
      </c>
      <c r="K17" s="33">
        <f>IF(IF(K20=0,0,2),2,0)</f>
        <v>0</v>
      </c>
      <c r="L17" s="33">
        <f>IF(IF(L20=0,0,4),4,0)</f>
        <v>0</v>
      </c>
      <c r="M17" s="33">
        <f>IF(IF(M20=0,0,3),3,0)</f>
        <v>0</v>
      </c>
      <c r="N17" s="33">
        <f>IF(IF(N20=0,0,2),2,0)</f>
        <v>0</v>
      </c>
      <c r="O17" s="33">
        <f>IF(IF(O20=0,0,3),3,0)</f>
        <v>0</v>
      </c>
      <c r="P17" s="33">
        <f>IF(IF(P20=0,0,3),3,0)</f>
        <v>0</v>
      </c>
      <c r="Q17" s="33">
        <f>IF(IF(Q20=0,0,3),3,0)</f>
        <v>0</v>
      </c>
      <c r="R17" s="33">
        <f>IF(IF(R20=0,0,3),3,0)</f>
        <v>0</v>
      </c>
      <c r="S17" s="33">
        <f>IF(IF(S20=0,0,3),3,0)</f>
        <v>0</v>
      </c>
      <c r="T17" s="33">
        <f>SUM(F17:S17)</f>
        <v>0</v>
      </c>
      <c r="U17" s="34"/>
      <c r="V17" s="96"/>
      <c r="W17" s="96"/>
      <c r="X17" s="81"/>
    </row>
    <row r="18" spans="2:24" ht="19.5" thickTop="1" thickBot="1" x14ac:dyDescent="0.3">
      <c r="B18" s="84"/>
      <c r="C18" s="66"/>
      <c r="D18" s="71"/>
      <c r="E18" s="29" t="s">
        <v>68</v>
      </c>
      <c r="F18" s="35"/>
      <c r="G18" s="35"/>
      <c r="H18" s="35"/>
      <c r="I18" s="36"/>
      <c r="J18" s="36"/>
      <c r="K18" s="36"/>
      <c r="L18" s="36"/>
      <c r="M18" s="35">
        <v>0</v>
      </c>
      <c r="N18" s="35">
        <v>0</v>
      </c>
      <c r="O18" s="35">
        <v>0</v>
      </c>
      <c r="P18" s="36">
        <v>0</v>
      </c>
      <c r="Q18" s="36">
        <v>0</v>
      </c>
      <c r="R18" s="36">
        <v>0</v>
      </c>
      <c r="S18" s="36">
        <v>0</v>
      </c>
      <c r="T18" s="36"/>
      <c r="U18" s="37"/>
      <c r="V18" s="71"/>
      <c r="W18" s="71"/>
      <c r="X18" s="76"/>
    </row>
    <row r="19" spans="2:24" ht="19.5" thickTop="1" thickBot="1" x14ac:dyDescent="0.3">
      <c r="B19" s="84"/>
      <c r="C19" s="66"/>
      <c r="D19" s="71"/>
      <c r="E19" s="26" t="s">
        <v>3</v>
      </c>
      <c r="F19" s="38"/>
      <c r="G19" s="38"/>
      <c r="H19" s="38"/>
      <c r="I19" s="38"/>
      <c r="J19" s="38"/>
      <c r="K19" s="38"/>
      <c r="L19" s="38"/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9"/>
      <c r="U19" s="40"/>
      <c r="V19" s="71"/>
      <c r="W19" s="71"/>
      <c r="X19" s="76"/>
    </row>
    <row r="20" spans="2:24" ht="19.5" thickTop="1" thickBot="1" x14ac:dyDescent="0.3">
      <c r="B20" s="84"/>
      <c r="C20" s="66"/>
      <c r="D20" s="71"/>
      <c r="E20" s="27" t="s">
        <v>4</v>
      </c>
      <c r="F20" s="38">
        <f t="shared" ref="F20:S20" si="5">IF(F19&lt;30,F18,F18+F19)</f>
        <v>0</v>
      </c>
      <c r="G20" s="38">
        <f t="shared" si="5"/>
        <v>0</v>
      </c>
      <c r="H20" s="38">
        <f t="shared" si="5"/>
        <v>0</v>
      </c>
      <c r="I20" s="38">
        <f t="shared" si="5"/>
        <v>0</v>
      </c>
      <c r="J20" s="38">
        <f t="shared" si="5"/>
        <v>0</v>
      </c>
      <c r="K20" s="38">
        <f t="shared" si="5"/>
        <v>0</v>
      </c>
      <c r="L20" s="38">
        <f t="shared" si="5"/>
        <v>0</v>
      </c>
      <c r="M20" s="38">
        <f t="shared" si="5"/>
        <v>0</v>
      </c>
      <c r="N20" s="38">
        <f t="shared" si="5"/>
        <v>0</v>
      </c>
      <c r="O20" s="38">
        <f t="shared" si="5"/>
        <v>0</v>
      </c>
      <c r="P20" s="38">
        <f t="shared" si="5"/>
        <v>0</v>
      </c>
      <c r="Q20" s="38">
        <f t="shared" si="5"/>
        <v>0</v>
      </c>
      <c r="R20" s="38">
        <f t="shared" si="5"/>
        <v>0</v>
      </c>
      <c r="S20" s="38">
        <f t="shared" si="5"/>
        <v>0</v>
      </c>
      <c r="T20" s="39"/>
      <c r="U20" s="40"/>
      <c r="V20" s="71"/>
      <c r="W20" s="71"/>
      <c r="X20" s="76"/>
    </row>
    <row r="21" spans="2:24" ht="17.25" customHeight="1" thickTop="1" thickBot="1" x14ac:dyDescent="0.3">
      <c r="B21" s="85"/>
      <c r="C21" s="67"/>
      <c r="D21" s="72"/>
      <c r="E21" s="31" t="s">
        <v>6</v>
      </c>
      <c r="F21" s="32">
        <f t="shared" ref="F21:L21" si="6">SUM(F17*F20)</f>
        <v>0</v>
      </c>
      <c r="G21" s="32">
        <f t="shared" si="6"/>
        <v>0</v>
      </c>
      <c r="H21" s="32">
        <f t="shared" si="6"/>
        <v>0</v>
      </c>
      <c r="I21" s="32">
        <f t="shared" si="6"/>
        <v>0</v>
      </c>
      <c r="J21" s="32">
        <f t="shared" si="6"/>
        <v>0</v>
      </c>
      <c r="K21" s="32">
        <f t="shared" si="6"/>
        <v>0</v>
      </c>
      <c r="L21" s="32">
        <f t="shared" si="6"/>
        <v>0</v>
      </c>
      <c r="M21" s="32">
        <f t="shared" ref="M21:S21" si="7">SUM(M17*M20)</f>
        <v>0</v>
      </c>
      <c r="N21" s="32">
        <f t="shared" si="7"/>
        <v>0</v>
      </c>
      <c r="O21" s="32">
        <f t="shared" si="7"/>
        <v>0</v>
      </c>
      <c r="P21" s="32">
        <f t="shared" si="7"/>
        <v>0</v>
      </c>
      <c r="Q21" s="32">
        <f t="shared" si="7"/>
        <v>0</v>
      </c>
      <c r="R21" s="32">
        <f t="shared" si="7"/>
        <v>0</v>
      </c>
      <c r="S21" s="32">
        <f t="shared" si="7"/>
        <v>0</v>
      </c>
      <c r="T21" s="41">
        <f>SUM(F21:S21)</f>
        <v>0</v>
      </c>
      <c r="U21" s="42" t="e">
        <f>SUM(T21/T17)</f>
        <v>#DIV/0!</v>
      </c>
      <c r="V21" s="72"/>
      <c r="W21" s="72"/>
      <c r="X21" s="77"/>
    </row>
    <row r="22" spans="2:24" ht="20.25" thickTop="1" thickBot="1" x14ac:dyDescent="0.35">
      <c r="B22" s="83">
        <v>-4</v>
      </c>
      <c r="C22" s="104"/>
      <c r="D22" s="71"/>
      <c r="E22" s="10" t="s">
        <v>5</v>
      </c>
      <c r="F22" s="33">
        <f>IF(IF(F25=0,0,4),4,0)</f>
        <v>0</v>
      </c>
      <c r="G22" s="33">
        <f>IF(IF(G25=0,0,3),3,0)</f>
        <v>0</v>
      </c>
      <c r="H22" s="33">
        <f>IF(IF(H25=0,0,3),3,0)</f>
        <v>0</v>
      </c>
      <c r="I22" s="33">
        <f>IF(IF(I25=0,0,2),2,0)</f>
        <v>0</v>
      </c>
      <c r="J22" s="33">
        <f>IF(IF(J25=0,0,4),4,0)</f>
        <v>0</v>
      </c>
      <c r="K22" s="33">
        <f>IF(IF(K25=0,0,2),2,0)</f>
        <v>0</v>
      </c>
      <c r="L22" s="33">
        <f>IF(IF(L25=0,0,4),4,0)</f>
        <v>0</v>
      </c>
      <c r="M22" s="33">
        <f>IF(IF(M25=0,0,3),3,0)</f>
        <v>0</v>
      </c>
      <c r="N22" s="33">
        <f>IF(IF(N25=0,0,2),2,0)</f>
        <v>0</v>
      </c>
      <c r="O22" s="33">
        <f>IF(IF(O25=0,0,3),3,0)</f>
        <v>0</v>
      </c>
      <c r="P22" s="33">
        <f>IF(IF(P25=0,0,3),3,0)</f>
        <v>0</v>
      </c>
      <c r="Q22" s="33">
        <f>IF(IF(Q25=0,0,3),3,0)</f>
        <v>0</v>
      </c>
      <c r="R22" s="33">
        <f>IF(IF(R25=0,0,3),3,0)</f>
        <v>0</v>
      </c>
      <c r="S22" s="33">
        <f>IF(IF(S25=0,0,3),3,0)</f>
        <v>0</v>
      </c>
      <c r="T22" s="33">
        <f>SUM(F22:S22)</f>
        <v>0</v>
      </c>
      <c r="U22" s="34"/>
      <c r="V22" s="96"/>
      <c r="W22" s="96"/>
      <c r="X22" s="81"/>
    </row>
    <row r="23" spans="2:24" ht="19.5" thickTop="1" thickBot="1" x14ac:dyDescent="0.3">
      <c r="B23" s="84"/>
      <c r="C23" s="66"/>
      <c r="D23" s="71"/>
      <c r="E23" s="29" t="s">
        <v>68</v>
      </c>
      <c r="F23" s="35"/>
      <c r="G23" s="35"/>
      <c r="H23" s="35"/>
      <c r="I23" s="36"/>
      <c r="J23" s="36"/>
      <c r="K23" s="36"/>
      <c r="L23" s="36"/>
      <c r="M23" s="35">
        <v>0</v>
      </c>
      <c r="N23" s="35">
        <v>0</v>
      </c>
      <c r="O23" s="35">
        <v>0</v>
      </c>
      <c r="P23" s="36">
        <v>0</v>
      </c>
      <c r="Q23" s="36">
        <v>0</v>
      </c>
      <c r="R23" s="36">
        <v>0</v>
      </c>
      <c r="S23" s="36">
        <v>0</v>
      </c>
      <c r="T23" s="36"/>
      <c r="U23" s="37"/>
      <c r="V23" s="71"/>
      <c r="W23" s="71"/>
      <c r="X23" s="76"/>
    </row>
    <row r="24" spans="2:24" ht="19.5" thickTop="1" thickBot="1" x14ac:dyDescent="0.3">
      <c r="B24" s="84"/>
      <c r="C24" s="66"/>
      <c r="D24" s="71"/>
      <c r="E24" s="26" t="s">
        <v>3</v>
      </c>
      <c r="F24" s="38"/>
      <c r="G24" s="38"/>
      <c r="H24" s="38"/>
      <c r="I24" s="38"/>
      <c r="J24" s="38"/>
      <c r="K24" s="38"/>
      <c r="L24" s="38"/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9"/>
      <c r="U24" s="40"/>
      <c r="V24" s="71"/>
      <c r="W24" s="71"/>
      <c r="X24" s="76"/>
    </row>
    <row r="25" spans="2:24" ht="19.5" thickTop="1" thickBot="1" x14ac:dyDescent="0.3">
      <c r="B25" s="84"/>
      <c r="C25" s="66"/>
      <c r="D25" s="71"/>
      <c r="E25" s="27" t="s">
        <v>4</v>
      </c>
      <c r="F25" s="38">
        <f t="shared" ref="F25:S25" si="8">IF(F24&lt;30,F23,F23+F24)</f>
        <v>0</v>
      </c>
      <c r="G25" s="38">
        <f t="shared" si="8"/>
        <v>0</v>
      </c>
      <c r="H25" s="38">
        <f t="shared" si="8"/>
        <v>0</v>
      </c>
      <c r="I25" s="38">
        <f t="shared" si="8"/>
        <v>0</v>
      </c>
      <c r="J25" s="38">
        <f t="shared" si="8"/>
        <v>0</v>
      </c>
      <c r="K25" s="38">
        <f t="shared" si="8"/>
        <v>0</v>
      </c>
      <c r="L25" s="38">
        <f t="shared" si="8"/>
        <v>0</v>
      </c>
      <c r="M25" s="38">
        <f t="shared" si="8"/>
        <v>0</v>
      </c>
      <c r="N25" s="38">
        <f t="shared" si="8"/>
        <v>0</v>
      </c>
      <c r="O25" s="38">
        <f t="shared" si="8"/>
        <v>0</v>
      </c>
      <c r="P25" s="38">
        <f t="shared" si="8"/>
        <v>0</v>
      </c>
      <c r="Q25" s="38">
        <f t="shared" si="8"/>
        <v>0</v>
      </c>
      <c r="R25" s="38">
        <f t="shared" si="8"/>
        <v>0</v>
      </c>
      <c r="S25" s="38">
        <f t="shared" si="8"/>
        <v>0</v>
      </c>
      <c r="T25" s="39"/>
      <c r="U25" s="40"/>
      <c r="V25" s="71"/>
      <c r="W25" s="71"/>
      <c r="X25" s="76"/>
    </row>
    <row r="26" spans="2:24" ht="21.75" customHeight="1" thickTop="1" thickBot="1" x14ac:dyDescent="0.3">
      <c r="B26" s="85"/>
      <c r="C26" s="67"/>
      <c r="D26" s="72"/>
      <c r="E26" s="28" t="s">
        <v>6</v>
      </c>
      <c r="F26" s="43">
        <f t="shared" ref="F26:L26" si="9">SUM(F22*F25)</f>
        <v>0</v>
      </c>
      <c r="G26" s="43">
        <f t="shared" si="9"/>
        <v>0</v>
      </c>
      <c r="H26" s="43">
        <f t="shared" si="9"/>
        <v>0</v>
      </c>
      <c r="I26" s="43">
        <f t="shared" si="9"/>
        <v>0</v>
      </c>
      <c r="J26" s="43">
        <f t="shared" si="9"/>
        <v>0</v>
      </c>
      <c r="K26" s="43">
        <f t="shared" si="9"/>
        <v>0</v>
      </c>
      <c r="L26" s="43">
        <f t="shared" si="9"/>
        <v>0</v>
      </c>
      <c r="M26" s="43">
        <f t="shared" ref="M26:S26" si="10">SUM(M22*M25)</f>
        <v>0</v>
      </c>
      <c r="N26" s="43">
        <f t="shared" si="10"/>
        <v>0</v>
      </c>
      <c r="O26" s="43">
        <f t="shared" si="10"/>
        <v>0</v>
      </c>
      <c r="P26" s="43">
        <f t="shared" si="10"/>
        <v>0</v>
      </c>
      <c r="Q26" s="43">
        <f t="shared" si="10"/>
        <v>0</v>
      </c>
      <c r="R26" s="43">
        <f t="shared" si="10"/>
        <v>0</v>
      </c>
      <c r="S26" s="43">
        <f t="shared" si="10"/>
        <v>0</v>
      </c>
      <c r="T26" s="44">
        <f>SUM(F26:S26)</f>
        <v>0</v>
      </c>
      <c r="U26" s="59" t="e">
        <f>SUM(T26/T22)</f>
        <v>#DIV/0!</v>
      </c>
      <c r="V26" s="72"/>
      <c r="W26" s="72"/>
      <c r="X26" s="77"/>
    </row>
    <row r="27" spans="2:24" ht="13.5" thickTop="1" x14ac:dyDescent="0.2"/>
  </sheetData>
  <mergeCells count="33">
    <mergeCell ref="B22:B26"/>
    <mergeCell ref="C22:C26"/>
    <mergeCell ref="D22:D26"/>
    <mergeCell ref="V22:V26"/>
    <mergeCell ref="W22:W26"/>
    <mergeCell ref="X22:X26"/>
    <mergeCell ref="B17:B21"/>
    <mergeCell ref="C17:C21"/>
    <mergeCell ref="D17:D21"/>
    <mergeCell ref="V17:V21"/>
    <mergeCell ref="W17:W21"/>
    <mergeCell ref="X17:X21"/>
    <mergeCell ref="X7:X11"/>
    <mergeCell ref="B12:B16"/>
    <mergeCell ref="C12:C16"/>
    <mergeCell ref="D12:D16"/>
    <mergeCell ref="V12:V16"/>
    <mergeCell ref="W12:W16"/>
    <mergeCell ref="X12:X16"/>
    <mergeCell ref="T5:T6"/>
    <mergeCell ref="U5:U6"/>
    <mergeCell ref="W5:W6"/>
    <mergeCell ref="B7:B11"/>
    <mergeCell ref="C7:C11"/>
    <mergeCell ref="D7:D11"/>
    <mergeCell ref="V7:V11"/>
    <mergeCell ref="W7:W11"/>
    <mergeCell ref="B5:B6"/>
    <mergeCell ref="C5:C6"/>
    <mergeCell ref="D5:D6"/>
    <mergeCell ref="E5:E6"/>
    <mergeCell ref="F5:L5"/>
    <mergeCell ref="M5:S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A376-2622-4559-A92D-566C7D8585A4}">
  <dimension ref="B4:X27"/>
  <sheetViews>
    <sheetView rightToLeft="1" workbookViewId="0">
      <selection activeCell="C22" sqref="C22:C26"/>
    </sheetView>
  </sheetViews>
  <sheetFormatPr defaultRowHeight="12.75" x14ac:dyDescent="0.2"/>
  <cols>
    <col min="3" max="3" width="25" customWidth="1"/>
    <col min="5" max="5" width="24.140625" customWidth="1"/>
    <col min="24" max="24" width="19.42578125" customWidth="1"/>
  </cols>
  <sheetData>
    <row r="4" spans="2:24" ht="13.5" thickBot="1" x14ac:dyDescent="0.25"/>
    <row r="5" spans="2:24" ht="16.5" thickTop="1" thickBot="1" x14ac:dyDescent="0.25">
      <c r="B5" s="91" t="s">
        <v>0</v>
      </c>
      <c r="C5" s="89" t="s">
        <v>7</v>
      </c>
      <c r="D5" s="101" t="s">
        <v>1</v>
      </c>
      <c r="E5" s="89" t="s">
        <v>2</v>
      </c>
      <c r="F5" s="97" t="s">
        <v>23</v>
      </c>
      <c r="G5" s="98"/>
      <c r="H5" s="98"/>
      <c r="I5" s="98"/>
      <c r="J5" s="98"/>
      <c r="K5" s="98"/>
      <c r="L5" s="99"/>
      <c r="M5" s="93" t="s">
        <v>22</v>
      </c>
      <c r="N5" s="94"/>
      <c r="O5" s="94"/>
      <c r="P5" s="94"/>
      <c r="Q5" s="94"/>
      <c r="R5" s="94"/>
      <c r="S5" s="94"/>
      <c r="T5" s="101" t="s">
        <v>4</v>
      </c>
      <c r="U5" s="101" t="s">
        <v>8</v>
      </c>
      <c r="V5" s="23"/>
      <c r="W5" s="101" t="s">
        <v>18</v>
      </c>
      <c r="X5" s="24"/>
    </row>
    <row r="6" spans="2:24" ht="110.25" thickTop="1" thickBot="1" x14ac:dyDescent="0.25">
      <c r="B6" s="92"/>
      <c r="C6" s="90"/>
      <c r="D6" s="102"/>
      <c r="E6" s="100"/>
      <c r="F6" s="21" t="s">
        <v>42</v>
      </c>
      <c r="G6" s="21" t="s">
        <v>43</v>
      </c>
      <c r="H6" s="21" t="s">
        <v>44</v>
      </c>
      <c r="I6" s="21" t="s">
        <v>45</v>
      </c>
      <c r="J6" s="21" t="s">
        <v>46</v>
      </c>
      <c r="K6" s="21" t="s">
        <v>47</v>
      </c>
      <c r="L6" s="21" t="s">
        <v>48</v>
      </c>
      <c r="M6" s="21" t="s">
        <v>35</v>
      </c>
      <c r="N6" s="21" t="s">
        <v>36</v>
      </c>
      <c r="O6" s="21" t="s">
        <v>37</v>
      </c>
      <c r="P6" s="21" t="s">
        <v>38</v>
      </c>
      <c r="Q6" s="21" t="s">
        <v>39</v>
      </c>
      <c r="R6" s="21" t="s">
        <v>40</v>
      </c>
      <c r="S6" s="21" t="s">
        <v>41</v>
      </c>
      <c r="T6" s="103"/>
      <c r="U6" s="103"/>
      <c r="V6" s="21" t="s">
        <v>17</v>
      </c>
      <c r="W6" s="103"/>
      <c r="X6" s="22" t="s">
        <v>19</v>
      </c>
    </row>
    <row r="7" spans="2:24" ht="20.25" thickTop="1" thickBot="1" x14ac:dyDescent="0.35">
      <c r="B7" s="83">
        <v>-1</v>
      </c>
      <c r="C7" s="73" t="s">
        <v>58</v>
      </c>
      <c r="D7" s="96" t="s">
        <v>70</v>
      </c>
      <c r="E7" s="9" t="s">
        <v>5</v>
      </c>
      <c r="F7" s="33">
        <f>IF(IF(F10=0,0,3),3,0)</f>
        <v>0</v>
      </c>
      <c r="G7" s="33">
        <f>IF(IF(G10=0,0,4),4,0)</f>
        <v>0</v>
      </c>
      <c r="H7" s="33">
        <f>IF(IF(H10=0,0,3),3,0)</f>
        <v>0</v>
      </c>
      <c r="I7" s="33">
        <f>IF(IF(I10=0,0,4),4,0)</f>
        <v>0</v>
      </c>
      <c r="J7" s="33">
        <f>IF(IF(J10=0,0,3),3,0)</f>
        <v>0</v>
      </c>
      <c r="K7" s="33">
        <f>IF(IF(K10=0,0,3),3,0)</f>
        <v>0</v>
      </c>
      <c r="L7" s="33">
        <f>IF(IF(L10=0,0,2),2,0)</f>
        <v>0</v>
      </c>
      <c r="M7" s="33">
        <f>IF(IF(M10=0,0,4),4,0)</f>
        <v>0</v>
      </c>
      <c r="N7" s="33">
        <f>IF(IF(N10=0,0,3),3,0)</f>
        <v>0</v>
      </c>
      <c r="O7" s="33">
        <f>IF(IF(O10=0,0,3),3,0)</f>
        <v>0</v>
      </c>
      <c r="P7" s="33">
        <f>IF(IF(P10=0,0,2),2,0)</f>
        <v>0</v>
      </c>
      <c r="Q7" s="33">
        <f>IF(IF(Q10=0,0,4),4,0)</f>
        <v>0</v>
      </c>
      <c r="R7" s="33">
        <f>IF(IF(R10=0,0,2),2,0)</f>
        <v>0</v>
      </c>
      <c r="S7" s="33">
        <f>IF(IF(S10=0,0,4),4,0)</f>
        <v>0</v>
      </c>
      <c r="T7" s="33">
        <f>SUM(F7:S7)</f>
        <v>0</v>
      </c>
      <c r="U7" s="34"/>
      <c r="V7" s="82"/>
      <c r="W7" s="82"/>
      <c r="X7" s="75"/>
    </row>
    <row r="8" spans="2:24" ht="19.5" thickTop="1" thickBot="1" x14ac:dyDescent="0.3">
      <c r="B8" s="84"/>
      <c r="C8" s="69"/>
      <c r="D8" s="71"/>
      <c r="E8" s="25" t="s">
        <v>68</v>
      </c>
      <c r="F8" s="35"/>
      <c r="G8" s="35"/>
      <c r="H8" s="35"/>
      <c r="I8" s="36"/>
      <c r="J8" s="36"/>
      <c r="K8" s="36"/>
      <c r="L8" s="36"/>
      <c r="M8" s="35">
        <v>0</v>
      </c>
      <c r="N8" s="35">
        <v>0</v>
      </c>
      <c r="O8" s="35">
        <v>0</v>
      </c>
      <c r="P8" s="36">
        <v>0</v>
      </c>
      <c r="Q8" s="36">
        <v>0</v>
      </c>
      <c r="R8" s="36">
        <v>0</v>
      </c>
      <c r="S8" s="36">
        <v>0</v>
      </c>
      <c r="T8" s="36"/>
      <c r="U8" s="37"/>
      <c r="V8" s="71"/>
      <c r="W8" s="71"/>
      <c r="X8" s="76"/>
    </row>
    <row r="9" spans="2:24" ht="19.5" thickTop="1" thickBot="1" x14ac:dyDescent="0.3">
      <c r="B9" s="84"/>
      <c r="C9" s="69"/>
      <c r="D9" s="71"/>
      <c r="E9" s="26" t="s">
        <v>3</v>
      </c>
      <c r="F9" s="38"/>
      <c r="G9" s="38"/>
      <c r="H9" s="38"/>
      <c r="I9" s="38"/>
      <c r="J9" s="38"/>
      <c r="K9" s="38"/>
      <c r="L9" s="38"/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9"/>
      <c r="U9" s="40"/>
      <c r="V9" s="71"/>
      <c r="W9" s="71"/>
      <c r="X9" s="76"/>
    </row>
    <row r="10" spans="2:24" ht="19.5" thickTop="1" thickBot="1" x14ac:dyDescent="0.3">
      <c r="B10" s="84"/>
      <c r="C10" s="69"/>
      <c r="D10" s="71"/>
      <c r="E10" s="27" t="s">
        <v>4</v>
      </c>
      <c r="F10" s="38">
        <f t="shared" ref="F10:S10" si="0">IF(F9&lt;30,F8,F8+F9)</f>
        <v>0</v>
      </c>
      <c r="G10" s="38">
        <f t="shared" si="0"/>
        <v>0</v>
      </c>
      <c r="H10" s="38">
        <f t="shared" si="0"/>
        <v>0</v>
      </c>
      <c r="I10" s="38">
        <f t="shared" si="0"/>
        <v>0</v>
      </c>
      <c r="J10" s="38">
        <f t="shared" si="0"/>
        <v>0</v>
      </c>
      <c r="K10" s="38">
        <f t="shared" si="0"/>
        <v>0</v>
      </c>
      <c r="L10" s="38">
        <f t="shared" si="0"/>
        <v>0</v>
      </c>
      <c r="M10" s="38">
        <f t="shared" si="0"/>
        <v>0</v>
      </c>
      <c r="N10" s="38">
        <f t="shared" si="0"/>
        <v>0</v>
      </c>
      <c r="O10" s="38">
        <f t="shared" si="0"/>
        <v>0</v>
      </c>
      <c r="P10" s="38">
        <f t="shared" si="0"/>
        <v>0</v>
      </c>
      <c r="Q10" s="38">
        <f t="shared" si="0"/>
        <v>0</v>
      </c>
      <c r="R10" s="38">
        <f t="shared" si="0"/>
        <v>0</v>
      </c>
      <c r="S10" s="38">
        <f t="shared" si="0"/>
        <v>0</v>
      </c>
      <c r="T10" s="39"/>
      <c r="U10" s="40"/>
      <c r="V10" s="71"/>
      <c r="W10" s="71"/>
      <c r="X10" s="76"/>
    </row>
    <row r="11" spans="2:24" ht="16.5" customHeight="1" thickTop="1" thickBot="1" x14ac:dyDescent="0.3">
      <c r="B11" s="85"/>
      <c r="C11" s="70"/>
      <c r="D11" s="72"/>
      <c r="E11" s="28" t="s">
        <v>6</v>
      </c>
      <c r="F11" s="32">
        <f>SUM(F7*F10)</f>
        <v>0</v>
      </c>
      <c r="G11" s="32">
        <f>SUM(G7*G10)</f>
        <v>0</v>
      </c>
      <c r="H11" s="32">
        <f>SUM(H7*H10)</f>
        <v>0</v>
      </c>
      <c r="I11" s="32">
        <f>SUM(I7*I10)</f>
        <v>0</v>
      </c>
      <c r="J11" s="32">
        <f>SUM(J7*J10)</f>
        <v>0</v>
      </c>
      <c r="K11" s="32">
        <f>J7:J11</f>
        <v>0</v>
      </c>
      <c r="L11" s="32">
        <f>SUM(L7*L10)</f>
        <v>0</v>
      </c>
      <c r="M11" s="32">
        <f t="shared" ref="M11:S11" si="1">SUM(M7*M10)</f>
        <v>0</v>
      </c>
      <c r="N11" s="32">
        <f t="shared" si="1"/>
        <v>0</v>
      </c>
      <c r="O11" s="32">
        <f t="shared" si="1"/>
        <v>0</v>
      </c>
      <c r="P11" s="32">
        <f t="shared" si="1"/>
        <v>0</v>
      </c>
      <c r="Q11" s="32">
        <f t="shared" si="1"/>
        <v>0</v>
      </c>
      <c r="R11" s="32">
        <f t="shared" si="1"/>
        <v>0</v>
      </c>
      <c r="S11" s="32">
        <f t="shared" si="1"/>
        <v>0</v>
      </c>
      <c r="T11" s="41">
        <f>SUM(F11:S11)</f>
        <v>0</v>
      </c>
      <c r="U11" s="42" t="e">
        <f>SUM(T11/T7)</f>
        <v>#DIV/0!</v>
      </c>
      <c r="V11" s="72"/>
      <c r="W11" s="72"/>
      <c r="X11" s="76"/>
    </row>
    <row r="12" spans="2:24" ht="20.25" thickTop="1" thickBot="1" x14ac:dyDescent="0.35">
      <c r="B12" s="105">
        <v>-2</v>
      </c>
      <c r="C12" s="68" t="s">
        <v>59</v>
      </c>
      <c r="D12" s="71" t="s">
        <v>71</v>
      </c>
      <c r="E12" s="9" t="s">
        <v>5</v>
      </c>
      <c r="F12" s="33">
        <f>IF(IF(F15=0,0,3),3,0)</f>
        <v>0</v>
      </c>
      <c r="G12" s="33">
        <f>IF(IF(G15=0,0,4),4,0)</f>
        <v>0</v>
      </c>
      <c r="H12" s="33">
        <f>IF(IF(H15=0,0,3),3,0)</f>
        <v>0</v>
      </c>
      <c r="I12" s="33">
        <f>IF(IF(I15=0,0,4),4,0)</f>
        <v>0</v>
      </c>
      <c r="J12" s="33">
        <f>IF(IF(J15=0,0,3),3,0)</f>
        <v>0</v>
      </c>
      <c r="K12" s="33">
        <f>IF(IF(K15=0,0,3),3,0)</f>
        <v>0</v>
      </c>
      <c r="L12" s="33">
        <f>IF(IF(L15=0,0,2),2,0)</f>
        <v>0</v>
      </c>
      <c r="M12" s="33">
        <f>IF(IF(M15=0,0,4),4,0)</f>
        <v>0</v>
      </c>
      <c r="N12" s="33">
        <f>IF(IF(N15=0,0,3),3,0)</f>
        <v>0</v>
      </c>
      <c r="O12" s="33">
        <f>IF(IF(O15=0,0,3),3,0)</f>
        <v>0</v>
      </c>
      <c r="P12" s="33">
        <f>IF(IF(P15=0,0,2),2,0)</f>
        <v>0</v>
      </c>
      <c r="Q12" s="33">
        <f>IF(IF(Q15=0,0,4),4,0)</f>
        <v>0</v>
      </c>
      <c r="R12" s="33">
        <f>IF(IF(R15=0,0,2),2,0)</f>
        <v>0</v>
      </c>
      <c r="S12" s="33">
        <f>IF(IF(S15=0,0,4),4,0)</f>
        <v>0</v>
      </c>
      <c r="T12" s="33">
        <f>SUM(F12:S12)</f>
        <v>0</v>
      </c>
      <c r="U12" s="34"/>
      <c r="V12" s="82"/>
      <c r="W12" s="82"/>
      <c r="X12" s="76"/>
    </row>
    <row r="13" spans="2:24" ht="19.5" thickTop="1" thickBot="1" x14ac:dyDescent="0.3">
      <c r="B13" s="84"/>
      <c r="C13" s="69"/>
      <c r="D13" s="71"/>
      <c r="E13" s="25" t="s">
        <v>68</v>
      </c>
      <c r="F13" s="35"/>
      <c r="G13" s="35"/>
      <c r="H13" s="35"/>
      <c r="I13" s="36"/>
      <c r="J13" s="36"/>
      <c r="K13" s="36"/>
      <c r="L13" s="36"/>
      <c r="M13" s="35">
        <v>0</v>
      </c>
      <c r="N13" s="35">
        <v>0</v>
      </c>
      <c r="O13" s="35">
        <v>0</v>
      </c>
      <c r="P13" s="36">
        <v>0</v>
      </c>
      <c r="Q13" s="36">
        <v>0</v>
      </c>
      <c r="R13" s="36">
        <v>0</v>
      </c>
      <c r="S13" s="36">
        <v>0</v>
      </c>
      <c r="T13" s="36"/>
      <c r="U13" s="37"/>
      <c r="V13" s="71"/>
      <c r="W13" s="71"/>
      <c r="X13" s="76"/>
    </row>
    <row r="14" spans="2:24" ht="19.5" thickTop="1" thickBot="1" x14ac:dyDescent="0.3">
      <c r="B14" s="84"/>
      <c r="C14" s="69"/>
      <c r="D14" s="71"/>
      <c r="E14" s="26" t="s">
        <v>3</v>
      </c>
      <c r="F14" s="38"/>
      <c r="G14" s="38"/>
      <c r="H14" s="38"/>
      <c r="I14" s="38"/>
      <c r="J14" s="38"/>
      <c r="K14" s="38"/>
      <c r="L14" s="38"/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9"/>
      <c r="U14" s="40"/>
      <c r="V14" s="71"/>
      <c r="W14" s="71"/>
      <c r="X14" s="76"/>
    </row>
    <row r="15" spans="2:24" ht="19.5" thickTop="1" thickBot="1" x14ac:dyDescent="0.3">
      <c r="B15" s="84"/>
      <c r="C15" s="69"/>
      <c r="D15" s="71"/>
      <c r="E15" s="27" t="s">
        <v>4</v>
      </c>
      <c r="F15" s="38">
        <f t="shared" ref="F15:S15" si="2">IF(F14&lt;30,F13,F13+F14)</f>
        <v>0</v>
      </c>
      <c r="G15" s="38">
        <f t="shared" si="2"/>
        <v>0</v>
      </c>
      <c r="H15" s="38">
        <f t="shared" si="2"/>
        <v>0</v>
      </c>
      <c r="I15" s="38">
        <f t="shared" si="2"/>
        <v>0</v>
      </c>
      <c r="J15" s="38">
        <f t="shared" si="2"/>
        <v>0</v>
      </c>
      <c r="K15" s="38">
        <f t="shared" si="2"/>
        <v>0</v>
      </c>
      <c r="L15" s="38">
        <f t="shared" si="2"/>
        <v>0</v>
      </c>
      <c r="M15" s="38">
        <f t="shared" si="2"/>
        <v>0</v>
      </c>
      <c r="N15" s="38">
        <f t="shared" si="2"/>
        <v>0</v>
      </c>
      <c r="O15" s="38">
        <f t="shared" si="2"/>
        <v>0</v>
      </c>
      <c r="P15" s="38">
        <f t="shared" si="2"/>
        <v>0</v>
      </c>
      <c r="Q15" s="38">
        <f t="shared" si="2"/>
        <v>0</v>
      </c>
      <c r="R15" s="38">
        <f t="shared" si="2"/>
        <v>0</v>
      </c>
      <c r="S15" s="38">
        <f t="shared" si="2"/>
        <v>0</v>
      </c>
      <c r="T15" s="39"/>
      <c r="U15" s="40"/>
      <c r="V15" s="71"/>
      <c r="W15" s="71"/>
      <c r="X15" s="76"/>
    </row>
    <row r="16" spans="2:24" ht="16.5" customHeight="1" thickTop="1" thickBot="1" x14ac:dyDescent="0.3">
      <c r="B16" s="85"/>
      <c r="C16" s="70"/>
      <c r="D16" s="72"/>
      <c r="E16" s="28" t="s">
        <v>6</v>
      </c>
      <c r="F16" s="32">
        <f>SUM(F12*F15)</f>
        <v>0</v>
      </c>
      <c r="G16" s="32">
        <f>SUM(G12*G15)</f>
        <v>0</v>
      </c>
      <c r="H16" s="32">
        <f>SUM(H12*H15)</f>
        <v>0</v>
      </c>
      <c r="I16" s="32">
        <f>SUM(I12*I15)</f>
        <v>0</v>
      </c>
      <c r="J16" s="32">
        <f>SUM(J12*J15)</f>
        <v>0</v>
      </c>
      <c r="K16" s="32">
        <f>J12:J16</f>
        <v>0</v>
      </c>
      <c r="L16" s="32">
        <f>SUM(L12*L15)</f>
        <v>0</v>
      </c>
      <c r="M16" s="32">
        <f t="shared" ref="M16:S16" si="3">SUM(M12*M15)</f>
        <v>0</v>
      </c>
      <c r="N16" s="32">
        <f t="shared" si="3"/>
        <v>0</v>
      </c>
      <c r="O16" s="32">
        <f t="shared" si="3"/>
        <v>0</v>
      </c>
      <c r="P16" s="32">
        <f t="shared" si="3"/>
        <v>0</v>
      </c>
      <c r="Q16" s="32">
        <f t="shared" si="3"/>
        <v>0</v>
      </c>
      <c r="R16" s="32">
        <f t="shared" si="3"/>
        <v>0</v>
      </c>
      <c r="S16" s="32">
        <f t="shared" si="3"/>
        <v>0</v>
      </c>
      <c r="T16" s="41">
        <f>SUM(F16:S16)</f>
        <v>0</v>
      </c>
      <c r="U16" s="42" t="e">
        <f>SUM(T16/T12)</f>
        <v>#DIV/0!</v>
      </c>
      <c r="V16" s="72"/>
      <c r="W16" s="72"/>
      <c r="X16" s="76"/>
    </row>
    <row r="17" spans="2:24" ht="20.25" thickTop="1" thickBot="1" x14ac:dyDescent="0.35">
      <c r="B17" s="105">
        <v>-3</v>
      </c>
      <c r="C17" s="65"/>
      <c r="D17" s="82"/>
      <c r="E17" s="10" t="s">
        <v>5</v>
      </c>
      <c r="F17" s="33">
        <f>IF(IF(F20=0,0,3),3,0)</f>
        <v>0</v>
      </c>
      <c r="G17" s="33">
        <f>IF(IF(G20=0,0,4),4,0)</f>
        <v>0</v>
      </c>
      <c r="H17" s="33">
        <f>IF(IF(H20=0,0,3),3,0)</f>
        <v>0</v>
      </c>
      <c r="I17" s="33">
        <f>IF(IF(I20=0,0,4),4,0)</f>
        <v>0</v>
      </c>
      <c r="J17" s="33">
        <f>IF(IF(J20=0,0,3),3,0)</f>
        <v>0</v>
      </c>
      <c r="K17" s="33">
        <f>IF(IF(K20=0,0,3),3,0)</f>
        <v>0</v>
      </c>
      <c r="L17" s="33">
        <f>IF(IF(L20=0,0,2),2,0)</f>
        <v>0</v>
      </c>
      <c r="M17" s="33">
        <f>IF(IF(M20=0,0,4),4,0)</f>
        <v>0</v>
      </c>
      <c r="N17" s="33">
        <f>IF(IF(N20=0,0,3),3,0)</f>
        <v>0</v>
      </c>
      <c r="O17" s="33">
        <f>IF(IF(O20=0,0,3),3,0)</f>
        <v>0</v>
      </c>
      <c r="P17" s="33">
        <f>IF(IF(P20=0,0,2),2,0)</f>
        <v>0</v>
      </c>
      <c r="Q17" s="33">
        <f>IF(IF(Q20=0,0,4),4,0)</f>
        <v>0</v>
      </c>
      <c r="R17" s="33">
        <f>IF(IF(R20=0,0,2),2,0)</f>
        <v>0</v>
      </c>
      <c r="S17" s="33">
        <f>IF(IF(S20=0,0,4),4,0)</f>
        <v>0</v>
      </c>
      <c r="T17" s="33">
        <f>SUM(F17:S17)</f>
        <v>0</v>
      </c>
      <c r="U17" s="34"/>
      <c r="V17" s="82"/>
      <c r="W17" s="82"/>
      <c r="X17" s="76"/>
    </row>
    <row r="18" spans="2:24" ht="19.5" thickTop="1" thickBot="1" x14ac:dyDescent="0.3">
      <c r="B18" s="84"/>
      <c r="C18" s="66"/>
      <c r="D18" s="71"/>
      <c r="E18" s="29" t="s">
        <v>68</v>
      </c>
      <c r="F18" s="35"/>
      <c r="G18" s="35"/>
      <c r="H18" s="35"/>
      <c r="I18" s="36"/>
      <c r="J18" s="36"/>
      <c r="K18" s="36"/>
      <c r="L18" s="36"/>
      <c r="M18" s="35">
        <v>0</v>
      </c>
      <c r="N18" s="35">
        <v>0</v>
      </c>
      <c r="O18" s="35">
        <v>0</v>
      </c>
      <c r="P18" s="36">
        <v>0</v>
      </c>
      <c r="Q18" s="36">
        <v>0</v>
      </c>
      <c r="R18" s="36">
        <v>0</v>
      </c>
      <c r="S18" s="36">
        <v>0</v>
      </c>
      <c r="T18" s="36"/>
      <c r="U18" s="37"/>
      <c r="V18" s="71"/>
      <c r="W18" s="71"/>
      <c r="X18" s="76"/>
    </row>
    <row r="19" spans="2:24" ht="19.5" thickTop="1" thickBot="1" x14ac:dyDescent="0.3">
      <c r="B19" s="84"/>
      <c r="C19" s="66"/>
      <c r="D19" s="71"/>
      <c r="E19" s="26" t="s">
        <v>3</v>
      </c>
      <c r="F19" s="38"/>
      <c r="G19" s="38"/>
      <c r="H19" s="38"/>
      <c r="I19" s="38"/>
      <c r="J19" s="38"/>
      <c r="K19" s="38"/>
      <c r="L19" s="38"/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9"/>
      <c r="U19" s="40"/>
      <c r="V19" s="71"/>
      <c r="W19" s="71"/>
      <c r="X19" s="76"/>
    </row>
    <row r="20" spans="2:24" ht="19.5" thickTop="1" thickBot="1" x14ac:dyDescent="0.3">
      <c r="B20" s="84"/>
      <c r="C20" s="66"/>
      <c r="D20" s="71"/>
      <c r="E20" s="27" t="s">
        <v>4</v>
      </c>
      <c r="F20" s="38">
        <f t="shared" ref="F20:S20" si="4">IF(F19&lt;30,F18,F18+F19)</f>
        <v>0</v>
      </c>
      <c r="G20" s="38">
        <f t="shared" si="4"/>
        <v>0</v>
      </c>
      <c r="H20" s="38">
        <f t="shared" si="4"/>
        <v>0</v>
      </c>
      <c r="I20" s="38">
        <f t="shared" si="4"/>
        <v>0</v>
      </c>
      <c r="J20" s="38">
        <f t="shared" si="4"/>
        <v>0</v>
      </c>
      <c r="K20" s="38">
        <f t="shared" si="4"/>
        <v>0</v>
      </c>
      <c r="L20" s="38">
        <f t="shared" si="4"/>
        <v>0</v>
      </c>
      <c r="M20" s="38">
        <f t="shared" si="4"/>
        <v>0</v>
      </c>
      <c r="N20" s="38">
        <f t="shared" si="4"/>
        <v>0</v>
      </c>
      <c r="O20" s="38">
        <f t="shared" si="4"/>
        <v>0</v>
      </c>
      <c r="P20" s="38">
        <f t="shared" si="4"/>
        <v>0</v>
      </c>
      <c r="Q20" s="38">
        <f t="shared" si="4"/>
        <v>0</v>
      </c>
      <c r="R20" s="38">
        <f t="shared" si="4"/>
        <v>0</v>
      </c>
      <c r="S20" s="38">
        <f t="shared" si="4"/>
        <v>0</v>
      </c>
      <c r="T20" s="39"/>
      <c r="U20" s="40"/>
      <c r="V20" s="71"/>
      <c r="W20" s="71"/>
      <c r="X20" s="76"/>
    </row>
    <row r="21" spans="2:24" ht="18" customHeight="1" thickTop="1" thickBot="1" x14ac:dyDescent="0.3">
      <c r="B21" s="85"/>
      <c r="C21" s="67"/>
      <c r="D21" s="72"/>
      <c r="E21" s="31" t="s">
        <v>6</v>
      </c>
      <c r="F21" s="32">
        <f t="shared" ref="F21:L21" si="5">SUM(F17*F20)</f>
        <v>0</v>
      </c>
      <c r="G21" s="32">
        <f t="shared" si="5"/>
        <v>0</v>
      </c>
      <c r="H21" s="32">
        <f t="shared" si="5"/>
        <v>0</v>
      </c>
      <c r="I21" s="32">
        <f t="shared" si="5"/>
        <v>0</v>
      </c>
      <c r="J21" s="32">
        <f t="shared" si="5"/>
        <v>0</v>
      </c>
      <c r="K21" s="32">
        <f>J17:J21</f>
        <v>0</v>
      </c>
      <c r="L21" s="32">
        <f t="shared" si="5"/>
        <v>0</v>
      </c>
      <c r="M21" s="32">
        <f t="shared" ref="M21:S21" si="6">SUM(M17*M20)</f>
        <v>0</v>
      </c>
      <c r="N21" s="32">
        <f t="shared" si="6"/>
        <v>0</v>
      </c>
      <c r="O21" s="32">
        <f t="shared" si="6"/>
        <v>0</v>
      </c>
      <c r="P21" s="32">
        <f t="shared" si="6"/>
        <v>0</v>
      </c>
      <c r="Q21" s="32">
        <f t="shared" si="6"/>
        <v>0</v>
      </c>
      <c r="R21" s="32">
        <f t="shared" si="6"/>
        <v>0</v>
      </c>
      <c r="S21" s="32">
        <f t="shared" si="6"/>
        <v>0</v>
      </c>
      <c r="T21" s="41">
        <f>SUM(F21:S21)</f>
        <v>0</v>
      </c>
      <c r="U21" s="42" t="e">
        <f>SUM(T21/T17)</f>
        <v>#DIV/0!</v>
      </c>
      <c r="V21" s="72"/>
      <c r="W21" s="72"/>
      <c r="X21" s="77"/>
    </row>
    <row r="22" spans="2:24" ht="20.25" thickTop="1" thickBot="1" x14ac:dyDescent="0.35">
      <c r="B22" s="105">
        <v>-4</v>
      </c>
      <c r="C22" s="65"/>
      <c r="D22" s="82"/>
      <c r="E22" s="14" t="s">
        <v>5</v>
      </c>
      <c r="F22" s="60">
        <f>IF(IF(F25=0,0,3),3,0)</f>
        <v>0</v>
      </c>
      <c r="G22" s="60">
        <f>IF(IF(G25=0,0,4),4,0)</f>
        <v>0</v>
      </c>
      <c r="H22" s="60">
        <f>IF(IF(H25=0,0,3),3,0)</f>
        <v>0</v>
      </c>
      <c r="I22" s="60">
        <f>IF(IF(I25=0,0,4),4,0)</f>
        <v>0</v>
      </c>
      <c r="J22" s="60">
        <f>IF(IF(J25=0,0,3),3,0)</f>
        <v>0</v>
      </c>
      <c r="K22" s="60">
        <f>IF(IF(K25=0,0,3),3,0)</f>
        <v>0</v>
      </c>
      <c r="L22" s="60">
        <f>IF(IF(L25=0,0,2),2,0)</f>
        <v>0</v>
      </c>
      <c r="M22" s="60">
        <f>IF(IF(M25=0,0,4),4,0)</f>
        <v>0</v>
      </c>
      <c r="N22" s="60">
        <f>IF(IF(N25=0,0,3),3,0)</f>
        <v>0</v>
      </c>
      <c r="O22" s="60">
        <f>IF(IF(O25=0,0,3),3,0)</f>
        <v>0</v>
      </c>
      <c r="P22" s="60">
        <f>IF(IF(P25=0,0,2),2,0)</f>
        <v>0</v>
      </c>
      <c r="Q22" s="60">
        <f>IF(IF(Q25=0,0,4),4,0)</f>
        <v>0</v>
      </c>
      <c r="R22" s="60">
        <f>IF(IF(R25=0,0,2),2,0)</f>
        <v>0</v>
      </c>
      <c r="S22" s="60">
        <f>IF(IF(S25=0,0,4),4,0)</f>
        <v>0</v>
      </c>
      <c r="T22" s="60">
        <f>SUM(F22:S22)</f>
        <v>0</v>
      </c>
      <c r="U22" s="61"/>
      <c r="V22" s="82"/>
      <c r="W22" s="82"/>
      <c r="X22" s="81"/>
    </row>
    <row r="23" spans="2:24" ht="19.5" thickTop="1" thickBot="1" x14ac:dyDescent="0.3">
      <c r="B23" s="84"/>
      <c r="C23" s="66"/>
      <c r="D23" s="71"/>
      <c r="E23" s="29" t="s">
        <v>68</v>
      </c>
      <c r="F23" s="35"/>
      <c r="G23" s="35"/>
      <c r="H23" s="35"/>
      <c r="I23" s="36"/>
      <c r="J23" s="36"/>
      <c r="K23" s="36"/>
      <c r="L23" s="36"/>
      <c r="M23" s="35">
        <v>0</v>
      </c>
      <c r="N23" s="35">
        <v>0</v>
      </c>
      <c r="O23" s="35">
        <v>0</v>
      </c>
      <c r="P23" s="36">
        <v>0</v>
      </c>
      <c r="Q23" s="36">
        <v>0</v>
      </c>
      <c r="R23" s="36">
        <v>0</v>
      </c>
      <c r="S23" s="36">
        <v>0</v>
      </c>
      <c r="T23" s="36"/>
      <c r="U23" s="37"/>
      <c r="V23" s="71"/>
      <c r="W23" s="71"/>
      <c r="X23" s="76"/>
    </row>
    <row r="24" spans="2:24" ht="19.5" thickTop="1" thickBot="1" x14ac:dyDescent="0.3">
      <c r="B24" s="84"/>
      <c r="C24" s="66"/>
      <c r="D24" s="71"/>
      <c r="E24" s="26" t="s">
        <v>3</v>
      </c>
      <c r="F24" s="38"/>
      <c r="G24" s="38"/>
      <c r="H24" s="38"/>
      <c r="I24" s="38"/>
      <c r="J24" s="38"/>
      <c r="K24" s="38"/>
      <c r="L24" s="38"/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9"/>
      <c r="U24" s="40"/>
      <c r="V24" s="71"/>
      <c r="W24" s="71"/>
      <c r="X24" s="76"/>
    </row>
    <row r="25" spans="2:24" ht="19.5" thickTop="1" thickBot="1" x14ac:dyDescent="0.3">
      <c r="B25" s="84"/>
      <c r="C25" s="66"/>
      <c r="D25" s="71"/>
      <c r="E25" s="27" t="s">
        <v>4</v>
      </c>
      <c r="F25" s="38">
        <f t="shared" ref="F25:S25" si="7">IF(F24&lt;30,F23,F23+F24)</f>
        <v>0</v>
      </c>
      <c r="G25" s="38">
        <f t="shared" si="7"/>
        <v>0</v>
      </c>
      <c r="H25" s="38">
        <f t="shared" si="7"/>
        <v>0</v>
      </c>
      <c r="I25" s="38">
        <f t="shared" si="7"/>
        <v>0</v>
      </c>
      <c r="J25" s="38">
        <f t="shared" si="7"/>
        <v>0</v>
      </c>
      <c r="K25" s="38">
        <f t="shared" si="7"/>
        <v>0</v>
      </c>
      <c r="L25" s="38">
        <f t="shared" si="7"/>
        <v>0</v>
      </c>
      <c r="M25" s="38">
        <f t="shared" si="7"/>
        <v>0</v>
      </c>
      <c r="N25" s="38">
        <f t="shared" si="7"/>
        <v>0</v>
      </c>
      <c r="O25" s="38">
        <f t="shared" si="7"/>
        <v>0</v>
      </c>
      <c r="P25" s="38">
        <f t="shared" si="7"/>
        <v>0</v>
      </c>
      <c r="Q25" s="38">
        <f t="shared" si="7"/>
        <v>0</v>
      </c>
      <c r="R25" s="38">
        <f t="shared" si="7"/>
        <v>0</v>
      </c>
      <c r="S25" s="38">
        <f t="shared" si="7"/>
        <v>0</v>
      </c>
      <c r="T25" s="39"/>
      <c r="U25" s="40"/>
      <c r="V25" s="71"/>
      <c r="W25" s="71"/>
      <c r="X25" s="76"/>
    </row>
    <row r="26" spans="2:24" ht="24" customHeight="1" thickTop="1" thickBot="1" x14ac:dyDescent="0.3">
      <c r="B26" s="85"/>
      <c r="C26" s="67"/>
      <c r="D26" s="72"/>
      <c r="E26" s="28" t="s">
        <v>6</v>
      </c>
      <c r="F26" s="43">
        <f>SUM(F22*F25)</f>
        <v>0</v>
      </c>
      <c r="G26" s="43">
        <f>SUM(G22*G25)</f>
        <v>0</v>
      </c>
      <c r="H26" s="43">
        <f>SUM(H22*H25)</f>
        <v>0</v>
      </c>
      <c r="I26" s="43">
        <f>SUM(I22*I25)</f>
        <v>0</v>
      </c>
      <c r="J26" s="43">
        <f>SUM(J22*J25)</f>
        <v>0</v>
      </c>
      <c r="K26" s="43">
        <f>J22:J26</f>
        <v>0</v>
      </c>
      <c r="L26" s="43">
        <f>SUM(L22*L25)</f>
        <v>0</v>
      </c>
      <c r="M26" s="43">
        <f t="shared" ref="M26:S26" si="8">SUM(M22*M25)</f>
        <v>0</v>
      </c>
      <c r="N26" s="43">
        <f t="shared" si="8"/>
        <v>0</v>
      </c>
      <c r="O26" s="43">
        <f t="shared" si="8"/>
        <v>0</v>
      </c>
      <c r="P26" s="43">
        <f t="shared" si="8"/>
        <v>0</v>
      </c>
      <c r="Q26" s="43">
        <f t="shared" si="8"/>
        <v>0</v>
      </c>
      <c r="R26" s="43">
        <f t="shared" si="8"/>
        <v>0</v>
      </c>
      <c r="S26" s="43">
        <f t="shared" si="8"/>
        <v>0</v>
      </c>
      <c r="T26" s="44">
        <f>SUM(F26:S26)</f>
        <v>0</v>
      </c>
      <c r="U26" s="59" t="e">
        <f>SUM(T26/T22)</f>
        <v>#DIV/0!</v>
      </c>
      <c r="V26" s="72"/>
      <c r="W26" s="72"/>
      <c r="X26" s="77"/>
    </row>
    <row r="27" spans="2:24" ht="13.5" thickTop="1" x14ac:dyDescent="0.2"/>
  </sheetData>
  <mergeCells count="33">
    <mergeCell ref="B22:B26"/>
    <mergeCell ref="C22:C26"/>
    <mergeCell ref="D22:D26"/>
    <mergeCell ref="V22:V26"/>
    <mergeCell ref="W22:W26"/>
    <mergeCell ref="X22:X26"/>
    <mergeCell ref="B17:B21"/>
    <mergeCell ref="C17:C21"/>
    <mergeCell ref="D17:D21"/>
    <mergeCell ref="V17:V21"/>
    <mergeCell ref="W17:W21"/>
    <mergeCell ref="X17:X21"/>
    <mergeCell ref="X7:X11"/>
    <mergeCell ref="B12:B16"/>
    <mergeCell ref="C12:C16"/>
    <mergeCell ref="D12:D16"/>
    <mergeCell ref="V12:V16"/>
    <mergeCell ref="W12:W16"/>
    <mergeCell ref="X12:X16"/>
    <mergeCell ref="T5:T6"/>
    <mergeCell ref="U5:U6"/>
    <mergeCell ref="W5:W6"/>
    <mergeCell ref="B7:B11"/>
    <mergeCell ref="C7:C11"/>
    <mergeCell ref="D7:D11"/>
    <mergeCell ref="V7:V11"/>
    <mergeCell ref="W7:W11"/>
    <mergeCell ref="B5:B6"/>
    <mergeCell ref="C5:C6"/>
    <mergeCell ref="D5:D6"/>
    <mergeCell ref="E5:E6"/>
    <mergeCell ref="F5:L5"/>
    <mergeCell ref="M5:S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3E8E0-3997-4515-9609-94749CDCCD37}">
  <dimension ref="B4:X27"/>
  <sheetViews>
    <sheetView rightToLeft="1" tabSelected="1" workbookViewId="0">
      <selection activeCell="B31" sqref="B31"/>
    </sheetView>
  </sheetViews>
  <sheetFormatPr defaultRowHeight="12.75" x14ac:dyDescent="0.2"/>
  <cols>
    <col min="3" max="3" width="28.42578125" customWidth="1"/>
    <col min="5" max="5" width="18.7109375" customWidth="1"/>
    <col min="24" max="24" width="25.5703125" customWidth="1"/>
  </cols>
  <sheetData>
    <row r="4" spans="2:24" ht="13.5" thickBot="1" x14ac:dyDescent="0.25"/>
    <row r="5" spans="2:24" ht="16.5" thickTop="1" thickBot="1" x14ac:dyDescent="0.25">
      <c r="B5" s="91" t="s">
        <v>0</v>
      </c>
      <c r="C5" s="89" t="s">
        <v>7</v>
      </c>
      <c r="D5" s="101" t="s">
        <v>1</v>
      </c>
      <c r="E5" s="89" t="s">
        <v>2</v>
      </c>
      <c r="F5" s="97" t="s">
        <v>24</v>
      </c>
      <c r="G5" s="98"/>
      <c r="H5" s="98"/>
      <c r="I5" s="98"/>
      <c r="J5" s="98"/>
      <c r="K5" s="98"/>
      <c r="L5" s="98"/>
      <c r="M5" s="93" t="s">
        <v>15</v>
      </c>
      <c r="N5" s="94"/>
      <c r="O5" s="94"/>
      <c r="P5" s="94"/>
      <c r="Q5" s="94"/>
      <c r="R5" s="94"/>
      <c r="S5" s="94"/>
      <c r="T5" s="101" t="s">
        <v>4</v>
      </c>
      <c r="U5" s="101" t="s">
        <v>8</v>
      </c>
      <c r="V5" s="23"/>
      <c r="W5" s="101" t="s">
        <v>18</v>
      </c>
      <c r="X5" s="24"/>
    </row>
    <row r="6" spans="2:24" ht="105" thickTop="1" thickBot="1" x14ac:dyDescent="0.25">
      <c r="B6" s="92"/>
      <c r="C6" s="90"/>
      <c r="D6" s="102"/>
      <c r="E6" s="100"/>
      <c r="F6" s="21" t="s">
        <v>49</v>
      </c>
      <c r="G6" s="21" t="s">
        <v>50</v>
      </c>
      <c r="H6" s="21" t="s">
        <v>51</v>
      </c>
      <c r="I6" s="21" t="s">
        <v>52</v>
      </c>
      <c r="J6" s="21" t="s">
        <v>53</v>
      </c>
      <c r="K6" s="21" t="s">
        <v>54</v>
      </c>
      <c r="L6" s="21" t="s">
        <v>55</v>
      </c>
      <c r="M6" s="21" t="s">
        <v>42</v>
      </c>
      <c r="N6" s="21" t="s">
        <v>43</v>
      </c>
      <c r="O6" s="21" t="s">
        <v>44</v>
      </c>
      <c r="P6" s="21" t="s">
        <v>45</v>
      </c>
      <c r="Q6" s="21" t="s">
        <v>46</v>
      </c>
      <c r="R6" s="21" t="s">
        <v>47</v>
      </c>
      <c r="S6" s="21" t="s">
        <v>48</v>
      </c>
      <c r="T6" s="103"/>
      <c r="U6" s="103"/>
      <c r="V6" s="21" t="s">
        <v>17</v>
      </c>
      <c r="W6" s="103"/>
      <c r="X6" s="22" t="s">
        <v>19</v>
      </c>
    </row>
    <row r="7" spans="2:24" ht="20.25" thickTop="1" thickBot="1" x14ac:dyDescent="0.35">
      <c r="B7" s="83">
        <v>-1</v>
      </c>
      <c r="C7" s="73" t="s">
        <v>60</v>
      </c>
      <c r="D7" s="96">
        <v>231003</v>
      </c>
      <c r="E7" s="9" t="s">
        <v>5</v>
      </c>
      <c r="F7" s="33">
        <f>IF(IF(F10=0,0,3),3,0)</f>
        <v>0</v>
      </c>
      <c r="G7" s="33">
        <f>IF(IF(G10=0,0,3),3,0)</f>
        <v>0</v>
      </c>
      <c r="H7" s="33">
        <f>IF(IF(H10=0,0,4),4,0)</f>
        <v>0</v>
      </c>
      <c r="I7" s="33">
        <f>IF(IF(I10=0,0,3),3,0)</f>
        <v>0</v>
      </c>
      <c r="J7" s="33">
        <f>IF(IF(J10=0,0,3),3,0)</f>
        <v>0</v>
      </c>
      <c r="K7" s="33">
        <f>IF(IF(K10=0,0,3),3,0)</f>
        <v>0</v>
      </c>
      <c r="L7" s="33">
        <f>IF(IF(L10=0,0,2),2,0)</f>
        <v>0</v>
      </c>
      <c r="M7" s="33">
        <f>IF(IF(M10=0,0,3),3,0)</f>
        <v>0</v>
      </c>
      <c r="N7" s="33">
        <f>IF(IF(N10=0,0,4),4,0)</f>
        <v>0</v>
      </c>
      <c r="O7" s="33">
        <f>IF(IF(O10=0,0,3),3,0)</f>
        <v>0</v>
      </c>
      <c r="P7" s="33">
        <f>IF(IF(P10=0,0,4),4,0)</f>
        <v>0</v>
      </c>
      <c r="Q7" s="33">
        <f>IF(IF(Q10=0,0,3),3,0)</f>
        <v>0</v>
      </c>
      <c r="R7" s="33">
        <f>IF(IF(R10=0,0,3),3,0)</f>
        <v>0</v>
      </c>
      <c r="S7" s="33">
        <f>IF(IF(S10=0,0,2),2,0)</f>
        <v>0</v>
      </c>
      <c r="T7" s="33">
        <f>SUM(F7:S7)</f>
        <v>0</v>
      </c>
      <c r="U7" s="34"/>
      <c r="V7" s="82"/>
      <c r="W7" s="82"/>
      <c r="X7" s="86"/>
    </row>
    <row r="8" spans="2:24" ht="19.5" thickTop="1" thickBot="1" x14ac:dyDescent="0.3">
      <c r="B8" s="84"/>
      <c r="C8" s="69"/>
      <c r="D8" s="71"/>
      <c r="E8" s="25" t="s">
        <v>68</v>
      </c>
      <c r="F8" s="35"/>
      <c r="G8" s="35"/>
      <c r="H8" s="35"/>
      <c r="I8" s="36"/>
      <c r="J8" s="35"/>
      <c r="K8" s="36"/>
      <c r="L8" s="36"/>
      <c r="M8" s="35">
        <v>0</v>
      </c>
      <c r="N8" s="35">
        <v>0</v>
      </c>
      <c r="O8" s="35">
        <v>0</v>
      </c>
      <c r="P8" s="36">
        <v>0</v>
      </c>
      <c r="Q8" s="36">
        <v>0</v>
      </c>
      <c r="R8" s="36">
        <v>0</v>
      </c>
      <c r="S8" s="36">
        <v>0</v>
      </c>
      <c r="T8" s="36"/>
      <c r="U8" s="37"/>
      <c r="V8" s="71"/>
      <c r="W8" s="71"/>
      <c r="X8" s="87"/>
    </row>
    <row r="9" spans="2:24" ht="19.5" thickTop="1" thickBot="1" x14ac:dyDescent="0.3">
      <c r="B9" s="84"/>
      <c r="C9" s="69"/>
      <c r="D9" s="71"/>
      <c r="E9" s="26" t="s">
        <v>3</v>
      </c>
      <c r="F9" s="38"/>
      <c r="G9" s="38"/>
      <c r="H9" s="38"/>
      <c r="I9" s="38"/>
      <c r="J9" s="38"/>
      <c r="K9" s="38"/>
      <c r="L9" s="38"/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9"/>
      <c r="U9" s="40"/>
      <c r="V9" s="71"/>
      <c r="W9" s="71"/>
      <c r="X9" s="87"/>
    </row>
    <row r="10" spans="2:24" ht="19.5" thickTop="1" thickBot="1" x14ac:dyDescent="0.3">
      <c r="B10" s="84"/>
      <c r="C10" s="69"/>
      <c r="D10" s="71"/>
      <c r="E10" s="27" t="s">
        <v>4</v>
      </c>
      <c r="F10" s="38">
        <f t="shared" ref="F10:S10" si="0">IF(F9&lt;30,F8,F8+F9)</f>
        <v>0</v>
      </c>
      <c r="G10" s="38">
        <f t="shared" si="0"/>
        <v>0</v>
      </c>
      <c r="H10" s="38">
        <f t="shared" si="0"/>
        <v>0</v>
      </c>
      <c r="I10" s="38">
        <f t="shared" si="0"/>
        <v>0</v>
      </c>
      <c r="J10" s="38">
        <f t="shared" si="0"/>
        <v>0</v>
      </c>
      <c r="K10" s="38">
        <f t="shared" si="0"/>
        <v>0</v>
      </c>
      <c r="L10" s="38">
        <f t="shared" si="0"/>
        <v>0</v>
      </c>
      <c r="M10" s="38">
        <f t="shared" si="0"/>
        <v>0</v>
      </c>
      <c r="N10" s="38">
        <f t="shared" si="0"/>
        <v>0</v>
      </c>
      <c r="O10" s="38">
        <f t="shared" si="0"/>
        <v>0</v>
      </c>
      <c r="P10" s="38">
        <f t="shared" si="0"/>
        <v>0</v>
      </c>
      <c r="Q10" s="38">
        <f t="shared" si="0"/>
        <v>0</v>
      </c>
      <c r="R10" s="38">
        <f t="shared" si="0"/>
        <v>0</v>
      </c>
      <c r="S10" s="38">
        <f t="shared" si="0"/>
        <v>0</v>
      </c>
      <c r="T10" s="39"/>
      <c r="U10" s="40"/>
      <c r="V10" s="71"/>
      <c r="W10" s="71"/>
      <c r="X10" s="87"/>
    </row>
    <row r="11" spans="2:24" ht="21" customHeight="1" thickTop="1" thickBot="1" x14ac:dyDescent="0.3">
      <c r="B11" s="85"/>
      <c r="C11" s="70"/>
      <c r="D11" s="72"/>
      <c r="E11" s="28" t="s">
        <v>6</v>
      </c>
      <c r="F11" s="32">
        <f t="shared" ref="F11:L11" si="1">SUM(F7*F10)</f>
        <v>0</v>
      </c>
      <c r="G11" s="32">
        <f t="shared" si="1"/>
        <v>0</v>
      </c>
      <c r="H11" s="32">
        <f t="shared" si="1"/>
        <v>0</v>
      </c>
      <c r="I11" s="32">
        <f t="shared" si="1"/>
        <v>0</v>
      </c>
      <c r="J11" s="32">
        <f t="shared" si="1"/>
        <v>0</v>
      </c>
      <c r="K11" s="32">
        <f t="shared" si="1"/>
        <v>0</v>
      </c>
      <c r="L11" s="32">
        <f t="shared" si="1"/>
        <v>0</v>
      </c>
      <c r="M11" s="32">
        <f t="shared" ref="M11:S11" si="2">SUM(M7*M10)</f>
        <v>0</v>
      </c>
      <c r="N11" s="32">
        <f t="shared" si="2"/>
        <v>0</v>
      </c>
      <c r="O11" s="32">
        <f t="shared" si="2"/>
        <v>0</v>
      </c>
      <c r="P11" s="32">
        <f t="shared" si="2"/>
        <v>0</v>
      </c>
      <c r="Q11" s="32">
        <f t="shared" si="2"/>
        <v>0</v>
      </c>
      <c r="R11" s="32">
        <f t="shared" si="2"/>
        <v>0</v>
      </c>
      <c r="S11" s="32">
        <f t="shared" si="2"/>
        <v>0</v>
      </c>
      <c r="T11" s="41">
        <f>SUM(F11:S11)</f>
        <v>0</v>
      </c>
      <c r="U11" s="42" t="e">
        <f>SUM(T11/T7)</f>
        <v>#DIV/0!</v>
      </c>
      <c r="V11" s="72"/>
      <c r="W11" s="72"/>
      <c r="X11" s="88"/>
    </row>
    <row r="12" spans="2:24" ht="20.25" thickTop="1" thickBot="1" x14ac:dyDescent="0.35">
      <c r="B12" s="83">
        <v>-2</v>
      </c>
      <c r="C12" s="73" t="s">
        <v>61</v>
      </c>
      <c r="D12" s="71">
        <v>222001</v>
      </c>
      <c r="E12" s="9" t="s">
        <v>5</v>
      </c>
      <c r="F12" s="33">
        <f>IF(IF(F15=0,0,3),3,0)</f>
        <v>0</v>
      </c>
      <c r="G12" s="33">
        <f>IF(IF(G15=0,0,3),3,0)</f>
        <v>0</v>
      </c>
      <c r="H12" s="33">
        <f>IF(IF(H15=0,0,4),4,0)</f>
        <v>0</v>
      </c>
      <c r="I12" s="33">
        <f>IF(IF(I15=0,0,3),3,0)</f>
        <v>0</v>
      </c>
      <c r="J12" s="33">
        <f>IF(IF(J15=0,0,3),3,0)</f>
        <v>0</v>
      </c>
      <c r="K12" s="33">
        <f>IF(IF(K15=0,0,3),3,0)</f>
        <v>0</v>
      </c>
      <c r="L12" s="33">
        <f>IF(IF(L15=0,0,2),2,0)</f>
        <v>0</v>
      </c>
      <c r="M12" s="33">
        <f>IF(IF(M15=0,0,3),3,0)</f>
        <v>0</v>
      </c>
      <c r="N12" s="33">
        <f>IF(IF(N15=0,0,4),4,0)</f>
        <v>0</v>
      </c>
      <c r="O12" s="33">
        <f>IF(IF(O15=0,0,3),3,0)</f>
        <v>0</v>
      </c>
      <c r="P12" s="33">
        <f>IF(IF(P15=0,0,4),4,0)</f>
        <v>0</v>
      </c>
      <c r="Q12" s="33">
        <f>IF(IF(Q15=0,0,3),3,0)</f>
        <v>0</v>
      </c>
      <c r="R12" s="33">
        <f>IF(IF(R15=0,0,3),3,0)</f>
        <v>0</v>
      </c>
      <c r="S12" s="33">
        <f>IF(IF(S15=0,0,2),2,0)</f>
        <v>0</v>
      </c>
      <c r="T12" s="33">
        <f>SUM(F12:S12)</f>
        <v>0</v>
      </c>
      <c r="U12" s="34"/>
      <c r="V12" s="82"/>
      <c r="W12" s="82"/>
      <c r="X12" s="86"/>
    </row>
    <row r="13" spans="2:24" ht="19.5" thickTop="1" thickBot="1" x14ac:dyDescent="0.3">
      <c r="B13" s="84"/>
      <c r="C13" s="69"/>
      <c r="D13" s="71"/>
      <c r="E13" s="25" t="s">
        <v>68</v>
      </c>
      <c r="F13" s="35"/>
      <c r="G13" s="35"/>
      <c r="H13" s="35"/>
      <c r="I13" s="36"/>
      <c r="J13" s="35"/>
      <c r="K13" s="36"/>
      <c r="L13" s="36"/>
      <c r="M13" s="35">
        <v>0</v>
      </c>
      <c r="N13" s="35">
        <v>0</v>
      </c>
      <c r="O13" s="35">
        <v>0</v>
      </c>
      <c r="P13" s="36">
        <v>0</v>
      </c>
      <c r="Q13" s="36">
        <v>0</v>
      </c>
      <c r="R13" s="36">
        <v>0</v>
      </c>
      <c r="S13" s="36">
        <v>0</v>
      </c>
      <c r="T13" s="36"/>
      <c r="U13" s="37"/>
      <c r="V13" s="71"/>
      <c r="W13" s="71"/>
      <c r="X13" s="87"/>
    </row>
    <row r="14" spans="2:24" ht="19.5" thickTop="1" thickBot="1" x14ac:dyDescent="0.3">
      <c r="B14" s="84"/>
      <c r="C14" s="69"/>
      <c r="D14" s="71"/>
      <c r="E14" s="26" t="s">
        <v>3</v>
      </c>
      <c r="F14" s="38"/>
      <c r="G14" s="38"/>
      <c r="H14" s="38"/>
      <c r="I14" s="38"/>
      <c r="J14" s="38"/>
      <c r="K14" s="38"/>
      <c r="L14" s="38"/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9"/>
      <c r="U14" s="40"/>
      <c r="V14" s="71"/>
      <c r="W14" s="71"/>
      <c r="X14" s="87"/>
    </row>
    <row r="15" spans="2:24" ht="19.5" thickTop="1" thickBot="1" x14ac:dyDescent="0.3">
      <c r="B15" s="84"/>
      <c r="C15" s="69"/>
      <c r="D15" s="71"/>
      <c r="E15" s="27" t="s">
        <v>4</v>
      </c>
      <c r="F15" s="38">
        <f t="shared" ref="F15:S15" si="3">IF(F14&lt;30,F13,F13+F14)</f>
        <v>0</v>
      </c>
      <c r="G15" s="38">
        <f t="shared" si="3"/>
        <v>0</v>
      </c>
      <c r="H15" s="38">
        <f t="shared" si="3"/>
        <v>0</v>
      </c>
      <c r="I15" s="38">
        <f t="shared" si="3"/>
        <v>0</v>
      </c>
      <c r="J15" s="38">
        <f t="shared" si="3"/>
        <v>0</v>
      </c>
      <c r="K15" s="38">
        <f t="shared" si="3"/>
        <v>0</v>
      </c>
      <c r="L15" s="38">
        <f t="shared" si="3"/>
        <v>0</v>
      </c>
      <c r="M15" s="38">
        <f t="shared" si="3"/>
        <v>0</v>
      </c>
      <c r="N15" s="38">
        <f t="shared" si="3"/>
        <v>0</v>
      </c>
      <c r="O15" s="38">
        <f t="shared" si="3"/>
        <v>0</v>
      </c>
      <c r="P15" s="38">
        <f t="shared" si="3"/>
        <v>0</v>
      </c>
      <c r="Q15" s="38">
        <f t="shared" si="3"/>
        <v>0</v>
      </c>
      <c r="R15" s="38">
        <f t="shared" si="3"/>
        <v>0</v>
      </c>
      <c r="S15" s="38">
        <f t="shared" si="3"/>
        <v>0</v>
      </c>
      <c r="T15" s="39"/>
      <c r="U15" s="40"/>
      <c r="V15" s="71"/>
      <c r="W15" s="71"/>
      <c r="X15" s="87"/>
    </row>
    <row r="16" spans="2:24" ht="20.25" customHeight="1" thickTop="1" thickBot="1" x14ac:dyDescent="0.3">
      <c r="B16" s="85"/>
      <c r="C16" s="70"/>
      <c r="D16" s="72"/>
      <c r="E16" s="28" t="s">
        <v>6</v>
      </c>
      <c r="F16" s="32">
        <f t="shared" ref="F16:L16" si="4">SUM(F12*F15)</f>
        <v>0</v>
      </c>
      <c r="G16" s="32">
        <f t="shared" si="4"/>
        <v>0</v>
      </c>
      <c r="H16" s="32">
        <f t="shared" si="4"/>
        <v>0</v>
      </c>
      <c r="I16" s="32">
        <f t="shared" si="4"/>
        <v>0</v>
      </c>
      <c r="J16" s="32">
        <f t="shared" si="4"/>
        <v>0</v>
      </c>
      <c r="K16" s="32">
        <f t="shared" si="4"/>
        <v>0</v>
      </c>
      <c r="L16" s="32">
        <f t="shared" si="4"/>
        <v>0</v>
      </c>
      <c r="M16" s="32">
        <f t="shared" ref="M16:S16" si="5">SUM(M12*M15)</f>
        <v>0</v>
      </c>
      <c r="N16" s="32">
        <f t="shared" si="5"/>
        <v>0</v>
      </c>
      <c r="O16" s="32">
        <f t="shared" si="5"/>
        <v>0</v>
      </c>
      <c r="P16" s="32">
        <f t="shared" si="5"/>
        <v>0</v>
      </c>
      <c r="Q16" s="32">
        <f t="shared" si="5"/>
        <v>0</v>
      </c>
      <c r="R16" s="32">
        <f t="shared" si="5"/>
        <v>0</v>
      </c>
      <c r="S16" s="32">
        <f t="shared" si="5"/>
        <v>0</v>
      </c>
      <c r="T16" s="41">
        <f>SUM(F16:S16)</f>
        <v>0</v>
      </c>
      <c r="U16" s="42" t="e">
        <f>SUM(T16/T12)</f>
        <v>#DIV/0!</v>
      </c>
      <c r="V16" s="72"/>
      <c r="W16" s="72"/>
      <c r="X16" s="88"/>
    </row>
    <row r="17" spans="2:24" ht="20.25" thickTop="1" thickBot="1" x14ac:dyDescent="0.35">
      <c r="B17" s="83">
        <v>-3</v>
      </c>
      <c r="C17" s="73"/>
      <c r="D17" s="82"/>
      <c r="E17" s="10" t="s">
        <v>5</v>
      </c>
      <c r="F17" s="33">
        <f>IF(IF(F20=0,0,3),3,0)</f>
        <v>0</v>
      </c>
      <c r="G17" s="33">
        <f>IF(IF(G20=0,0,3),3,0)</f>
        <v>0</v>
      </c>
      <c r="H17" s="33">
        <f>IF(IF(H20=0,0,4),4,0)</f>
        <v>0</v>
      </c>
      <c r="I17" s="33">
        <f>IF(IF(I20=0,0,3),3,0)</f>
        <v>0</v>
      </c>
      <c r="J17" s="33">
        <f>IF(IF(J20=0,0,3),3,0)</f>
        <v>0</v>
      </c>
      <c r="K17" s="33">
        <f>IF(IF(K20=0,0,3),3,0)</f>
        <v>0</v>
      </c>
      <c r="L17" s="33">
        <f>IF(IF(L20=0,0,2),2,0)</f>
        <v>0</v>
      </c>
      <c r="M17" s="33">
        <f>IF(IF(M20=0,0,3),3,0)</f>
        <v>0</v>
      </c>
      <c r="N17" s="33">
        <f>IF(IF(N20=0,0,4),4,0)</f>
        <v>0</v>
      </c>
      <c r="O17" s="33">
        <f>IF(IF(O20=0,0,3),3,0)</f>
        <v>0</v>
      </c>
      <c r="P17" s="33">
        <f>IF(IF(P20=0,0,4),4,0)</f>
        <v>0</v>
      </c>
      <c r="Q17" s="33">
        <f>IF(IF(Q20=0,0,3),3,0)</f>
        <v>0</v>
      </c>
      <c r="R17" s="33">
        <f>IF(IF(R20=0,0,3),3,0)</f>
        <v>0</v>
      </c>
      <c r="S17" s="33">
        <f>IF(IF(S20=0,0,2),2,0)</f>
        <v>0</v>
      </c>
      <c r="T17" s="33">
        <f>SUM(F17:S17)</f>
        <v>0</v>
      </c>
      <c r="U17" s="34"/>
      <c r="V17" s="82"/>
      <c r="W17" s="82"/>
      <c r="X17" s="86"/>
    </row>
    <row r="18" spans="2:24" ht="19.5" thickTop="1" thickBot="1" x14ac:dyDescent="0.3">
      <c r="B18" s="84"/>
      <c r="C18" s="69"/>
      <c r="D18" s="71"/>
      <c r="E18" s="29" t="s">
        <v>68</v>
      </c>
      <c r="F18" s="35"/>
      <c r="G18" s="35"/>
      <c r="H18" s="35"/>
      <c r="I18" s="36"/>
      <c r="J18" s="35"/>
      <c r="K18" s="36"/>
      <c r="L18" s="36"/>
      <c r="M18" s="35">
        <v>0</v>
      </c>
      <c r="N18" s="35">
        <v>0</v>
      </c>
      <c r="O18" s="35">
        <v>0</v>
      </c>
      <c r="P18" s="36">
        <v>0</v>
      </c>
      <c r="Q18" s="36">
        <v>0</v>
      </c>
      <c r="R18" s="36">
        <v>0</v>
      </c>
      <c r="S18" s="36">
        <v>0</v>
      </c>
      <c r="T18" s="36"/>
      <c r="U18" s="37"/>
      <c r="V18" s="71"/>
      <c r="W18" s="71"/>
      <c r="X18" s="87"/>
    </row>
    <row r="19" spans="2:24" ht="19.5" thickTop="1" thickBot="1" x14ac:dyDescent="0.3">
      <c r="B19" s="84"/>
      <c r="C19" s="69"/>
      <c r="D19" s="71"/>
      <c r="E19" s="26" t="s">
        <v>3</v>
      </c>
      <c r="F19" s="38"/>
      <c r="G19" s="38"/>
      <c r="H19" s="38"/>
      <c r="I19" s="38"/>
      <c r="J19" s="38"/>
      <c r="K19" s="38"/>
      <c r="L19" s="38"/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9"/>
      <c r="U19" s="40"/>
      <c r="V19" s="71"/>
      <c r="W19" s="71"/>
      <c r="X19" s="87"/>
    </row>
    <row r="20" spans="2:24" ht="19.5" thickTop="1" thickBot="1" x14ac:dyDescent="0.3">
      <c r="B20" s="84"/>
      <c r="C20" s="69"/>
      <c r="D20" s="71"/>
      <c r="E20" s="27" t="s">
        <v>4</v>
      </c>
      <c r="F20" s="38">
        <f t="shared" ref="F20:S20" si="6">IF(F19&lt;30,F18,F18+F19)</f>
        <v>0</v>
      </c>
      <c r="G20" s="38">
        <f t="shared" si="6"/>
        <v>0</v>
      </c>
      <c r="H20" s="38">
        <f t="shared" si="6"/>
        <v>0</v>
      </c>
      <c r="I20" s="38">
        <f t="shared" si="6"/>
        <v>0</v>
      </c>
      <c r="J20" s="38">
        <f t="shared" si="6"/>
        <v>0</v>
      </c>
      <c r="K20" s="38">
        <f t="shared" si="6"/>
        <v>0</v>
      </c>
      <c r="L20" s="38">
        <f t="shared" si="6"/>
        <v>0</v>
      </c>
      <c r="M20" s="38">
        <f t="shared" si="6"/>
        <v>0</v>
      </c>
      <c r="N20" s="38">
        <f t="shared" si="6"/>
        <v>0</v>
      </c>
      <c r="O20" s="38">
        <f t="shared" si="6"/>
        <v>0</v>
      </c>
      <c r="P20" s="38">
        <f t="shared" si="6"/>
        <v>0</v>
      </c>
      <c r="Q20" s="38">
        <f t="shared" si="6"/>
        <v>0</v>
      </c>
      <c r="R20" s="38">
        <f t="shared" si="6"/>
        <v>0</v>
      </c>
      <c r="S20" s="38">
        <f t="shared" si="6"/>
        <v>0</v>
      </c>
      <c r="T20" s="39"/>
      <c r="U20" s="40"/>
      <c r="V20" s="71"/>
      <c r="W20" s="71"/>
      <c r="X20" s="87"/>
    </row>
    <row r="21" spans="2:24" ht="22.5" customHeight="1" thickTop="1" thickBot="1" x14ac:dyDescent="0.3">
      <c r="B21" s="85"/>
      <c r="C21" s="70"/>
      <c r="D21" s="72"/>
      <c r="E21" s="31" t="s">
        <v>6</v>
      </c>
      <c r="F21" s="32">
        <f t="shared" ref="F21:L21" si="7">SUM(F17*F20)</f>
        <v>0</v>
      </c>
      <c r="G21" s="32">
        <f t="shared" si="7"/>
        <v>0</v>
      </c>
      <c r="H21" s="32">
        <f t="shared" si="7"/>
        <v>0</v>
      </c>
      <c r="I21" s="32">
        <f t="shared" si="7"/>
        <v>0</v>
      </c>
      <c r="J21" s="32">
        <f t="shared" si="7"/>
        <v>0</v>
      </c>
      <c r="K21" s="32">
        <f t="shared" si="7"/>
        <v>0</v>
      </c>
      <c r="L21" s="32">
        <f t="shared" si="7"/>
        <v>0</v>
      </c>
      <c r="M21" s="32">
        <f t="shared" ref="M21:S21" si="8">SUM(M17*M20)</f>
        <v>0</v>
      </c>
      <c r="N21" s="32">
        <f t="shared" si="8"/>
        <v>0</v>
      </c>
      <c r="O21" s="32">
        <f t="shared" si="8"/>
        <v>0</v>
      </c>
      <c r="P21" s="32">
        <f t="shared" si="8"/>
        <v>0</v>
      </c>
      <c r="Q21" s="32">
        <f t="shared" si="8"/>
        <v>0</v>
      </c>
      <c r="R21" s="32">
        <f t="shared" si="8"/>
        <v>0</v>
      </c>
      <c r="S21" s="32">
        <f t="shared" si="8"/>
        <v>0</v>
      </c>
      <c r="T21" s="41">
        <f>SUM(F21:S21)</f>
        <v>0</v>
      </c>
      <c r="U21" s="42" t="e">
        <f>SUM(T21/T17)</f>
        <v>#DIV/0!</v>
      </c>
      <c r="V21" s="72"/>
      <c r="W21" s="72"/>
      <c r="X21" s="88"/>
    </row>
    <row r="22" spans="2:24" ht="20.25" thickTop="1" thickBot="1" x14ac:dyDescent="0.35">
      <c r="B22" s="83">
        <v>-4</v>
      </c>
      <c r="C22" s="73"/>
      <c r="D22" s="82"/>
      <c r="E22" s="10" t="s">
        <v>5</v>
      </c>
      <c r="F22" s="33">
        <f>IF(IF(F25=0,0,3),3,0)</f>
        <v>0</v>
      </c>
      <c r="G22" s="33">
        <f>IF(IF(G25=0,0,3),3,0)</f>
        <v>0</v>
      </c>
      <c r="H22" s="33">
        <f>IF(IF(H25=0,0,4),4,0)</f>
        <v>0</v>
      </c>
      <c r="I22" s="33">
        <f>IF(IF(I25=0,0,3),3,0)</f>
        <v>0</v>
      </c>
      <c r="J22" s="33">
        <f>IF(IF(J25=0,0,3),3,0)</f>
        <v>0</v>
      </c>
      <c r="K22" s="33">
        <f>IF(IF(K25=0,0,3),3,0)</f>
        <v>0</v>
      </c>
      <c r="L22" s="33">
        <f>IF(IF(L25=0,0,2),2,0)</f>
        <v>0</v>
      </c>
      <c r="M22" s="33">
        <f>IF(IF(M25=0,0,3),3,0)</f>
        <v>0</v>
      </c>
      <c r="N22" s="33">
        <f>IF(IF(N25=0,0,4),4,0)</f>
        <v>0</v>
      </c>
      <c r="O22" s="33">
        <f>IF(IF(O25=0,0,3),3,0)</f>
        <v>0</v>
      </c>
      <c r="P22" s="33">
        <f>IF(IF(P25=0,0,4),4,0)</f>
        <v>0</v>
      </c>
      <c r="Q22" s="33">
        <f>IF(IF(Q25=0,0,3),3,0)</f>
        <v>0</v>
      </c>
      <c r="R22" s="33">
        <f>IF(IF(R25=0,0,3),3,0)</f>
        <v>0</v>
      </c>
      <c r="S22" s="33">
        <f>IF(IF(S25=0,0,2),2,0)</f>
        <v>0</v>
      </c>
      <c r="T22" s="33">
        <f>SUM(F22:S22)</f>
        <v>0</v>
      </c>
      <c r="U22" s="34"/>
      <c r="V22" s="82"/>
      <c r="W22" s="82"/>
      <c r="X22" s="86"/>
    </row>
    <row r="23" spans="2:24" ht="19.5" thickTop="1" thickBot="1" x14ac:dyDescent="0.3">
      <c r="B23" s="84"/>
      <c r="C23" s="69"/>
      <c r="D23" s="71"/>
      <c r="E23" s="29" t="s">
        <v>68</v>
      </c>
      <c r="F23" s="35"/>
      <c r="G23" s="35"/>
      <c r="H23" s="35"/>
      <c r="I23" s="36"/>
      <c r="J23" s="35"/>
      <c r="K23" s="36"/>
      <c r="L23" s="36"/>
      <c r="M23" s="35">
        <v>0</v>
      </c>
      <c r="N23" s="35">
        <v>0</v>
      </c>
      <c r="O23" s="35">
        <v>0</v>
      </c>
      <c r="P23" s="36">
        <v>0</v>
      </c>
      <c r="Q23" s="36">
        <v>0</v>
      </c>
      <c r="R23" s="36">
        <v>0</v>
      </c>
      <c r="S23" s="36">
        <v>0</v>
      </c>
      <c r="T23" s="36"/>
      <c r="U23" s="37"/>
      <c r="V23" s="71"/>
      <c r="W23" s="71"/>
      <c r="X23" s="87"/>
    </row>
    <row r="24" spans="2:24" ht="19.5" thickTop="1" thickBot="1" x14ac:dyDescent="0.3">
      <c r="B24" s="84"/>
      <c r="C24" s="69"/>
      <c r="D24" s="71"/>
      <c r="E24" s="26" t="s">
        <v>3</v>
      </c>
      <c r="F24" s="38"/>
      <c r="G24" s="38"/>
      <c r="H24" s="38"/>
      <c r="I24" s="38"/>
      <c r="J24" s="38"/>
      <c r="K24" s="38"/>
      <c r="L24" s="38"/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9"/>
      <c r="U24" s="40"/>
      <c r="V24" s="71"/>
      <c r="W24" s="71"/>
      <c r="X24" s="87"/>
    </row>
    <row r="25" spans="2:24" ht="19.5" thickTop="1" thickBot="1" x14ac:dyDescent="0.3">
      <c r="B25" s="84"/>
      <c r="C25" s="69"/>
      <c r="D25" s="71"/>
      <c r="E25" s="27" t="s">
        <v>4</v>
      </c>
      <c r="F25" s="38">
        <f t="shared" ref="F25:S25" si="9">IF(F24&lt;30,F23,F23+F24)</f>
        <v>0</v>
      </c>
      <c r="G25" s="38">
        <f t="shared" si="9"/>
        <v>0</v>
      </c>
      <c r="H25" s="38">
        <f t="shared" si="9"/>
        <v>0</v>
      </c>
      <c r="I25" s="38">
        <f t="shared" si="9"/>
        <v>0</v>
      </c>
      <c r="J25" s="38">
        <f t="shared" si="9"/>
        <v>0</v>
      </c>
      <c r="K25" s="38">
        <f t="shared" si="9"/>
        <v>0</v>
      </c>
      <c r="L25" s="38">
        <f t="shared" si="9"/>
        <v>0</v>
      </c>
      <c r="M25" s="38">
        <f t="shared" si="9"/>
        <v>0</v>
      </c>
      <c r="N25" s="38">
        <f t="shared" si="9"/>
        <v>0</v>
      </c>
      <c r="O25" s="38">
        <f t="shared" si="9"/>
        <v>0</v>
      </c>
      <c r="P25" s="38">
        <f t="shared" si="9"/>
        <v>0</v>
      </c>
      <c r="Q25" s="38">
        <f t="shared" si="9"/>
        <v>0</v>
      </c>
      <c r="R25" s="38">
        <f t="shared" si="9"/>
        <v>0</v>
      </c>
      <c r="S25" s="38">
        <f t="shared" si="9"/>
        <v>0</v>
      </c>
      <c r="T25" s="39"/>
      <c r="U25" s="40"/>
      <c r="V25" s="71"/>
      <c r="W25" s="71"/>
      <c r="X25" s="87"/>
    </row>
    <row r="26" spans="2:24" ht="23.25" customHeight="1" thickTop="1" thickBot="1" x14ac:dyDescent="0.3">
      <c r="B26" s="85"/>
      <c r="C26" s="70"/>
      <c r="D26" s="72"/>
      <c r="E26" s="28" t="s">
        <v>6</v>
      </c>
      <c r="F26" s="43">
        <f t="shared" ref="F26:L26" si="10">SUM(F22*F25)</f>
        <v>0</v>
      </c>
      <c r="G26" s="43">
        <f t="shared" si="10"/>
        <v>0</v>
      </c>
      <c r="H26" s="43">
        <f t="shared" si="10"/>
        <v>0</v>
      </c>
      <c r="I26" s="43">
        <f t="shared" si="10"/>
        <v>0</v>
      </c>
      <c r="J26" s="43">
        <f t="shared" si="10"/>
        <v>0</v>
      </c>
      <c r="K26" s="43">
        <f t="shared" si="10"/>
        <v>0</v>
      </c>
      <c r="L26" s="43">
        <f t="shared" si="10"/>
        <v>0</v>
      </c>
      <c r="M26" s="43">
        <f t="shared" ref="M26:S26" si="11">SUM(M22*M25)</f>
        <v>0</v>
      </c>
      <c r="N26" s="43">
        <f t="shared" si="11"/>
        <v>0</v>
      </c>
      <c r="O26" s="43">
        <f t="shared" si="11"/>
        <v>0</v>
      </c>
      <c r="P26" s="43">
        <f t="shared" si="11"/>
        <v>0</v>
      </c>
      <c r="Q26" s="43">
        <f t="shared" si="11"/>
        <v>0</v>
      </c>
      <c r="R26" s="43">
        <f t="shared" si="11"/>
        <v>0</v>
      </c>
      <c r="S26" s="43">
        <f t="shared" si="11"/>
        <v>0</v>
      </c>
      <c r="T26" s="44">
        <f>SUM(F26:S26)</f>
        <v>0</v>
      </c>
      <c r="U26" s="59" t="e">
        <f>SUM(T26/T22)</f>
        <v>#DIV/0!</v>
      </c>
      <c r="V26" s="72"/>
      <c r="W26" s="72"/>
      <c r="X26" s="88"/>
    </row>
    <row r="27" spans="2:24" ht="13.5" thickTop="1" x14ac:dyDescent="0.2"/>
  </sheetData>
  <mergeCells count="33">
    <mergeCell ref="B22:B26"/>
    <mergeCell ref="C22:C26"/>
    <mergeCell ref="D22:D26"/>
    <mergeCell ref="V22:V26"/>
    <mergeCell ref="W22:W26"/>
    <mergeCell ref="X22:X26"/>
    <mergeCell ref="B17:B21"/>
    <mergeCell ref="C17:C21"/>
    <mergeCell ref="D17:D21"/>
    <mergeCell ref="V17:V21"/>
    <mergeCell ref="W17:W21"/>
    <mergeCell ref="X17:X21"/>
    <mergeCell ref="X7:X11"/>
    <mergeCell ref="B12:B16"/>
    <mergeCell ref="C12:C16"/>
    <mergeCell ref="D12:D16"/>
    <mergeCell ref="V12:V16"/>
    <mergeCell ref="W12:W16"/>
    <mergeCell ref="X12:X16"/>
    <mergeCell ref="T5:T6"/>
    <mergeCell ref="U5:U6"/>
    <mergeCell ref="W5:W6"/>
    <mergeCell ref="B7:B11"/>
    <mergeCell ref="C7:C11"/>
    <mergeCell ref="D7:D11"/>
    <mergeCell ref="V7:V11"/>
    <mergeCell ref="W7:W11"/>
    <mergeCell ref="B5:B6"/>
    <mergeCell ref="C5:C6"/>
    <mergeCell ref="D5:D6"/>
    <mergeCell ref="E5:E6"/>
    <mergeCell ref="F5:L5"/>
    <mergeCell ref="M5:S5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95C886-4987-49DA-B70B-9B4CD2AE368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الاول ميكانيكا</vt:lpstr>
      <vt:lpstr>الثاني ميكانيكا</vt:lpstr>
      <vt:lpstr>الثالث ميكانيكا</vt:lpstr>
      <vt:lpstr>الرابع ميكانيكا</vt:lpstr>
      <vt:lpstr>الخامس ميكانيكا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GAREANE ALGREANE</cp:lastModifiedBy>
  <cp:lastPrinted>2025-02-18T08:43:55Z</cp:lastPrinted>
  <dcterms:created xsi:type="dcterms:W3CDTF">2015-06-04T06:53:41Z</dcterms:created>
  <dcterms:modified xsi:type="dcterms:W3CDTF">2026-01-24T05:29:35Z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{7A95C886-4987-49DA-B70B-9B4CD2AE368C}</vt:lpwstr>
  </property>
</Properties>
</file>