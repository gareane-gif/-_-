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an\Desktop\xls-m\New folder\"/>
    </mc:Choice>
  </mc:AlternateContent>
  <xr:revisionPtr revIDLastSave="0" documentId="13_ncr:1_{0A90D08E-907A-42DE-A5F1-55D6606523EB}" xr6:coauthVersionLast="47" xr6:coauthVersionMax="47" xr10:uidLastSave="{00000000-0000-0000-0000-000000000000}"/>
  <bookViews>
    <workbookView xWindow="-120" yWindow="-120" windowWidth="29040" windowHeight="15720" activeTab="4" xr2:uid="{BBA46454-B93A-45BE-9278-776769BA5B69}"/>
  </bookViews>
  <sheets>
    <sheet name="الاول محاسبة" sheetId="7" r:id="rId1"/>
    <sheet name="الثاني محاسبة" sheetId="8" r:id="rId2"/>
    <sheet name="الثالث محاسبة" sheetId="9" r:id="rId3"/>
    <sheet name="الرابع محاسبة" sheetId="10" r:id="rId4"/>
    <sheet name="الخامس محاسبة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" i="11" l="1"/>
  <c r="U67" i="11" s="1"/>
  <c r="U71" i="11" s="1"/>
  <c r="T70" i="11"/>
  <c r="S70" i="11"/>
  <c r="S67" i="11" s="1"/>
  <c r="S71" i="11" s="1"/>
  <c r="R70" i="11"/>
  <c r="Q70" i="11"/>
  <c r="Q67" i="11" s="1"/>
  <c r="Q71" i="11" s="1"/>
  <c r="P70" i="11"/>
  <c r="O70" i="11"/>
  <c r="N70" i="11"/>
  <c r="M70" i="11"/>
  <c r="L70" i="11"/>
  <c r="K70" i="11"/>
  <c r="J70" i="11"/>
  <c r="I70" i="11"/>
  <c r="H70" i="11"/>
  <c r="H67" i="11" s="1"/>
  <c r="H71" i="11" s="1"/>
  <c r="G70" i="11"/>
  <c r="F70" i="11"/>
  <c r="T67" i="11"/>
  <c r="T71" i="11" s="1"/>
  <c r="R67" i="11"/>
  <c r="R71" i="11" s="1"/>
  <c r="P67" i="11"/>
  <c r="P71" i="11" s="1"/>
  <c r="O67" i="11"/>
  <c r="O71" i="11" s="1"/>
  <c r="N67" i="11"/>
  <c r="N71" i="11" s="1"/>
  <c r="M67" i="11"/>
  <c r="M71" i="11" s="1"/>
  <c r="L67" i="11"/>
  <c r="L71" i="11" s="1"/>
  <c r="K67" i="11"/>
  <c r="K71" i="11" s="1"/>
  <c r="J67" i="11"/>
  <c r="J71" i="11" s="1"/>
  <c r="I67" i="11"/>
  <c r="I71" i="11" s="1"/>
  <c r="G67" i="11"/>
  <c r="G71" i="11" s="1"/>
  <c r="F67" i="11"/>
  <c r="F71" i="11" s="1"/>
  <c r="U65" i="11"/>
  <c r="T65" i="11"/>
  <c r="T62" i="11" s="1"/>
  <c r="T66" i="11" s="1"/>
  <c r="S65" i="11"/>
  <c r="R65" i="11"/>
  <c r="Q65" i="11"/>
  <c r="P65" i="11"/>
  <c r="O65" i="11"/>
  <c r="N65" i="11"/>
  <c r="M65" i="11"/>
  <c r="L65" i="11"/>
  <c r="K65" i="11"/>
  <c r="K62" i="11" s="1"/>
  <c r="K66" i="11" s="1"/>
  <c r="J65" i="11"/>
  <c r="I65" i="11"/>
  <c r="H65" i="11"/>
  <c r="H62" i="11" s="1"/>
  <c r="H66" i="11" s="1"/>
  <c r="G65" i="11"/>
  <c r="F65" i="11"/>
  <c r="F62" i="11" s="1"/>
  <c r="U62" i="11"/>
  <c r="U66" i="11" s="1"/>
  <c r="S62" i="11"/>
  <c r="S66" i="11" s="1"/>
  <c r="R62" i="11"/>
  <c r="R66" i="11" s="1"/>
  <c r="Q62" i="11"/>
  <c r="Q66" i="11" s="1"/>
  <c r="P62" i="11"/>
  <c r="P66" i="11" s="1"/>
  <c r="O62" i="11"/>
  <c r="O66" i="11" s="1"/>
  <c r="N62" i="11"/>
  <c r="N66" i="11" s="1"/>
  <c r="M62" i="11"/>
  <c r="M66" i="11" s="1"/>
  <c r="L62" i="11"/>
  <c r="L66" i="11" s="1"/>
  <c r="J62" i="11"/>
  <c r="J66" i="11" s="1"/>
  <c r="I62" i="11"/>
  <c r="I66" i="11" s="1"/>
  <c r="G62" i="11"/>
  <c r="G66" i="11" s="1"/>
  <c r="U60" i="11"/>
  <c r="T60" i="11"/>
  <c r="S60" i="11"/>
  <c r="R60" i="11"/>
  <c r="Q60" i="11"/>
  <c r="P60" i="11"/>
  <c r="O60" i="11"/>
  <c r="N60" i="11"/>
  <c r="N57" i="11" s="1"/>
  <c r="N61" i="11" s="1"/>
  <c r="M60" i="11"/>
  <c r="L60" i="11"/>
  <c r="K60" i="11"/>
  <c r="K57" i="11" s="1"/>
  <c r="K61" i="11" s="1"/>
  <c r="J60" i="11"/>
  <c r="I60" i="11"/>
  <c r="I57" i="11" s="1"/>
  <c r="I61" i="11" s="1"/>
  <c r="H60" i="11"/>
  <c r="G60" i="11"/>
  <c r="G57" i="11" s="1"/>
  <c r="G61" i="11" s="1"/>
  <c r="F60" i="11"/>
  <c r="U57" i="11"/>
  <c r="U61" i="11" s="1"/>
  <c r="T57" i="11"/>
  <c r="T61" i="11" s="1"/>
  <c r="S57" i="11"/>
  <c r="S61" i="11" s="1"/>
  <c r="R57" i="11"/>
  <c r="R61" i="11" s="1"/>
  <c r="Q57" i="11"/>
  <c r="Q61" i="11" s="1"/>
  <c r="P57" i="11"/>
  <c r="P61" i="11" s="1"/>
  <c r="O57" i="11"/>
  <c r="O61" i="11" s="1"/>
  <c r="M57" i="11"/>
  <c r="M61" i="11" s="1"/>
  <c r="L57" i="11"/>
  <c r="L61" i="11" s="1"/>
  <c r="J57" i="11"/>
  <c r="J61" i="11" s="1"/>
  <c r="H57" i="11"/>
  <c r="H61" i="11" s="1"/>
  <c r="F57" i="11"/>
  <c r="F61" i="11" s="1"/>
  <c r="U55" i="11"/>
  <c r="T55" i="11"/>
  <c r="S55" i="11"/>
  <c r="R55" i="11"/>
  <c r="Q55" i="11"/>
  <c r="Q52" i="11" s="1"/>
  <c r="Q56" i="11" s="1"/>
  <c r="P55" i="11"/>
  <c r="P52" i="11" s="1"/>
  <c r="P56" i="11" s="1"/>
  <c r="O55" i="11"/>
  <c r="N55" i="11"/>
  <c r="N52" i="11" s="1"/>
  <c r="N56" i="11" s="1"/>
  <c r="M55" i="11"/>
  <c r="L55" i="11"/>
  <c r="L52" i="11" s="1"/>
  <c r="L56" i="11" s="1"/>
  <c r="K55" i="11"/>
  <c r="J55" i="11"/>
  <c r="J52" i="11" s="1"/>
  <c r="J56" i="11" s="1"/>
  <c r="I55" i="11"/>
  <c r="H55" i="11"/>
  <c r="G55" i="11"/>
  <c r="F55" i="11"/>
  <c r="U52" i="11"/>
  <c r="U56" i="11" s="1"/>
  <c r="T52" i="11"/>
  <c r="T56" i="11" s="1"/>
  <c r="S52" i="11"/>
  <c r="S56" i="11" s="1"/>
  <c r="R52" i="11"/>
  <c r="R56" i="11" s="1"/>
  <c r="O52" i="11"/>
  <c r="O56" i="11" s="1"/>
  <c r="M52" i="11"/>
  <c r="M56" i="11" s="1"/>
  <c r="K52" i="11"/>
  <c r="K56" i="11" s="1"/>
  <c r="I52" i="11"/>
  <c r="I56" i="11" s="1"/>
  <c r="H52" i="11"/>
  <c r="H56" i="11" s="1"/>
  <c r="G52" i="11"/>
  <c r="G56" i="11" s="1"/>
  <c r="F52" i="11"/>
  <c r="F56" i="11" s="1"/>
  <c r="U50" i="11"/>
  <c r="T50" i="11"/>
  <c r="T47" i="11" s="1"/>
  <c r="T51" i="11" s="1"/>
  <c r="S50" i="11"/>
  <c r="S47" i="11" s="1"/>
  <c r="S51" i="11" s="1"/>
  <c r="R50" i="11"/>
  <c r="Q50" i="11"/>
  <c r="Q47" i="11" s="1"/>
  <c r="Q51" i="11" s="1"/>
  <c r="P50" i="11"/>
  <c r="O50" i="11"/>
  <c r="O47" i="11" s="1"/>
  <c r="O51" i="11" s="1"/>
  <c r="N50" i="11"/>
  <c r="M50" i="11"/>
  <c r="M47" i="11" s="1"/>
  <c r="M51" i="11" s="1"/>
  <c r="L50" i="11"/>
  <c r="K50" i="11"/>
  <c r="J50" i="11"/>
  <c r="I50" i="11"/>
  <c r="H50" i="11"/>
  <c r="H47" i="11" s="1"/>
  <c r="H51" i="11" s="1"/>
  <c r="G50" i="11"/>
  <c r="F50" i="11"/>
  <c r="U47" i="11"/>
  <c r="U51" i="11" s="1"/>
  <c r="R47" i="11"/>
  <c r="R51" i="11" s="1"/>
  <c r="P47" i="11"/>
  <c r="P51" i="11" s="1"/>
  <c r="N47" i="11"/>
  <c r="N51" i="11" s="1"/>
  <c r="L47" i="11"/>
  <c r="L51" i="11" s="1"/>
  <c r="K47" i="11"/>
  <c r="K51" i="11" s="1"/>
  <c r="J47" i="11"/>
  <c r="J51" i="11" s="1"/>
  <c r="I47" i="11"/>
  <c r="I51" i="11" s="1"/>
  <c r="G47" i="11"/>
  <c r="G51" i="11" s="1"/>
  <c r="F47" i="11"/>
  <c r="F51" i="11" s="1"/>
  <c r="U45" i="11"/>
  <c r="T45" i="11"/>
  <c r="T42" i="11" s="1"/>
  <c r="T46" i="11" s="1"/>
  <c r="S45" i="11"/>
  <c r="R45" i="11"/>
  <c r="R42" i="11" s="1"/>
  <c r="R46" i="11" s="1"/>
  <c r="Q45" i="11"/>
  <c r="P45" i="11"/>
  <c r="P42" i="11" s="1"/>
  <c r="P46" i="11" s="1"/>
  <c r="O45" i="11"/>
  <c r="N45" i="11"/>
  <c r="M45" i="11"/>
  <c r="L45" i="11"/>
  <c r="K45" i="11"/>
  <c r="K42" i="11" s="1"/>
  <c r="K46" i="11" s="1"/>
  <c r="J45" i="11"/>
  <c r="I45" i="11"/>
  <c r="H45" i="11"/>
  <c r="G45" i="11"/>
  <c r="G42" i="11" s="1"/>
  <c r="G46" i="11" s="1"/>
  <c r="F45" i="11"/>
  <c r="F42" i="11" s="1"/>
  <c r="U42" i="11"/>
  <c r="U46" i="11" s="1"/>
  <c r="S42" i="11"/>
  <c r="S46" i="11" s="1"/>
  <c r="Q42" i="11"/>
  <c r="Q46" i="11" s="1"/>
  <c r="O42" i="11"/>
  <c r="O46" i="11" s="1"/>
  <c r="N42" i="11"/>
  <c r="N46" i="11" s="1"/>
  <c r="M42" i="11"/>
  <c r="M46" i="11" s="1"/>
  <c r="L42" i="11"/>
  <c r="L46" i="11" s="1"/>
  <c r="J42" i="11"/>
  <c r="J46" i="11" s="1"/>
  <c r="I42" i="11"/>
  <c r="I46" i="11" s="1"/>
  <c r="H42" i="11"/>
  <c r="H46" i="11" s="1"/>
  <c r="U40" i="11"/>
  <c r="U37" i="11" s="1"/>
  <c r="U41" i="11" s="1"/>
  <c r="T40" i="11"/>
  <c r="S40" i="11"/>
  <c r="S37" i="11" s="1"/>
  <c r="S41" i="11" s="1"/>
  <c r="R40" i="11"/>
  <c r="Q40" i="11"/>
  <c r="P40" i="11"/>
  <c r="O40" i="11"/>
  <c r="N40" i="11"/>
  <c r="N37" i="11" s="1"/>
  <c r="N41" i="11" s="1"/>
  <c r="M40" i="11"/>
  <c r="L40" i="11"/>
  <c r="K40" i="11"/>
  <c r="J40" i="11"/>
  <c r="J37" i="11" s="1"/>
  <c r="J41" i="11" s="1"/>
  <c r="I40" i="11"/>
  <c r="I37" i="11" s="1"/>
  <c r="I41" i="11" s="1"/>
  <c r="H40" i="11"/>
  <c r="G40" i="11"/>
  <c r="G37" i="11" s="1"/>
  <c r="G41" i="11" s="1"/>
  <c r="F40" i="11"/>
  <c r="T37" i="11"/>
  <c r="T41" i="11" s="1"/>
  <c r="R37" i="11"/>
  <c r="R41" i="11" s="1"/>
  <c r="Q37" i="11"/>
  <c r="Q41" i="11" s="1"/>
  <c r="P37" i="11"/>
  <c r="P41" i="11" s="1"/>
  <c r="O37" i="11"/>
  <c r="O41" i="11" s="1"/>
  <c r="M37" i="11"/>
  <c r="M41" i="11" s="1"/>
  <c r="L37" i="11"/>
  <c r="L41" i="11" s="1"/>
  <c r="K37" i="11"/>
  <c r="K41" i="11" s="1"/>
  <c r="H37" i="11"/>
  <c r="H41" i="11" s="1"/>
  <c r="F37" i="11"/>
  <c r="F41" i="11" s="1"/>
  <c r="U35" i="11"/>
  <c r="T35" i="11"/>
  <c r="S35" i="11"/>
  <c r="R35" i="11"/>
  <c r="Q35" i="11"/>
  <c r="Q32" i="11" s="1"/>
  <c r="Q36" i="11" s="1"/>
  <c r="P35" i="11"/>
  <c r="O35" i="11"/>
  <c r="N35" i="11"/>
  <c r="M35" i="11"/>
  <c r="M32" i="11" s="1"/>
  <c r="M36" i="11" s="1"/>
  <c r="L35" i="11"/>
  <c r="L32" i="11" s="1"/>
  <c r="L36" i="11" s="1"/>
  <c r="K35" i="11"/>
  <c r="J35" i="11"/>
  <c r="J32" i="11" s="1"/>
  <c r="J36" i="11" s="1"/>
  <c r="I35" i="11"/>
  <c r="H35" i="11"/>
  <c r="H32" i="11" s="1"/>
  <c r="H36" i="11" s="1"/>
  <c r="G35" i="11"/>
  <c r="F35" i="11"/>
  <c r="F32" i="11" s="1"/>
  <c r="U32" i="11"/>
  <c r="U36" i="11" s="1"/>
  <c r="T32" i="11"/>
  <c r="T36" i="11" s="1"/>
  <c r="S32" i="11"/>
  <c r="S36" i="11" s="1"/>
  <c r="R32" i="11"/>
  <c r="R36" i="11" s="1"/>
  <c r="P32" i="11"/>
  <c r="P36" i="11" s="1"/>
  <c r="O32" i="11"/>
  <c r="O36" i="11" s="1"/>
  <c r="N32" i="11"/>
  <c r="N36" i="11" s="1"/>
  <c r="K32" i="11"/>
  <c r="K36" i="11" s="1"/>
  <c r="I32" i="11"/>
  <c r="I36" i="11" s="1"/>
  <c r="G32" i="11"/>
  <c r="G36" i="11" s="1"/>
  <c r="U30" i="11"/>
  <c r="T30" i="11"/>
  <c r="T27" i="11" s="1"/>
  <c r="T31" i="11" s="1"/>
  <c r="S30" i="11"/>
  <c r="R30" i="11"/>
  <c r="Q30" i="11"/>
  <c r="P30" i="11"/>
  <c r="P27" i="11" s="1"/>
  <c r="P31" i="11" s="1"/>
  <c r="O30" i="11"/>
  <c r="O27" i="11" s="1"/>
  <c r="O31" i="11" s="1"/>
  <c r="N30" i="11"/>
  <c r="M30" i="11"/>
  <c r="M27" i="11" s="1"/>
  <c r="M31" i="11" s="1"/>
  <c r="L30" i="11"/>
  <c r="K30" i="11"/>
  <c r="K27" i="11" s="1"/>
  <c r="K31" i="11" s="1"/>
  <c r="J30" i="11"/>
  <c r="I30" i="11"/>
  <c r="I27" i="11" s="1"/>
  <c r="I31" i="11" s="1"/>
  <c r="H30" i="11"/>
  <c r="G30" i="11"/>
  <c r="G27" i="11" s="1"/>
  <c r="G31" i="11" s="1"/>
  <c r="F30" i="11"/>
  <c r="U27" i="11"/>
  <c r="U31" i="11" s="1"/>
  <c r="S27" i="11"/>
  <c r="S31" i="11" s="1"/>
  <c r="R27" i="11"/>
  <c r="R31" i="11" s="1"/>
  <c r="Q27" i="11"/>
  <c r="Q31" i="11" s="1"/>
  <c r="N27" i="11"/>
  <c r="N31" i="11" s="1"/>
  <c r="L27" i="11"/>
  <c r="L31" i="11" s="1"/>
  <c r="J27" i="11"/>
  <c r="J31" i="11" s="1"/>
  <c r="H27" i="11"/>
  <c r="H31" i="11" s="1"/>
  <c r="F27" i="11"/>
  <c r="F31" i="11" s="1"/>
  <c r="V31" i="11" s="1"/>
  <c r="U25" i="11"/>
  <c r="T25" i="11"/>
  <c r="S25" i="11"/>
  <c r="S22" i="11" s="1"/>
  <c r="S26" i="11" s="1"/>
  <c r="R25" i="11"/>
  <c r="R22" i="11" s="1"/>
  <c r="R26" i="11" s="1"/>
  <c r="Q25" i="11"/>
  <c r="P25" i="11"/>
  <c r="P22" i="11" s="1"/>
  <c r="P26" i="11" s="1"/>
  <c r="O25" i="11"/>
  <c r="N25" i="11"/>
  <c r="N22" i="11" s="1"/>
  <c r="N26" i="11" s="1"/>
  <c r="M25" i="11"/>
  <c r="L25" i="11"/>
  <c r="L22" i="11" s="1"/>
  <c r="L26" i="11" s="1"/>
  <c r="K25" i="11"/>
  <c r="J25" i="11"/>
  <c r="J22" i="11" s="1"/>
  <c r="J26" i="11" s="1"/>
  <c r="I25" i="11"/>
  <c r="H25" i="11"/>
  <c r="G25" i="11"/>
  <c r="G22" i="11" s="1"/>
  <c r="G26" i="11" s="1"/>
  <c r="F25" i="11"/>
  <c r="U22" i="11"/>
  <c r="U26" i="11" s="1"/>
  <c r="T22" i="11"/>
  <c r="T26" i="11" s="1"/>
  <c r="Q22" i="11"/>
  <c r="Q26" i="11" s="1"/>
  <c r="O22" i="11"/>
  <c r="O26" i="11" s="1"/>
  <c r="M22" i="11"/>
  <c r="M26" i="11" s="1"/>
  <c r="K22" i="11"/>
  <c r="K26" i="11" s="1"/>
  <c r="I22" i="11"/>
  <c r="I26" i="11" s="1"/>
  <c r="H22" i="11"/>
  <c r="H26" i="11" s="1"/>
  <c r="F22" i="11"/>
  <c r="U20" i="11"/>
  <c r="U17" i="11" s="1"/>
  <c r="U21" i="11" s="1"/>
  <c r="T20" i="11"/>
  <c r="S20" i="11"/>
  <c r="S17" i="11" s="1"/>
  <c r="S21" i="11" s="1"/>
  <c r="R20" i="11"/>
  <c r="Q20" i="11"/>
  <c r="Q17" i="11" s="1"/>
  <c r="Q21" i="11" s="1"/>
  <c r="P20" i="11"/>
  <c r="O20" i="11"/>
  <c r="O17" i="11" s="1"/>
  <c r="O21" i="11" s="1"/>
  <c r="N20" i="11"/>
  <c r="M20" i="11"/>
  <c r="M17" i="11" s="1"/>
  <c r="M21" i="11" s="1"/>
  <c r="L20" i="11"/>
  <c r="K20" i="11"/>
  <c r="J20" i="11"/>
  <c r="J17" i="11" s="1"/>
  <c r="J21" i="11" s="1"/>
  <c r="I20" i="11"/>
  <c r="H20" i="11"/>
  <c r="G20" i="11"/>
  <c r="F20" i="11"/>
  <c r="F17" i="11" s="1"/>
  <c r="T17" i="11"/>
  <c r="T21" i="11" s="1"/>
  <c r="R17" i="11"/>
  <c r="R21" i="11" s="1"/>
  <c r="P17" i="11"/>
  <c r="P21" i="11" s="1"/>
  <c r="N17" i="11"/>
  <c r="N21" i="11" s="1"/>
  <c r="L17" i="11"/>
  <c r="L21" i="11" s="1"/>
  <c r="K17" i="11"/>
  <c r="K21" i="11" s="1"/>
  <c r="I17" i="11"/>
  <c r="I21" i="11" s="1"/>
  <c r="H17" i="11"/>
  <c r="H21" i="11" s="1"/>
  <c r="G17" i="11"/>
  <c r="G21" i="11" s="1"/>
  <c r="U15" i="11"/>
  <c r="T15" i="11"/>
  <c r="T12" i="11" s="1"/>
  <c r="T16" i="11" s="1"/>
  <c r="S15" i="11"/>
  <c r="R15" i="11"/>
  <c r="R12" i="11" s="1"/>
  <c r="R16" i="11" s="1"/>
  <c r="Q15" i="11"/>
  <c r="P15" i="11"/>
  <c r="P12" i="11" s="1"/>
  <c r="P16" i="11" s="1"/>
  <c r="O15" i="11"/>
  <c r="N15" i="11"/>
  <c r="M15" i="11"/>
  <c r="M12" i="11" s="1"/>
  <c r="M16" i="11" s="1"/>
  <c r="L15" i="11"/>
  <c r="K15" i="11"/>
  <c r="J15" i="11"/>
  <c r="I15" i="11"/>
  <c r="I12" i="11" s="1"/>
  <c r="I16" i="11" s="1"/>
  <c r="H15" i="11"/>
  <c r="H12" i="11" s="1"/>
  <c r="H16" i="11" s="1"/>
  <c r="G15" i="11"/>
  <c r="F15" i="11"/>
  <c r="F12" i="11" s="1"/>
  <c r="U12" i="11"/>
  <c r="U16" i="11" s="1"/>
  <c r="S12" i="11"/>
  <c r="S16" i="11" s="1"/>
  <c r="Q12" i="11"/>
  <c r="Q16" i="11" s="1"/>
  <c r="O12" i="11"/>
  <c r="O16" i="11" s="1"/>
  <c r="N12" i="11"/>
  <c r="N16" i="11" s="1"/>
  <c r="L12" i="11"/>
  <c r="L16" i="11" s="1"/>
  <c r="K12" i="11"/>
  <c r="K16" i="11" s="1"/>
  <c r="J12" i="11"/>
  <c r="J16" i="11" s="1"/>
  <c r="G12" i="11"/>
  <c r="G16" i="11" s="1"/>
  <c r="U10" i="11"/>
  <c r="U7" i="11" s="1"/>
  <c r="U11" i="11" s="1"/>
  <c r="T10" i="11"/>
  <c r="S10" i="11"/>
  <c r="S7" i="11" s="1"/>
  <c r="S11" i="11" s="1"/>
  <c r="R10" i="11"/>
  <c r="Q10" i="11"/>
  <c r="P10" i="11"/>
  <c r="P7" i="11" s="1"/>
  <c r="P11" i="11" s="1"/>
  <c r="O10" i="11"/>
  <c r="N10" i="11"/>
  <c r="M10" i="11"/>
  <c r="L10" i="11"/>
  <c r="L7" i="11" s="1"/>
  <c r="L11" i="11" s="1"/>
  <c r="K10" i="11"/>
  <c r="K7" i="11" s="1"/>
  <c r="K11" i="11" s="1"/>
  <c r="J10" i="11"/>
  <c r="I10" i="11"/>
  <c r="I7" i="11" s="1"/>
  <c r="I11" i="11" s="1"/>
  <c r="H10" i="11"/>
  <c r="G10" i="11"/>
  <c r="G7" i="11" s="1"/>
  <c r="G11" i="11" s="1"/>
  <c r="F10" i="11"/>
  <c r="T7" i="11"/>
  <c r="T11" i="11" s="1"/>
  <c r="R7" i="11"/>
  <c r="R11" i="11" s="1"/>
  <c r="Q7" i="11"/>
  <c r="Q11" i="11" s="1"/>
  <c r="O7" i="11"/>
  <c r="O11" i="11" s="1"/>
  <c r="N7" i="11"/>
  <c r="N11" i="11" s="1"/>
  <c r="M7" i="11"/>
  <c r="M11" i="11" s="1"/>
  <c r="J7" i="11"/>
  <c r="J11" i="11" s="1"/>
  <c r="H7" i="11"/>
  <c r="H11" i="11" s="1"/>
  <c r="F7" i="11"/>
  <c r="F11" i="11" s="1"/>
  <c r="S111" i="10"/>
  <c r="Q111" i="10"/>
  <c r="O111" i="10"/>
  <c r="M111" i="10"/>
  <c r="L111" i="10"/>
  <c r="I111" i="10"/>
  <c r="G111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F107" i="10" s="1"/>
  <c r="T107" i="10"/>
  <c r="T111" i="10" s="1"/>
  <c r="S107" i="10"/>
  <c r="R107" i="10"/>
  <c r="R111" i="10" s="1"/>
  <c r="Q107" i="10"/>
  <c r="P107" i="10"/>
  <c r="P111" i="10" s="1"/>
  <c r="O107" i="10"/>
  <c r="N107" i="10"/>
  <c r="N111" i="10" s="1"/>
  <c r="M107" i="10"/>
  <c r="L107" i="10"/>
  <c r="K107" i="10"/>
  <c r="K111" i="10" s="1"/>
  <c r="J107" i="10"/>
  <c r="J111" i="10" s="1"/>
  <c r="I107" i="10"/>
  <c r="H107" i="10"/>
  <c r="H111" i="10" s="1"/>
  <c r="G107" i="10"/>
  <c r="S106" i="10"/>
  <c r="Q106" i="10"/>
  <c r="O106" i="10"/>
  <c r="M106" i="10"/>
  <c r="L106" i="10"/>
  <c r="J106" i="10"/>
  <c r="I106" i="10"/>
  <c r="G106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T102" i="10"/>
  <c r="T106" i="10" s="1"/>
  <c r="S102" i="10"/>
  <c r="R102" i="10"/>
  <c r="R106" i="10" s="1"/>
  <c r="Q102" i="10"/>
  <c r="P102" i="10"/>
  <c r="P106" i="10" s="1"/>
  <c r="O102" i="10"/>
  <c r="N102" i="10"/>
  <c r="N106" i="10" s="1"/>
  <c r="M102" i="10"/>
  <c r="L102" i="10"/>
  <c r="K102" i="10"/>
  <c r="K106" i="10" s="1"/>
  <c r="J102" i="10"/>
  <c r="I102" i="10"/>
  <c r="H102" i="10"/>
  <c r="H106" i="10" s="1"/>
  <c r="G102" i="10"/>
  <c r="F102" i="10"/>
  <c r="F106" i="10" s="1"/>
  <c r="S101" i="10"/>
  <c r="Q101" i="10"/>
  <c r="O101" i="10"/>
  <c r="M101" i="10"/>
  <c r="L101" i="10"/>
  <c r="J101" i="10"/>
  <c r="I101" i="10"/>
  <c r="G101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F97" i="10" s="1"/>
  <c r="T97" i="10"/>
  <c r="T101" i="10" s="1"/>
  <c r="S97" i="10"/>
  <c r="R97" i="10"/>
  <c r="R101" i="10" s="1"/>
  <c r="Q97" i="10"/>
  <c r="P97" i="10"/>
  <c r="P101" i="10" s="1"/>
  <c r="O97" i="10"/>
  <c r="N97" i="10"/>
  <c r="N101" i="10" s="1"/>
  <c r="M97" i="10"/>
  <c r="L97" i="10"/>
  <c r="K97" i="10"/>
  <c r="K101" i="10" s="1"/>
  <c r="J97" i="10"/>
  <c r="I97" i="10"/>
  <c r="H97" i="10"/>
  <c r="H101" i="10" s="1"/>
  <c r="G97" i="10"/>
  <c r="S96" i="10"/>
  <c r="Q96" i="10"/>
  <c r="O96" i="10"/>
  <c r="M96" i="10"/>
  <c r="L96" i="10"/>
  <c r="I96" i="10"/>
  <c r="G96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F92" i="10" s="1"/>
  <c r="T92" i="10"/>
  <c r="T96" i="10" s="1"/>
  <c r="S92" i="10"/>
  <c r="R92" i="10"/>
  <c r="R96" i="10" s="1"/>
  <c r="Q92" i="10"/>
  <c r="P92" i="10"/>
  <c r="P96" i="10" s="1"/>
  <c r="O92" i="10"/>
  <c r="N92" i="10"/>
  <c r="N96" i="10" s="1"/>
  <c r="M92" i="10"/>
  <c r="L92" i="10"/>
  <c r="K92" i="10"/>
  <c r="K96" i="10" s="1"/>
  <c r="J92" i="10"/>
  <c r="J96" i="10" s="1"/>
  <c r="I92" i="10"/>
  <c r="H92" i="10"/>
  <c r="H96" i="10" s="1"/>
  <c r="G92" i="10"/>
  <c r="S91" i="10"/>
  <c r="Q91" i="10"/>
  <c r="O91" i="10"/>
  <c r="M91" i="10"/>
  <c r="L91" i="10"/>
  <c r="I91" i="10"/>
  <c r="G91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T87" i="10"/>
  <c r="T91" i="10" s="1"/>
  <c r="S87" i="10"/>
  <c r="R87" i="10"/>
  <c r="R91" i="10" s="1"/>
  <c r="Q87" i="10"/>
  <c r="P87" i="10"/>
  <c r="P91" i="10" s="1"/>
  <c r="O87" i="10"/>
  <c r="N87" i="10"/>
  <c r="N91" i="10" s="1"/>
  <c r="M87" i="10"/>
  <c r="L87" i="10"/>
  <c r="K87" i="10"/>
  <c r="K91" i="10" s="1"/>
  <c r="J87" i="10"/>
  <c r="J91" i="10" s="1"/>
  <c r="I87" i="10"/>
  <c r="H87" i="10"/>
  <c r="H91" i="10" s="1"/>
  <c r="G87" i="10"/>
  <c r="F87" i="10"/>
  <c r="F91" i="10" s="1"/>
  <c r="S86" i="10"/>
  <c r="Q86" i="10"/>
  <c r="O86" i="10"/>
  <c r="M86" i="10"/>
  <c r="L86" i="10"/>
  <c r="I86" i="10"/>
  <c r="G86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F82" i="10" s="1"/>
  <c r="T82" i="10"/>
  <c r="T86" i="10" s="1"/>
  <c r="S82" i="10"/>
  <c r="R82" i="10"/>
  <c r="R86" i="10" s="1"/>
  <c r="Q82" i="10"/>
  <c r="P82" i="10"/>
  <c r="P86" i="10" s="1"/>
  <c r="O82" i="10"/>
  <c r="N82" i="10"/>
  <c r="N86" i="10" s="1"/>
  <c r="M82" i="10"/>
  <c r="L82" i="10"/>
  <c r="K82" i="10"/>
  <c r="K86" i="10" s="1"/>
  <c r="J82" i="10"/>
  <c r="J86" i="10" s="1"/>
  <c r="I82" i="10"/>
  <c r="H82" i="10"/>
  <c r="H86" i="10" s="1"/>
  <c r="G82" i="10"/>
  <c r="S81" i="10"/>
  <c r="Q81" i="10"/>
  <c r="O81" i="10"/>
  <c r="M81" i="10"/>
  <c r="L81" i="10"/>
  <c r="I81" i="10"/>
  <c r="G81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T77" i="10"/>
  <c r="T81" i="10" s="1"/>
  <c r="S77" i="10"/>
  <c r="R77" i="10"/>
  <c r="R81" i="10" s="1"/>
  <c r="Q77" i="10"/>
  <c r="P77" i="10"/>
  <c r="P81" i="10" s="1"/>
  <c r="O77" i="10"/>
  <c r="N77" i="10"/>
  <c r="N81" i="10" s="1"/>
  <c r="M77" i="10"/>
  <c r="L77" i="10"/>
  <c r="K77" i="10"/>
  <c r="K81" i="10" s="1"/>
  <c r="J77" i="10"/>
  <c r="J81" i="10" s="1"/>
  <c r="I77" i="10"/>
  <c r="H77" i="10"/>
  <c r="H81" i="10" s="1"/>
  <c r="G77" i="10"/>
  <c r="F77" i="10"/>
  <c r="F81" i="10" s="1"/>
  <c r="S76" i="10"/>
  <c r="Q76" i="10"/>
  <c r="O76" i="10"/>
  <c r="M76" i="10"/>
  <c r="L76" i="10"/>
  <c r="I76" i="10"/>
  <c r="G76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F72" i="10" s="1"/>
  <c r="T72" i="10"/>
  <c r="T76" i="10" s="1"/>
  <c r="S72" i="10"/>
  <c r="R72" i="10"/>
  <c r="R76" i="10" s="1"/>
  <c r="Q72" i="10"/>
  <c r="P72" i="10"/>
  <c r="P76" i="10" s="1"/>
  <c r="O72" i="10"/>
  <c r="N72" i="10"/>
  <c r="N76" i="10" s="1"/>
  <c r="M72" i="10"/>
  <c r="L72" i="10"/>
  <c r="K72" i="10"/>
  <c r="K76" i="10" s="1"/>
  <c r="J72" i="10"/>
  <c r="J76" i="10" s="1"/>
  <c r="I72" i="10"/>
  <c r="H72" i="10"/>
  <c r="H76" i="10" s="1"/>
  <c r="G72" i="10"/>
  <c r="S71" i="10"/>
  <c r="Q71" i="10"/>
  <c r="O71" i="10"/>
  <c r="M71" i="10"/>
  <c r="L71" i="10"/>
  <c r="I71" i="10"/>
  <c r="G71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F67" i="10" s="1"/>
  <c r="T67" i="10"/>
  <c r="T71" i="10" s="1"/>
  <c r="S67" i="10"/>
  <c r="R67" i="10"/>
  <c r="R71" i="10" s="1"/>
  <c r="Q67" i="10"/>
  <c r="P67" i="10"/>
  <c r="P71" i="10" s="1"/>
  <c r="O67" i="10"/>
  <c r="N67" i="10"/>
  <c r="N71" i="10" s="1"/>
  <c r="M67" i="10"/>
  <c r="L67" i="10"/>
  <c r="K67" i="10"/>
  <c r="K71" i="10" s="1"/>
  <c r="J67" i="10"/>
  <c r="J71" i="10" s="1"/>
  <c r="I67" i="10"/>
  <c r="H67" i="10"/>
  <c r="H71" i="10" s="1"/>
  <c r="G67" i="10"/>
  <c r="S66" i="10"/>
  <c r="Q66" i="10"/>
  <c r="O66" i="10"/>
  <c r="M66" i="10"/>
  <c r="L66" i="10"/>
  <c r="I66" i="10"/>
  <c r="G66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F62" i="10" s="1"/>
  <c r="T62" i="10"/>
  <c r="T66" i="10" s="1"/>
  <c r="S62" i="10"/>
  <c r="R62" i="10"/>
  <c r="R66" i="10" s="1"/>
  <c r="Q62" i="10"/>
  <c r="P62" i="10"/>
  <c r="P66" i="10" s="1"/>
  <c r="O62" i="10"/>
  <c r="N62" i="10"/>
  <c r="N66" i="10" s="1"/>
  <c r="M62" i="10"/>
  <c r="L62" i="10"/>
  <c r="K62" i="10"/>
  <c r="K66" i="10" s="1"/>
  <c r="J62" i="10"/>
  <c r="J66" i="10" s="1"/>
  <c r="I62" i="10"/>
  <c r="H62" i="10"/>
  <c r="H66" i="10" s="1"/>
  <c r="G62" i="10"/>
  <c r="S61" i="10"/>
  <c r="Q61" i="10"/>
  <c r="O61" i="10"/>
  <c r="M61" i="10"/>
  <c r="L61" i="10"/>
  <c r="I61" i="10"/>
  <c r="G61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F57" i="10" s="1"/>
  <c r="T57" i="10"/>
  <c r="T61" i="10" s="1"/>
  <c r="S57" i="10"/>
  <c r="R57" i="10"/>
  <c r="R61" i="10" s="1"/>
  <c r="Q57" i="10"/>
  <c r="P57" i="10"/>
  <c r="P61" i="10" s="1"/>
  <c r="O57" i="10"/>
  <c r="N57" i="10"/>
  <c r="N61" i="10" s="1"/>
  <c r="M57" i="10"/>
  <c r="L57" i="10"/>
  <c r="K57" i="10"/>
  <c r="K61" i="10" s="1"/>
  <c r="J57" i="10"/>
  <c r="J61" i="10" s="1"/>
  <c r="I57" i="10"/>
  <c r="H57" i="10"/>
  <c r="H61" i="10" s="1"/>
  <c r="G57" i="10"/>
  <c r="S56" i="10"/>
  <c r="Q56" i="10"/>
  <c r="O56" i="10"/>
  <c r="M56" i="10"/>
  <c r="L56" i="10"/>
  <c r="I56" i="10"/>
  <c r="G56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F52" i="10" s="1"/>
  <c r="T52" i="10"/>
  <c r="T56" i="10" s="1"/>
  <c r="S52" i="10"/>
  <c r="R52" i="10"/>
  <c r="R56" i="10" s="1"/>
  <c r="Q52" i="10"/>
  <c r="P52" i="10"/>
  <c r="P56" i="10" s="1"/>
  <c r="O52" i="10"/>
  <c r="N52" i="10"/>
  <c r="N56" i="10" s="1"/>
  <c r="M52" i="10"/>
  <c r="L52" i="10"/>
  <c r="K52" i="10"/>
  <c r="K56" i="10" s="1"/>
  <c r="J52" i="10"/>
  <c r="J56" i="10" s="1"/>
  <c r="I52" i="10"/>
  <c r="H52" i="10"/>
  <c r="H56" i="10" s="1"/>
  <c r="G52" i="10"/>
  <c r="S51" i="10"/>
  <c r="Q51" i="10"/>
  <c r="O51" i="10"/>
  <c r="M51" i="10"/>
  <c r="L51" i="10"/>
  <c r="I51" i="10"/>
  <c r="G51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F47" i="10" s="1"/>
  <c r="T47" i="10"/>
  <c r="T51" i="10" s="1"/>
  <c r="S47" i="10"/>
  <c r="R47" i="10"/>
  <c r="R51" i="10" s="1"/>
  <c r="Q47" i="10"/>
  <c r="P47" i="10"/>
  <c r="P51" i="10" s="1"/>
  <c r="O47" i="10"/>
  <c r="N47" i="10"/>
  <c r="N51" i="10" s="1"/>
  <c r="M47" i="10"/>
  <c r="L47" i="10"/>
  <c r="K47" i="10"/>
  <c r="K51" i="10" s="1"/>
  <c r="J47" i="10"/>
  <c r="J51" i="10" s="1"/>
  <c r="I47" i="10"/>
  <c r="H47" i="10"/>
  <c r="H51" i="10" s="1"/>
  <c r="G47" i="10"/>
  <c r="S46" i="10"/>
  <c r="Q46" i="10"/>
  <c r="O46" i="10"/>
  <c r="M46" i="10"/>
  <c r="L46" i="10"/>
  <c r="I46" i="10"/>
  <c r="G46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F42" i="10" s="1"/>
  <c r="T42" i="10"/>
  <c r="T46" i="10" s="1"/>
  <c r="S42" i="10"/>
  <c r="R42" i="10"/>
  <c r="R46" i="10" s="1"/>
  <c r="Q42" i="10"/>
  <c r="P42" i="10"/>
  <c r="P46" i="10" s="1"/>
  <c r="O42" i="10"/>
  <c r="N42" i="10"/>
  <c r="N46" i="10" s="1"/>
  <c r="M42" i="10"/>
  <c r="L42" i="10"/>
  <c r="K42" i="10"/>
  <c r="K46" i="10" s="1"/>
  <c r="J42" i="10"/>
  <c r="J46" i="10" s="1"/>
  <c r="I42" i="10"/>
  <c r="H42" i="10"/>
  <c r="H46" i="10" s="1"/>
  <c r="G42" i="10"/>
  <c r="S41" i="10"/>
  <c r="Q41" i="10"/>
  <c r="O41" i="10"/>
  <c r="M41" i="10"/>
  <c r="L41" i="10"/>
  <c r="I41" i="10"/>
  <c r="G41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F37" i="10" s="1"/>
  <c r="T37" i="10"/>
  <c r="T41" i="10" s="1"/>
  <c r="S37" i="10"/>
  <c r="R37" i="10"/>
  <c r="R41" i="10" s="1"/>
  <c r="Q37" i="10"/>
  <c r="P37" i="10"/>
  <c r="P41" i="10" s="1"/>
  <c r="O37" i="10"/>
  <c r="N37" i="10"/>
  <c r="N41" i="10" s="1"/>
  <c r="M37" i="10"/>
  <c r="L37" i="10"/>
  <c r="K37" i="10"/>
  <c r="K41" i="10" s="1"/>
  <c r="J37" i="10"/>
  <c r="J41" i="10" s="1"/>
  <c r="I37" i="10"/>
  <c r="H37" i="10"/>
  <c r="H41" i="10" s="1"/>
  <c r="G37" i="10"/>
  <c r="S36" i="10"/>
  <c r="Q36" i="10"/>
  <c r="O36" i="10"/>
  <c r="M36" i="10"/>
  <c r="L36" i="10"/>
  <c r="I36" i="10"/>
  <c r="G36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F32" i="10" s="1"/>
  <c r="T32" i="10"/>
  <c r="T36" i="10" s="1"/>
  <c r="S32" i="10"/>
  <c r="R32" i="10"/>
  <c r="R36" i="10" s="1"/>
  <c r="Q32" i="10"/>
  <c r="P32" i="10"/>
  <c r="P36" i="10" s="1"/>
  <c r="O32" i="10"/>
  <c r="N32" i="10"/>
  <c r="N36" i="10" s="1"/>
  <c r="M32" i="10"/>
  <c r="L32" i="10"/>
  <c r="K32" i="10"/>
  <c r="K36" i="10" s="1"/>
  <c r="J32" i="10"/>
  <c r="J36" i="10" s="1"/>
  <c r="I32" i="10"/>
  <c r="H32" i="10"/>
  <c r="H36" i="10" s="1"/>
  <c r="G32" i="10"/>
  <c r="S31" i="10"/>
  <c r="Q31" i="10"/>
  <c r="M31" i="10"/>
  <c r="L31" i="10"/>
  <c r="I31" i="10"/>
  <c r="G31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F27" i="10" s="1"/>
  <c r="T27" i="10"/>
  <c r="T31" i="10" s="1"/>
  <c r="S27" i="10"/>
  <c r="R27" i="10"/>
  <c r="R31" i="10" s="1"/>
  <c r="Q27" i="10"/>
  <c r="P27" i="10"/>
  <c r="P31" i="10" s="1"/>
  <c r="O27" i="10"/>
  <c r="O31" i="10" s="1"/>
  <c r="N27" i="10"/>
  <c r="N31" i="10" s="1"/>
  <c r="M27" i="10"/>
  <c r="L27" i="10"/>
  <c r="K27" i="10"/>
  <c r="K31" i="10" s="1"/>
  <c r="J27" i="10"/>
  <c r="J31" i="10" s="1"/>
  <c r="I27" i="10"/>
  <c r="H27" i="10"/>
  <c r="H31" i="10" s="1"/>
  <c r="G27" i="10"/>
  <c r="S26" i="10"/>
  <c r="Q26" i="10"/>
  <c r="O26" i="10"/>
  <c r="M26" i="10"/>
  <c r="L26" i="10"/>
  <c r="I26" i="10"/>
  <c r="G26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F22" i="10" s="1"/>
  <c r="T22" i="10"/>
  <c r="T26" i="10" s="1"/>
  <c r="S22" i="10"/>
  <c r="R22" i="10"/>
  <c r="R26" i="10" s="1"/>
  <c r="Q22" i="10"/>
  <c r="P22" i="10"/>
  <c r="P26" i="10" s="1"/>
  <c r="O22" i="10"/>
  <c r="N22" i="10"/>
  <c r="N26" i="10" s="1"/>
  <c r="M22" i="10"/>
  <c r="L22" i="10"/>
  <c r="K22" i="10"/>
  <c r="K26" i="10" s="1"/>
  <c r="J22" i="10"/>
  <c r="J26" i="10" s="1"/>
  <c r="I22" i="10"/>
  <c r="H22" i="10"/>
  <c r="H26" i="10" s="1"/>
  <c r="G22" i="10"/>
  <c r="S21" i="10"/>
  <c r="Q21" i="10"/>
  <c r="M21" i="10"/>
  <c r="L21" i="10"/>
  <c r="I21" i="10"/>
  <c r="G21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F17" i="10" s="1"/>
  <c r="T17" i="10"/>
  <c r="T21" i="10" s="1"/>
  <c r="S17" i="10"/>
  <c r="R17" i="10"/>
  <c r="R21" i="10" s="1"/>
  <c r="Q17" i="10"/>
  <c r="P17" i="10"/>
  <c r="P21" i="10" s="1"/>
  <c r="O17" i="10"/>
  <c r="O21" i="10" s="1"/>
  <c r="N17" i="10"/>
  <c r="N21" i="10" s="1"/>
  <c r="M17" i="10"/>
  <c r="L17" i="10"/>
  <c r="K17" i="10"/>
  <c r="K21" i="10" s="1"/>
  <c r="J17" i="10"/>
  <c r="J21" i="10" s="1"/>
  <c r="I17" i="10"/>
  <c r="H17" i="10"/>
  <c r="H21" i="10" s="1"/>
  <c r="G17" i="10"/>
  <c r="S16" i="10"/>
  <c r="Q16" i="10"/>
  <c r="M16" i="10"/>
  <c r="L16" i="10"/>
  <c r="I16" i="10"/>
  <c r="G16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T12" i="10"/>
  <c r="T16" i="10" s="1"/>
  <c r="S12" i="10"/>
  <c r="R12" i="10"/>
  <c r="R16" i="10" s="1"/>
  <c r="Q12" i="10"/>
  <c r="P12" i="10"/>
  <c r="P16" i="10" s="1"/>
  <c r="O12" i="10"/>
  <c r="O16" i="10" s="1"/>
  <c r="N12" i="10"/>
  <c r="N16" i="10" s="1"/>
  <c r="M12" i="10"/>
  <c r="L12" i="10"/>
  <c r="K12" i="10"/>
  <c r="K16" i="10" s="1"/>
  <c r="J12" i="10"/>
  <c r="J16" i="10" s="1"/>
  <c r="I12" i="10"/>
  <c r="H12" i="10"/>
  <c r="H16" i="10" s="1"/>
  <c r="G12" i="10"/>
  <c r="F12" i="10"/>
  <c r="F16" i="10" s="1"/>
  <c r="S11" i="10"/>
  <c r="Q11" i="10"/>
  <c r="M11" i="10"/>
  <c r="L11" i="10"/>
  <c r="I11" i="10"/>
  <c r="G11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F7" i="10" s="1"/>
  <c r="T7" i="10"/>
  <c r="T11" i="10" s="1"/>
  <c r="S7" i="10"/>
  <c r="R7" i="10"/>
  <c r="R11" i="10" s="1"/>
  <c r="Q7" i="10"/>
  <c r="P7" i="10"/>
  <c r="P11" i="10" s="1"/>
  <c r="O7" i="10"/>
  <c r="O11" i="10" s="1"/>
  <c r="N7" i="10"/>
  <c r="N11" i="10" s="1"/>
  <c r="M7" i="10"/>
  <c r="L7" i="10"/>
  <c r="K7" i="10"/>
  <c r="K11" i="10" s="1"/>
  <c r="J7" i="10"/>
  <c r="J11" i="10" s="1"/>
  <c r="I7" i="10"/>
  <c r="H7" i="10"/>
  <c r="H11" i="10" s="1"/>
  <c r="G7" i="10"/>
  <c r="Q181" i="9"/>
  <c r="G181" i="9"/>
  <c r="F181" i="9"/>
  <c r="S180" i="9"/>
  <c r="R180" i="9"/>
  <c r="R177" i="9" s="1"/>
  <c r="R181" i="9" s="1"/>
  <c r="Q180" i="9"/>
  <c r="P180" i="9"/>
  <c r="P177" i="9" s="1"/>
  <c r="P181" i="9" s="1"/>
  <c r="O180" i="9"/>
  <c r="N180" i="9"/>
  <c r="M180" i="9"/>
  <c r="L180" i="9"/>
  <c r="L177" i="9" s="1"/>
  <c r="L181" i="9" s="1"/>
  <c r="K180" i="9"/>
  <c r="J180" i="9"/>
  <c r="J177" i="9" s="1"/>
  <c r="J181" i="9" s="1"/>
  <c r="I180" i="9"/>
  <c r="I177" i="9" s="1"/>
  <c r="I181" i="9" s="1"/>
  <c r="H180" i="9"/>
  <c r="H177" i="9" s="1"/>
  <c r="G180" i="9"/>
  <c r="F180" i="9"/>
  <c r="S177" i="9"/>
  <c r="S181" i="9" s="1"/>
  <c r="Q177" i="9"/>
  <c r="O177" i="9"/>
  <c r="O181" i="9" s="1"/>
  <c r="N177" i="9"/>
  <c r="N181" i="9" s="1"/>
  <c r="M177" i="9"/>
  <c r="M181" i="9" s="1"/>
  <c r="K177" i="9"/>
  <c r="K181" i="9" s="1"/>
  <c r="G177" i="9"/>
  <c r="F177" i="9"/>
  <c r="S176" i="9"/>
  <c r="O176" i="9"/>
  <c r="N176" i="9"/>
  <c r="H176" i="9"/>
  <c r="G176" i="9"/>
  <c r="S175" i="9"/>
  <c r="R175" i="9"/>
  <c r="R172" i="9" s="1"/>
  <c r="R176" i="9" s="1"/>
  <c r="Q175" i="9"/>
  <c r="Q172" i="9" s="1"/>
  <c r="Q176" i="9" s="1"/>
  <c r="P175" i="9"/>
  <c r="O175" i="9"/>
  <c r="N175" i="9"/>
  <c r="M175" i="9"/>
  <c r="M172" i="9" s="1"/>
  <c r="M176" i="9" s="1"/>
  <c r="L175" i="9"/>
  <c r="K175" i="9"/>
  <c r="J175" i="9"/>
  <c r="I175" i="9"/>
  <c r="H175" i="9"/>
  <c r="G175" i="9"/>
  <c r="F175" i="9"/>
  <c r="F172" i="9" s="1"/>
  <c r="S172" i="9"/>
  <c r="P172" i="9"/>
  <c r="P176" i="9" s="1"/>
  <c r="O172" i="9"/>
  <c r="N172" i="9"/>
  <c r="L172" i="9"/>
  <c r="L176" i="9" s="1"/>
  <c r="K172" i="9"/>
  <c r="K176" i="9" s="1"/>
  <c r="J172" i="9"/>
  <c r="J176" i="9" s="1"/>
  <c r="I172" i="9"/>
  <c r="I176" i="9" s="1"/>
  <c r="H172" i="9"/>
  <c r="G172" i="9"/>
  <c r="Q171" i="9"/>
  <c r="P171" i="9"/>
  <c r="L171" i="9"/>
  <c r="K171" i="9"/>
  <c r="S170" i="9"/>
  <c r="S167" i="9" s="1"/>
  <c r="S171" i="9" s="1"/>
  <c r="R170" i="9"/>
  <c r="R167" i="9" s="1"/>
  <c r="R171" i="9" s="1"/>
  <c r="Q170" i="9"/>
  <c r="P170" i="9"/>
  <c r="O170" i="9"/>
  <c r="O167" i="9" s="1"/>
  <c r="O171" i="9" s="1"/>
  <c r="N170" i="9"/>
  <c r="N167" i="9" s="1"/>
  <c r="N171" i="9" s="1"/>
  <c r="M170" i="9"/>
  <c r="L170" i="9"/>
  <c r="K170" i="9"/>
  <c r="J170" i="9"/>
  <c r="J167" i="9" s="1"/>
  <c r="J171" i="9" s="1"/>
  <c r="I170" i="9"/>
  <c r="H170" i="9"/>
  <c r="G170" i="9"/>
  <c r="G167" i="9" s="1"/>
  <c r="G171" i="9" s="1"/>
  <c r="F170" i="9"/>
  <c r="Q167" i="9"/>
  <c r="P167" i="9"/>
  <c r="M167" i="9"/>
  <c r="M171" i="9" s="1"/>
  <c r="L167" i="9"/>
  <c r="K167" i="9"/>
  <c r="I167" i="9"/>
  <c r="I171" i="9" s="1"/>
  <c r="H167" i="9"/>
  <c r="H171" i="9" s="1"/>
  <c r="F167" i="9"/>
  <c r="T167" i="9" s="1"/>
  <c r="Q166" i="9"/>
  <c r="N166" i="9"/>
  <c r="M166" i="9"/>
  <c r="I166" i="9"/>
  <c r="H166" i="9"/>
  <c r="S165" i="9"/>
  <c r="R165" i="9"/>
  <c r="R162" i="9" s="1"/>
  <c r="R166" i="9" s="1"/>
  <c r="Q165" i="9"/>
  <c r="P165" i="9"/>
  <c r="P162" i="9" s="1"/>
  <c r="P166" i="9" s="1"/>
  <c r="O165" i="9"/>
  <c r="O162" i="9" s="1"/>
  <c r="O166" i="9" s="1"/>
  <c r="N165" i="9"/>
  <c r="M165" i="9"/>
  <c r="L165" i="9"/>
  <c r="L162" i="9" s="1"/>
  <c r="L166" i="9" s="1"/>
  <c r="K165" i="9"/>
  <c r="K162" i="9" s="1"/>
  <c r="K166" i="9" s="1"/>
  <c r="J165" i="9"/>
  <c r="I165" i="9"/>
  <c r="H165" i="9"/>
  <c r="G165" i="9"/>
  <c r="G162" i="9" s="1"/>
  <c r="G166" i="9" s="1"/>
  <c r="F165" i="9"/>
  <c r="S162" i="9"/>
  <c r="S166" i="9" s="1"/>
  <c r="Q162" i="9"/>
  <c r="N162" i="9"/>
  <c r="M162" i="9"/>
  <c r="J162" i="9"/>
  <c r="J166" i="9" s="1"/>
  <c r="I162" i="9"/>
  <c r="H162" i="9"/>
  <c r="F162" i="9"/>
  <c r="N161" i="9"/>
  <c r="K161" i="9"/>
  <c r="J161" i="9"/>
  <c r="F161" i="9"/>
  <c r="S160" i="9"/>
  <c r="R160" i="9"/>
  <c r="Q160" i="9"/>
  <c r="P160" i="9"/>
  <c r="O160" i="9"/>
  <c r="O157" i="9" s="1"/>
  <c r="O161" i="9" s="1"/>
  <c r="N160" i="9"/>
  <c r="M160" i="9"/>
  <c r="M157" i="9" s="1"/>
  <c r="M161" i="9" s="1"/>
  <c r="L160" i="9"/>
  <c r="L157" i="9" s="1"/>
  <c r="L161" i="9" s="1"/>
  <c r="K160" i="9"/>
  <c r="J160" i="9"/>
  <c r="I160" i="9"/>
  <c r="I157" i="9" s="1"/>
  <c r="I161" i="9" s="1"/>
  <c r="H160" i="9"/>
  <c r="H157" i="9" s="1"/>
  <c r="H161" i="9" s="1"/>
  <c r="G160" i="9"/>
  <c r="F160" i="9"/>
  <c r="S157" i="9"/>
  <c r="S161" i="9" s="1"/>
  <c r="R157" i="9"/>
  <c r="R161" i="9" s="1"/>
  <c r="Q157" i="9"/>
  <c r="Q161" i="9" s="1"/>
  <c r="P157" i="9"/>
  <c r="P161" i="9" s="1"/>
  <c r="N157" i="9"/>
  <c r="K157" i="9"/>
  <c r="J157" i="9"/>
  <c r="G157" i="9"/>
  <c r="G161" i="9" s="1"/>
  <c r="F157" i="9"/>
  <c r="S156" i="9"/>
  <c r="R156" i="9"/>
  <c r="K156" i="9"/>
  <c r="H156" i="9"/>
  <c r="G156" i="9"/>
  <c r="S155" i="9"/>
  <c r="R155" i="9"/>
  <c r="Q155" i="9"/>
  <c r="Q152" i="9" s="1"/>
  <c r="Q156" i="9" s="1"/>
  <c r="P155" i="9"/>
  <c r="O155" i="9"/>
  <c r="N155" i="9"/>
  <c r="M155" i="9"/>
  <c r="L155" i="9"/>
  <c r="L152" i="9" s="1"/>
  <c r="L156" i="9" s="1"/>
  <c r="K155" i="9"/>
  <c r="J155" i="9"/>
  <c r="J152" i="9" s="1"/>
  <c r="J156" i="9" s="1"/>
  <c r="I155" i="9"/>
  <c r="I152" i="9" s="1"/>
  <c r="I156" i="9" s="1"/>
  <c r="H155" i="9"/>
  <c r="G155" i="9"/>
  <c r="F155" i="9"/>
  <c r="F152" i="9" s="1"/>
  <c r="S152" i="9"/>
  <c r="R152" i="9"/>
  <c r="P152" i="9"/>
  <c r="P156" i="9" s="1"/>
  <c r="O152" i="9"/>
  <c r="O156" i="9" s="1"/>
  <c r="N152" i="9"/>
  <c r="N156" i="9" s="1"/>
  <c r="M152" i="9"/>
  <c r="M156" i="9" s="1"/>
  <c r="K152" i="9"/>
  <c r="H152" i="9"/>
  <c r="G152" i="9"/>
  <c r="P151" i="9"/>
  <c r="O151" i="9"/>
  <c r="H151" i="9"/>
  <c r="S150" i="9"/>
  <c r="S147" i="9" s="1"/>
  <c r="S151" i="9" s="1"/>
  <c r="R150" i="9"/>
  <c r="R147" i="9" s="1"/>
  <c r="R151" i="9" s="1"/>
  <c r="Q150" i="9"/>
  <c r="P150" i="9"/>
  <c r="O150" i="9"/>
  <c r="N150" i="9"/>
  <c r="N147" i="9" s="1"/>
  <c r="N151" i="9" s="1"/>
  <c r="M150" i="9"/>
  <c r="L150" i="9"/>
  <c r="K150" i="9"/>
  <c r="J150" i="9"/>
  <c r="I150" i="9"/>
  <c r="H150" i="9"/>
  <c r="G150" i="9"/>
  <c r="G147" i="9" s="1"/>
  <c r="G151" i="9" s="1"/>
  <c r="F150" i="9"/>
  <c r="F147" i="9" s="1"/>
  <c r="Q147" i="9"/>
  <c r="Q151" i="9" s="1"/>
  <c r="P147" i="9"/>
  <c r="O147" i="9"/>
  <c r="M147" i="9"/>
  <c r="M151" i="9" s="1"/>
  <c r="L147" i="9"/>
  <c r="L151" i="9" s="1"/>
  <c r="K147" i="9"/>
  <c r="K151" i="9" s="1"/>
  <c r="J147" i="9"/>
  <c r="J151" i="9" s="1"/>
  <c r="I147" i="9"/>
  <c r="I151" i="9" s="1"/>
  <c r="H147" i="9"/>
  <c r="R146" i="9"/>
  <c r="Q146" i="9"/>
  <c r="M146" i="9"/>
  <c r="L146" i="9"/>
  <c r="S145" i="9"/>
  <c r="S142" i="9" s="1"/>
  <c r="S146" i="9" s="1"/>
  <c r="R145" i="9"/>
  <c r="Q145" i="9"/>
  <c r="P145" i="9"/>
  <c r="P142" i="9" s="1"/>
  <c r="P146" i="9" s="1"/>
  <c r="O145" i="9"/>
  <c r="O142" i="9" s="1"/>
  <c r="O146" i="9" s="1"/>
  <c r="N145" i="9"/>
  <c r="M145" i="9"/>
  <c r="L145" i="9"/>
  <c r="K145" i="9"/>
  <c r="K142" i="9" s="1"/>
  <c r="K146" i="9" s="1"/>
  <c r="J145" i="9"/>
  <c r="I145" i="9"/>
  <c r="H145" i="9"/>
  <c r="G145" i="9"/>
  <c r="F145" i="9"/>
  <c r="R142" i="9"/>
  <c r="Q142" i="9"/>
  <c r="N142" i="9"/>
  <c r="N146" i="9" s="1"/>
  <c r="M142" i="9"/>
  <c r="L142" i="9"/>
  <c r="J142" i="9"/>
  <c r="J146" i="9" s="1"/>
  <c r="I142" i="9"/>
  <c r="I146" i="9" s="1"/>
  <c r="H142" i="9"/>
  <c r="H146" i="9" s="1"/>
  <c r="G142" i="9"/>
  <c r="G146" i="9" s="1"/>
  <c r="F142" i="9"/>
  <c r="R141" i="9"/>
  <c r="O141" i="9"/>
  <c r="N141" i="9"/>
  <c r="J141" i="9"/>
  <c r="I141" i="9"/>
  <c r="S140" i="9"/>
  <c r="R140" i="9"/>
  <c r="Q140" i="9"/>
  <c r="Q137" i="9" s="1"/>
  <c r="Q141" i="9" s="1"/>
  <c r="P140" i="9"/>
  <c r="P137" i="9" s="1"/>
  <c r="P141" i="9" s="1"/>
  <c r="O140" i="9"/>
  <c r="N140" i="9"/>
  <c r="M140" i="9"/>
  <c r="M137" i="9" s="1"/>
  <c r="M141" i="9" s="1"/>
  <c r="L140" i="9"/>
  <c r="L137" i="9" s="1"/>
  <c r="L141" i="9" s="1"/>
  <c r="K140" i="9"/>
  <c r="J140" i="9"/>
  <c r="I140" i="9"/>
  <c r="H140" i="9"/>
  <c r="H137" i="9" s="1"/>
  <c r="H141" i="9" s="1"/>
  <c r="G140" i="9"/>
  <c r="G137" i="9" s="1"/>
  <c r="G141" i="9" s="1"/>
  <c r="F140" i="9"/>
  <c r="S137" i="9"/>
  <c r="S141" i="9" s="1"/>
  <c r="R137" i="9"/>
  <c r="O137" i="9"/>
  <c r="N137" i="9"/>
  <c r="K137" i="9"/>
  <c r="K141" i="9" s="1"/>
  <c r="J137" i="9"/>
  <c r="I137" i="9"/>
  <c r="F137" i="9"/>
  <c r="O136" i="9"/>
  <c r="L136" i="9"/>
  <c r="K136" i="9"/>
  <c r="F136" i="9"/>
  <c r="S135" i="9"/>
  <c r="R135" i="9"/>
  <c r="Q135" i="9"/>
  <c r="P135" i="9"/>
  <c r="O135" i="9"/>
  <c r="N135" i="9"/>
  <c r="N132" i="9" s="1"/>
  <c r="N136" i="9" s="1"/>
  <c r="M135" i="9"/>
  <c r="M132" i="9" s="1"/>
  <c r="M136" i="9" s="1"/>
  <c r="L135" i="9"/>
  <c r="K135" i="9"/>
  <c r="J135" i="9"/>
  <c r="J132" i="9" s="1"/>
  <c r="J136" i="9" s="1"/>
  <c r="I135" i="9"/>
  <c r="I132" i="9" s="1"/>
  <c r="I136" i="9" s="1"/>
  <c r="H135" i="9"/>
  <c r="G135" i="9"/>
  <c r="G132" i="9" s="1"/>
  <c r="F135" i="9"/>
  <c r="S132" i="9"/>
  <c r="S136" i="9" s="1"/>
  <c r="R132" i="9"/>
  <c r="R136" i="9" s="1"/>
  <c r="Q132" i="9"/>
  <c r="Q136" i="9" s="1"/>
  <c r="P132" i="9"/>
  <c r="P136" i="9" s="1"/>
  <c r="O132" i="9"/>
  <c r="L132" i="9"/>
  <c r="K132" i="9"/>
  <c r="H132" i="9"/>
  <c r="H136" i="9" s="1"/>
  <c r="F132" i="9"/>
  <c r="S131" i="9"/>
  <c r="L131" i="9"/>
  <c r="K131" i="9"/>
  <c r="I131" i="9"/>
  <c r="H131" i="9"/>
  <c r="S130" i="9"/>
  <c r="R130" i="9"/>
  <c r="R127" i="9" s="1"/>
  <c r="R131" i="9" s="1"/>
  <c r="Q130" i="9"/>
  <c r="P130" i="9"/>
  <c r="O130" i="9"/>
  <c r="N130" i="9"/>
  <c r="M130" i="9"/>
  <c r="L130" i="9"/>
  <c r="K130" i="9"/>
  <c r="J130" i="9"/>
  <c r="J127" i="9" s="1"/>
  <c r="J131" i="9" s="1"/>
  <c r="I130" i="9"/>
  <c r="H130" i="9"/>
  <c r="G130" i="9"/>
  <c r="G127" i="9" s="1"/>
  <c r="G131" i="9" s="1"/>
  <c r="F130" i="9"/>
  <c r="F127" i="9" s="1"/>
  <c r="S127" i="9"/>
  <c r="Q127" i="9"/>
  <c r="Q131" i="9" s="1"/>
  <c r="P127" i="9"/>
  <c r="P131" i="9" s="1"/>
  <c r="O127" i="9"/>
  <c r="O131" i="9" s="1"/>
  <c r="N127" i="9"/>
  <c r="N131" i="9" s="1"/>
  <c r="M127" i="9"/>
  <c r="M131" i="9" s="1"/>
  <c r="L127" i="9"/>
  <c r="K127" i="9"/>
  <c r="I127" i="9"/>
  <c r="H127" i="9"/>
  <c r="Q126" i="9"/>
  <c r="P126" i="9"/>
  <c r="I126" i="9"/>
  <c r="H126" i="9"/>
  <c r="F126" i="9"/>
  <c r="T126" i="9" s="1"/>
  <c r="S125" i="9"/>
  <c r="S122" i="9" s="1"/>
  <c r="S126" i="9" s="1"/>
  <c r="R125" i="9"/>
  <c r="Q125" i="9"/>
  <c r="P125" i="9"/>
  <c r="O125" i="9"/>
  <c r="O122" i="9" s="1"/>
  <c r="O126" i="9" s="1"/>
  <c r="N125" i="9"/>
  <c r="M125" i="9"/>
  <c r="L125" i="9"/>
  <c r="L122" i="9" s="1"/>
  <c r="L126" i="9" s="1"/>
  <c r="K125" i="9"/>
  <c r="J125" i="9"/>
  <c r="I125" i="9"/>
  <c r="H125" i="9"/>
  <c r="G125" i="9"/>
  <c r="G122" i="9" s="1"/>
  <c r="G126" i="9" s="1"/>
  <c r="F125" i="9"/>
  <c r="R122" i="9"/>
  <c r="R126" i="9" s="1"/>
  <c r="Q122" i="9"/>
  <c r="P122" i="9"/>
  <c r="N122" i="9"/>
  <c r="N126" i="9" s="1"/>
  <c r="M122" i="9"/>
  <c r="M126" i="9" s="1"/>
  <c r="K122" i="9"/>
  <c r="K126" i="9" s="1"/>
  <c r="J122" i="9"/>
  <c r="J126" i="9" s="1"/>
  <c r="I122" i="9"/>
  <c r="H122" i="9"/>
  <c r="F122" i="9"/>
  <c r="S121" i="9"/>
  <c r="R121" i="9"/>
  <c r="N121" i="9"/>
  <c r="M121" i="9"/>
  <c r="F121" i="9"/>
  <c r="S120" i="9"/>
  <c r="R120" i="9"/>
  <c r="Q120" i="9"/>
  <c r="Q117" i="9" s="1"/>
  <c r="Q121" i="9" s="1"/>
  <c r="P120" i="9"/>
  <c r="P117" i="9" s="1"/>
  <c r="P121" i="9" s="1"/>
  <c r="O120" i="9"/>
  <c r="N120" i="9"/>
  <c r="M120" i="9"/>
  <c r="L120" i="9"/>
  <c r="L117" i="9" s="1"/>
  <c r="L121" i="9" s="1"/>
  <c r="K120" i="9"/>
  <c r="J120" i="9"/>
  <c r="I120" i="9"/>
  <c r="H120" i="9"/>
  <c r="G120" i="9"/>
  <c r="F120" i="9"/>
  <c r="S117" i="9"/>
  <c r="R117" i="9"/>
  <c r="O117" i="9"/>
  <c r="O121" i="9" s="1"/>
  <c r="N117" i="9"/>
  <c r="M117" i="9"/>
  <c r="K117" i="9"/>
  <c r="K121" i="9" s="1"/>
  <c r="J117" i="9"/>
  <c r="J121" i="9" s="1"/>
  <c r="I117" i="9"/>
  <c r="I121" i="9" s="1"/>
  <c r="H117" i="9"/>
  <c r="H121" i="9" s="1"/>
  <c r="G117" i="9"/>
  <c r="G121" i="9" s="1"/>
  <c r="F117" i="9"/>
  <c r="S116" i="9"/>
  <c r="R116" i="9"/>
  <c r="P116" i="9"/>
  <c r="O116" i="9"/>
  <c r="K116" i="9"/>
  <c r="J116" i="9"/>
  <c r="S115" i="9"/>
  <c r="R115" i="9"/>
  <c r="Q115" i="9"/>
  <c r="Q112" i="9" s="1"/>
  <c r="Q116" i="9" s="1"/>
  <c r="P115" i="9"/>
  <c r="O115" i="9"/>
  <c r="N115" i="9"/>
  <c r="N112" i="9" s="1"/>
  <c r="N116" i="9" s="1"/>
  <c r="M115" i="9"/>
  <c r="M112" i="9" s="1"/>
  <c r="M116" i="9" s="1"/>
  <c r="L115" i="9"/>
  <c r="K115" i="9"/>
  <c r="J115" i="9"/>
  <c r="I115" i="9"/>
  <c r="I112" i="9" s="1"/>
  <c r="I116" i="9" s="1"/>
  <c r="H115" i="9"/>
  <c r="G115" i="9"/>
  <c r="F115" i="9"/>
  <c r="S112" i="9"/>
  <c r="R112" i="9"/>
  <c r="P112" i="9"/>
  <c r="O112" i="9"/>
  <c r="L112" i="9"/>
  <c r="L116" i="9" s="1"/>
  <c r="K112" i="9"/>
  <c r="J112" i="9"/>
  <c r="H112" i="9"/>
  <c r="H116" i="9" s="1"/>
  <c r="G112" i="9"/>
  <c r="G116" i="9" s="1"/>
  <c r="F112" i="9"/>
  <c r="P111" i="9"/>
  <c r="O111" i="9"/>
  <c r="M111" i="9"/>
  <c r="L111" i="9"/>
  <c r="H111" i="9"/>
  <c r="G111" i="9"/>
  <c r="S110" i="9"/>
  <c r="R110" i="9"/>
  <c r="R107" i="9" s="1"/>
  <c r="R111" i="9" s="1"/>
  <c r="Q110" i="9"/>
  <c r="P110" i="9"/>
  <c r="O110" i="9"/>
  <c r="N110" i="9"/>
  <c r="N107" i="9" s="1"/>
  <c r="N111" i="9" s="1"/>
  <c r="M110" i="9"/>
  <c r="L110" i="9"/>
  <c r="K110" i="9"/>
  <c r="K107" i="9" s="1"/>
  <c r="K111" i="9" s="1"/>
  <c r="J110" i="9"/>
  <c r="J107" i="9" s="1"/>
  <c r="J111" i="9" s="1"/>
  <c r="I110" i="9"/>
  <c r="H110" i="9"/>
  <c r="G110" i="9"/>
  <c r="F110" i="9"/>
  <c r="F107" i="9" s="1"/>
  <c r="S107" i="9"/>
  <c r="S111" i="9" s="1"/>
  <c r="Q107" i="9"/>
  <c r="Q111" i="9" s="1"/>
  <c r="P107" i="9"/>
  <c r="O107" i="9"/>
  <c r="M107" i="9"/>
  <c r="L107" i="9"/>
  <c r="I107" i="9"/>
  <c r="I111" i="9" s="1"/>
  <c r="H107" i="9"/>
  <c r="G107" i="9"/>
  <c r="M106" i="9"/>
  <c r="L106" i="9"/>
  <c r="J106" i="9"/>
  <c r="I106" i="9"/>
  <c r="S105" i="9"/>
  <c r="S102" i="9" s="1"/>
  <c r="S106" i="9" s="1"/>
  <c r="R105" i="9"/>
  <c r="R102" i="9" s="1"/>
  <c r="R106" i="9" s="1"/>
  <c r="Q105" i="9"/>
  <c r="P105" i="9"/>
  <c r="O105" i="9"/>
  <c r="O102" i="9" s="1"/>
  <c r="O106" i="9" s="1"/>
  <c r="N105" i="9"/>
  <c r="M105" i="9"/>
  <c r="L105" i="9"/>
  <c r="K105" i="9"/>
  <c r="K102" i="9" s="1"/>
  <c r="K106" i="9" s="1"/>
  <c r="J105" i="9"/>
  <c r="I105" i="9"/>
  <c r="H105" i="9"/>
  <c r="H102" i="9" s="1"/>
  <c r="H106" i="9" s="1"/>
  <c r="G105" i="9"/>
  <c r="G102" i="9" s="1"/>
  <c r="G106" i="9" s="1"/>
  <c r="F105" i="9"/>
  <c r="Q102" i="9"/>
  <c r="Q106" i="9" s="1"/>
  <c r="P102" i="9"/>
  <c r="P106" i="9" s="1"/>
  <c r="N102" i="9"/>
  <c r="N106" i="9" s="1"/>
  <c r="M102" i="9"/>
  <c r="L102" i="9"/>
  <c r="J102" i="9"/>
  <c r="I102" i="9"/>
  <c r="F102" i="9"/>
  <c r="R101" i="9"/>
  <c r="Q101" i="9"/>
  <c r="J101" i="9"/>
  <c r="I101" i="9"/>
  <c r="G101" i="9"/>
  <c r="F101" i="9"/>
  <c r="S100" i="9"/>
  <c r="R100" i="9"/>
  <c r="Q100" i="9"/>
  <c r="P100" i="9"/>
  <c r="P97" i="9" s="1"/>
  <c r="P101" i="9" s="1"/>
  <c r="O100" i="9"/>
  <c r="O97" i="9" s="1"/>
  <c r="O101" i="9" s="1"/>
  <c r="N100" i="9"/>
  <c r="M100" i="9"/>
  <c r="L100" i="9"/>
  <c r="K100" i="9"/>
  <c r="J100" i="9"/>
  <c r="I100" i="9"/>
  <c r="H100" i="9"/>
  <c r="H97" i="9" s="1"/>
  <c r="G100" i="9"/>
  <c r="F100" i="9"/>
  <c r="S97" i="9"/>
  <c r="S101" i="9" s="1"/>
  <c r="R97" i="9"/>
  <c r="Q97" i="9"/>
  <c r="N97" i="9"/>
  <c r="N101" i="9" s="1"/>
  <c r="M97" i="9"/>
  <c r="M101" i="9" s="1"/>
  <c r="L97" i="9"/>
  <c r="L101" i="9" s="1"/>
  <c r="K97" i="9"/>
  <c r="K101" i="9" s="1"/>
  <c r="J97" i="9"/>
  <c r="I97" i="9"/>
  <c r="G97" i="9"/>
  <c r="F97" i="9"/>
  <c r="S96" i="9"/>
  <c r="O96" i="9"/>
  <c r="N96" i="9"/>
  <c r="G96" i="9"/>
  <c r="F96" i="9"/>
  <c r="S95" i="9"/>
  <c r="R95" i="9"/>
  <c r="R92" i="9" s="1"/>
  <c r="R96" i="9" s="1"/>
  <c r="Q95" i="9"/>
  <c r="Q92" i="9" s="1"/>
  <c r="Q96" i="9" s="1"/>
  <c r="P95" i="9"/>
  <c r="O95" i="9"/>
  <c r="N95" i="9"/>
  <c r="M95" i="9"/>
  <c r="M92" i="9" s="1"/>
  <c r="M96" i="9" s="1"/>
  <c r="L95" i="9"/>
  <c r="L92" i="9" s="1"/>
  <c r="L96" i="9" s="1"/>
  <c r="K95" i="9"/>
  <c r="J95" i="9"/>
  <c r="I95" i="9"/>
  <c r="H95" i="9"/>
  <c r="G95" i="9"/>
  <c r="F95" i="9"/>
  <c r="S92" i="9"/>
  <c r="P92" i="9"/>
  <c r="P96" i="9" s="1"/>
  <c r="O92" i="9"/>
  <c r="N92" i="9"/>
  <c r="K92" i="9"/>
  <c r="K96" i="9" s="1"/>
  <c r="J92" i="9"/>
  <c r="J96" i="9" s="1"/>
  <c r="I92" i="9"/>
  <c r="I96" i="9" s="1"/>
  <c r="H92" i="9"/>
  <c r="H96" i="9" s="1"/>
  <c r="G92" i="9"/>
  <c r="F92" i="9"/>
  <c r="S91" i="9"/>
  <c r="Q91" i="9"/>
  <c r="P91" i="9"/>
  <c r="L91" i="9"/>
  <c r="K91" i="9"/>
  <c r="S90" i="9"/>
  <c r="R90" i="9"/>
  <c r="R87" i="9" s="1"/>
  <c r="R91" i="9" s="1"/>
  <c r="Q90" i="9"/>
  <c r="P90" i="9"/>
  <c r="O90" i="9"/>
  <c r="O87" i="9" s="1"/>
  <c r="O91" i="9" s="1"/>
  <c r="N90" i="9"/>
  <c r="N87" i="9" s="1"/>
  <c r="N91" i="9" s="1"/>
  <c r="M90" i="9"/>
  <c r="L90" i="9"/>
  <c r="K90" i="9"/>
  <c r="J90" i="9"/>
  <c r="J87" i="9" s="1"/>
  <c r="J91" i="9" s="1"/>
  <c r="I90" i="9"/>
  <c r="I87" i="9" s="1"/>
  <c r="I91" i="9" s="1"/>
  <c r="H90" i="9"/>
  <c r="G90" i="9"/>
  <c r="G87" i="9" s="1"/>
  <c r="G91" i="9" s="1"/>
  <c r="F90" i="9"/>
  <c r="S87" i="9"/>
  <c r="Q87" i="9"/>
  <c r="P87" i="9"/>
  <c r="M87" i="9"/>
  <c r="M91" i="9" s="1"/>
  <c r="L87" i="9"/>
  <c r="K87" i="9"/>
  <c r="H87" i="9"/>
  <c r="H91" i="9" s="1"/>
  <c r="F87" i="9"/>
  <c r="T87" i="9" s="1"/>
  <c r="Q86" i="9"/>
  <c r="P86" i="9"/>
  <c r="N86" i="9"/>
  <c r="M86" i="9"/>
  <c r="I86" i="9"/>
  <c r="H86" i="9"/>
  <c r="S85" i="9"/>
  <c r="R85" i="9"/>
  <c r="Q85" i="9"/>
  <c r="P85" i="9"/>
  <c r="O85" i="9"/>
  <c r="O82" i="9" s="1"/>
  <c r="O86" i="9" s="1"/>
  <c r="N85" i="9"/>
  <c r="M85" i="9"/>
  <c r="L85" i="9"/>
  <c r="L82" i="9" s="1"/>
  <c r="L86" i="9" s="1"/>
  <c r="K85" i="9"/>
  <c r="K82" i="9" s="1"/>
  <c r="K86" i="9" s="1"/>
  <c r="J85" i="9"/>
  <c r="I85" i="9"/>
  <c r="H85" i="9"/>
  <c r="G85" i="9"/>
  <c r="G82" i="9" s="1"/>
  <c r="G86" i="9" s="1"/>
  <c r="F85" i="9"/>
  <c r="F82" i="9" s="1"/>
  <c r="S82" i="9"/>
  <c r="S86" i="9" s="1"/>
  <c r="R82" i="9"/>
  <c r="R86" i="9" s="1"/>
  <c r="Q82" i="9"/>
  <c r="P82" i="9"/>
  <c r="N82" i="9"/>
  <c r="M82" i="9"/>
  <c r="J82" i="9"/>
  <c r="J86" i="9" s="1"/>
  <c r="I82" i="9"/>
  <c r="H82" i="9"/>
  <c r="N81" i="9"/>
  <c r="M81" i="9"/>
  <c r="K81" i="9"/>
  <c r="J81" i="9"/>
  <c r="F81" i="9"/>
  <c r="S80" i="9"/>
  <c r="S77" i="9" s="1"/>
  <c r="S81" i="9" s="1"/>
  <c r="R80" i="9"/>
  <c r="Q80" i="9"/>
  <c r="P80" i="9"/>
  <c r="O80" i="9"/>
  <c r="N80" i="9"/>
  <c r="M80" i="9"/>
  <c r="L80" i="9"/>
  <c r="L77" i="9" s="1"/>
  <c r="L81" i="9" s="1"/>
  <c r="K80" i="9"/>
  <c r="J80" i="9"/>
  <c r="I80" i="9"/>
  <c r="I77" i="9" s="1"/>
  <c r="I81" i="9" s="1"/>
  <c r="H80" i="9"/>
  <c r="H77" i="9" s="1"/>
  <c r="H81" i="9" s="1"/>
  <c r="G80" i="9"/>
  <c r="F80" i="9"/>
  <c r="R77" i="9"/>
  <c r="R81" i="9" s="1"/>
  <c r="Q77" i="9"/>
  <c r="Q81" i="9" s="1"/>
  <c r="P77" i="9"/>
  <c r="P81" i="9" s="1"/>
  <c r="O77" i="9"/>
  <c r="O81" i="9" s="1"/>
  <c r="N77" i="9"/>
  <c r="M77" i="9"/>
  <c r="K77" i="9"/>
  <c r="J77" i="9"/>
  <c r="G77" i="9"/>
  <c r="G81" i="9" s="1"/>
  <c r="F77" i="9"/>
  <c r="S76" i="9"/>
  <c r="R76" i="9"/>
  <c r="K76" i="9"/>
  <c r="J76" i="9"/>
  <c r="H76" i="9"/>
  <c r="G76" i="9"/>
  <c r="S75" i="9"/>
  <c r="R75" i="9"/>
  <c r="Q75" i="9"/>
  <c r="Q72" i="9" s="1"/>
  <c r="Q76" i="9" s="1"/>
  <c r="P75" i="9"/>
  <c r="P72" i="9" s="1"/>
  <c r="P76" i="9" s="1"/>
  <c r="O75" i="9"/>
  <c r="N75" i="9"/>
  <c r="M75" i="9"/>
  <c r="L75" i="9"/>
  <c r="K75" i="9"/>
  <c r="J75" i="9"/>
  <c r="I75" i="9"/>
  <c r="I72" i="9" s="1"/>
  <c r="I76" i="9" s="1"/>
  <c r="H75" i="9"/>
  <c r="G75" i="9"/>
  <c r="F75" i="9"/>
  <c r="F72" i="9" s="1"/>
  <c r="S72" i="9"/>
  <c r="R72" i="9"/>
  <c r="O72" i="9"/>
  <c r="O76" i="9" s="1"/>
  <c r="N72" i="9"/>
  <c r="N76" i="9" s="1"/>
  <c r="M72" i="9"/>
  <c r="M76" i="9" s="1"/>
  <c r="L72" i="9"/>
  <c r="L76" i="9" s="1"/>
  <c r="K72" i="9"/>
  <c r="J72" i="9"/>
  <c r="H72" i="9"/>
  <c r="G72" i="9"/>
  <c r="P71" i="9"/>
  <c r="O71" i="9"/>
  <c r="H71" i="9"/>
  <c r="G71" i="9"/>
  <c r="S70" i="9"/>
  <c r="S67" i="9" s="1"/>
  <c r="S71" i="9" s="1"/>
  <c r="R70" i="9"/>
  <c r="R67" i="9" s="1"/>
  <c r="R71" i="9" s="1"/>
  <c r="Q70" i="9"/>
  <c r="P70" i="9"/>
  <c r="O70" i="9"/>
  <c r="N70" i="9"/>
  <c r="N67" i="9" s="1"/>
  <c r="N71" i="9" s="1"/>
  <c r="M70" i="9"/>
  <c r="M67" i="9" s="1"/>
  <c r="M71" i="9" s="1"/>
  <c r="L70" i="9"/>
  <c r="K70" i="9"/>
  <c r="J70" i="9"/>
  <c r="I70" i="9"/>
  <c r="H70" i="9"/>
  <c r="G70" i="9"/>
  <c r="F70" i="9"/>
  <c r="F67" i="9" s="1"/>
  <c r="Q67" i="9"/>
  <c r="Q71" i="9" s="1"/>
  <c r="P67" i="9"/>
  <c r="O67" i="9"/>
  <c r="L67" i="9"/>
  <c r="L71" i="9" s="1"/>
  <c r="K67" i="9"/>
  <c r="K71" i="9" s="1"/>
  <c r="J67" i="9"/>
  <c r="J71" i="9" s="1"/>
  <c r="I67" i="9"/>
  <c r="I71" i="9" s="1"/>
  <c r="H67" i="9"/>
  <c r="G67" i="9"/>
  <c r="R66" i="9"/>
  <c r="Q66" i="9"/>
  <c r="M66" i="9"/>
  <c r="L66" i="9"/>
  <c r="S65" i="9"/>
  <c r="S62" i="9" s="1"/>
  <c r="S66" i="9" s="1"/>
  <c r="R65" i="9"/>
  <c r="Q65" i="9"/>
  <c r="P65" i="9"/>
  <c r="P62" i="9" s="1"/>
  <c r="P66" i="9" s="1"/>
  <c r="O65" i="9"/>
  <c r="O62" i="9" s="1"/>
  <c r="O66" i="9" s="1"/>
  <c r="N65" i="9"/>
  <c r="M65" i="9"/>
  <c r="L65" i="9"/>
  <c r="K65" i="9"/>
  <c r="K62" i="9" s="1"/>
  <c r="K66" i="9" s="1"/>
  <c r="J65" i="9"/>
  <c r="J62" i="9" s="1"/>
  <c r="J66" i="9" s="1"/>
  <c r="I65" i="9"/>
  <c r="H65" i="9"/>
  <c r="G65" i="9"/>
  <c r="F65" i="9"/>
  <c r="R62" i="9"/>
  <c r="Q62" i="9"/>
  <c r="N62" i="9"/>
  <c r="N66" i="9" s="1"/>
  <c r="M62" i="9"/>
  <c r="L62" i="9"/>
  <c r="I62" i="9"/>
  <c r="I66" i="9" s="1"/>
  <c r="H62" i="9"/>
  <c r="H66" i="9" s="1"/>
  <c r="G62" i="9"/>
  <c r="G66" i="9" s="1"/>
  <c r="F62" i="9"/>
  <c r="T62" i="9" s="1"/>
  <c r="R61" i="9"/>
  <c r="Q61" i="9"/>
  <c r="O61" i="9"/>
  <c r="N61" i="9"/>
  <c r="J61" i="9"/>
  <c r="I61" i="9"/>
  <c r="S60" i="9"/>
  <c r="R60" i="9"/>
  <c r="Q60" i="9"/>
  <c r="P60" i="9"/>
  <c r="P57" i="9" s="1"/>
  <c r="P61" i="9" s="1"/>
  <c r="O60" i="9"/>
  <c r="N60" i="9"/>
  <c r="M60" i="9"/>
  <c r="M57" i="9" s="1"/>
  <c r="M61" i="9" s="1"/>
  <c r="L60" i="9"/>
  <c r="L57" i="9" s="1"/>
  <c r="L61" i="9" s="1"/>
  <c r="K60" i="9"/>
  <c r="J60" i="9"/>
  <c r="I60" i="9"/>
  <c r="H60" i="9"/>
  <c r="H57" i="9" s="1"/>
  <c r="H61" i="9" s="1"/>
  <c r="G60" i="9"/>
  <c r="G57" i="9" s="1"/>
  <c r="G61" i="9" s="1"/>
  <c r="F60" i="9"/>
  <c r="S57" i="9"/>
  <c r="S61" i="9" s="1"/>
  <c r="R57" i="9"/>
  <c r="Q57" i="9"/>
  <c r="O57" i="9"/>
  <c r="N57" i="9"/>
  <c r="K57" i="9"/>
  <c r="K61" i="9" s="1"/>
  <c r="J57" i="9"/>
  <c r="I57" i="9"/>
  <c r="F57" i="9"/>
  <c r="T57" i="9" s="1"/>
  <c r="O56" i="9"/>
  <c r="N56" i="9"/>
  <c r="L56" i="9"/>
  <c r="K56" i="9"/>
  <c r="G56" i="9"/>
  <c r="F56" i="9"/>
  <c r="S55" i="9"/>
  <c r="R55" i="9"/>
  <c r="Q55" i="9"/>
  <c r="P55" i="9"/>
  <c r="O55" i="9"/>
  <c r="N55" i="9"/>
  <c r="M55" i="9"/>
  <c r="M52" i="9" s="1"/>
  <c r="M56" i="9" s="1"/>
  <c r="L55" i="9"/>
  <c r="K55" i="9"/>
  <c r="J55" i="9"/>
  <c r="J52" i="9" s="1"/>
  <c r="J56" i="9" s="1"/>
  <c r="I55" i="9"/>
  <c r="I52" i="9" s="1"/>
  <c r="I56" i="9" s="1"/>
  <c r="H55" i="9"/>
  <c r="G55" i="9"/>
  <c r="F55" i="9"/>
  <c r="S52" i="9"/>
  <c r="S56" i="9" s="1"/>
  <c r="R52" i="9"/>
  <c r="R56" i="9" s="1"/>
  <c r="Q52" i="9"/>
  <c r="Q56" i="9" s="1"/>
  <c r="P52" i="9"/>
  <c r="P56" i="9" s="1"/>
  <c r="O52" i="9"/>
  <c r="N52" i="9"/>
  <c r="L52" i="9"/>
  <c r="K52" i="9"/>
  <c r="H52" i="9"/>
  <c r="H56" i="9" s="1"/>
  <c r="G52" i="9"/>
  <c r="F52" i="9"/>
  <c r="S51" i="9"/>
  <c r="L51" i="9"/>
  <c r="K51" i="9"/>
  <c r="I51" i="9"/>
  <c r="H51" i="9"/>
  <c r="S50" i="9"/>
  <c r="R50" i="9"/>
  <c r="R47" i="9" s="1"/>
  <c r="R51" i="9" s="1"/>
  <c r="Q50" i="9"/>
  <c r="Q47" i="9" s="1"/>
  <c r="Q51" i="9" s="1"/>
  <c r="P50" i="9"/>
  <c r="O50" i="9"/>
  <c r="N50" i="9"/>
  <c r="M50" i="9"/>
  <c r="L50" i="9"/>
  <c r="K50" i="9"/>
  <c r="J50" i="9"/>
  <c r="J47" i="9" s="1"/>
  <c r="J51" i="9" s="1"/>
  <c r="I50" i="9"/>
  <c r="H50" i="9"/>
  <c r="G50" i="9"/>
  <c r="G47" i="9" s="1"/>
  <c r="G51" i="9" s="1"/>
  <c r="F50" i="9"/>
  <c r="F47" i="9" s="1"/>
  <c r="S47" i="9"/>
  <c r="P47" i="9"/>
  <c r="P51" i="9" s="1"/>
  <c r="O47" i="9"/>
  <c r="O51" i="9" s="1"/>
  <c r="N47" i="9"/>
  <c r="N51" i="9" s="1"/>
  <c r="M47" i="9"/>
  <c r="M51" i="9" s="1"/>
  <c r="L47" i="9"/>
  <c r="K47" i="9"/>
  <c r="I47" i="9"/>
  <c r="H47" i="9"/>
  <c r="Q46" i="9"/>
  <c r="P46" i="9"/>
  <c r="I46" i="9"/>
  <c r="H46" i="9"/>
  <c r="F46" i="9"/>
  <c r="S45" i="9"/>
  <c r="S42" i="9" s="1"/>
  <c r="S46" i="9" s="1"/>
  <c r="R45" i="9"/>
  <c r="Q45" i="9"/>
  <c r="P45" i="9"/>
  <c r="O45" i="9"/>
  <c r="O42" i="9" s="1"/>
  <c r="O46" i="9" s="1"/>
  <c r="N45" i="9"/>
  <c r="N42" i="9" s="1"/>
  <c r="N46" i="9" s="1"/>
  <c r="M45" i="9"/>
  <c r="L45" i="9"/>
  <c r="K45" i="9"/>
  <c r="J45" i="9"/>
  <c r="I45" i="9"/>
  <c r="H45" i="9"/>
  <c r="G45" i="9"/>
  <c r="G42" i="9" s="1"/>
  <c r="G46" i="9" s="1"/>
  <c r="F45" i="9"/>
  <c r="R42" i="9"/>
  <c r="R46" i="9" s="1"/>
  <c r="Q42" i="9"/>
  <c r="P42" i="9"/>
  <c r="M42" i="9"/>
  <c r="M46" i="9" s="1"/>
  <c r="L42" i="9"/>
  <c r="L46" i="9" s="1"/>
  <c r="K42" i="9"/>
  <c r="K46" i="9" s="1"/>
  <c r="J42" i="9"/>
  <c r="J46" i="9" s="1"/>
  <c r="I42" i="9"/>
  <c r="H42" i="9"/>
  <c r="F42" i="9"/>
  <c r="T42" i="9" s="1"/>
  <c r="S41" i="9"/>
  <c r="R41" i="9"/>
  <c r="N41" i="9"/>
  <c r="M41" i="9"/>
  <c r="F41" i="9"/>
  <c r="S40" i="9"/>
  <c r="R40" i="9"/>
  <c r="Q40" i="9"/>
  <c r="Q37" i="9" s="1"/>
  <c r="Q41" i="9" s="1"/>
  <c r="P40" i="9"/>
  <c r="P37" i="9" s="1"/>
  <c r="P41" i="9" s="1"/>
  <c r="O40" i="9"/>
  <c r="N40" i="9"/>
  <c r="M40" i="9"/>
  <c r="L40" i="9"/>
  <c r="L37" i="9" s="1"/>
  <c r="L41" i="9" s="1"/>
  <c r="K40" i="9"/>
  <c r="K37" i="9" s="1"/>
  <c r="K41" i="9" s="1"/>
  <c r="J40" i="9"/>
  <c r="I40" i="9"/>
  <c r="H40" i="9"/>
  <c r="G40" i="9"/>
  <c r="F40" i="9"/>
  <c r="S37" i="9"/>
  <c r="R37" i="9"/>
  <c r="O37" i="9"/>
  <c r="O41" i="9" s="1"/>
  <c r="N37" i="9"/>
  <c r="M37" i="9"/>
  <c r="J37" i="9"/>
  <c r="J41" i="9" s="1"/>
  <c r="I37" i="9"/>
  <c r="I41" i="9" s="1"/>
  <c r="H37" i="9"/>
  <c r="H41" i="9" s="1"/>
  <c r="G37" i="9"/>
  <c r="G41" i="9" s="1"/>
  <c r="F37" i="9"/>
  <c r="S36" i="9"/>
  <c r="R36" i="9"/>
  <c r="P36" i="9"/>
  <c r="O36" i="9"/>
  <c r="K36" i="9"/>
  <c r="J36" i="9"/>
  <c r="S35" i="9"/>
  <c r="R35" i="9"/>
  <c r="Q35" i="9"/>
  <c r="Q32" i="9" s="1"/>
  <c r="Q36" i="9" s="1"/>
  <c r="P35" i="9"/>
  <c r="O35" i="9"/>
  <c r="N35" i="9"/>
  <c r="N32" i="9" s="1"/>
  <c r="N36" i="9" s="1"/>
  <c r="M35" i="9"/>
  <c r="M32" i="9" s="1"/>
  <c r="M36" i="9" s="1"/>
  <c r="L35" i="9"/>
  <c r="K35" i="9"/>
  <c r="J35" i="9"/>
  <c r="I35" i="9"/>
  <c r="I32" i="9" s="1"/>
  <c r="I36" i="9" s="1"/>
  <c r="H35" i="9"/>
  <c r="H32" i="9" s="1"/>
  <c r="H36" i="9" s="1"/>
  <c r="G35" i="9"/>
  <c r="F35" i="9"/>
  <c r="S32" i="9"/>
  <c r="R32" i="9"/>
  <c r="P32" i="9"/>
  <c r="O32" i="9"/>
  <c r="L32" i="9"/>
  <c r="L36" i="9" s="1"/>
  <c r="K32" i="9"/>
  <c r="J32" i="9"/>
  <c r="G32" i="9"/>
  <c r="G36" i="9" s="1"/>
  <c r="F32" i="9"/>
  <c r="T32" i="9" s="1"/>
  <c r="O31" i="9"/>
  <c r="M31" i="9"/>
  <c r="L31" i="9"/>
  <c r="H31" i="9"/>
  <c r="G31" i="9"/>
  <c r="S30" i="9"/>
  <c r="R30" i="9"/>
  <c r="Q30" i="9"/>
  <c r="P30" i="9"/>
  <c r="P27" i="9" s="1"/>
  <c r="P31" i="9" s="1"/>
  <c r="O30" i="9"/>
  <c r="N30" i="9"/>
  <c r="N27" i="9" s="1"/>
  <c r="N31" i="9" s="1"/>
  <c r="M30" i="9"/>
  <c r="L30" i="9"/>
  <c r="K30" i="9"/>
  <c r="K27" i="9" s="1"/>
  <c r="K31" i="9" s="1"/>
  <c r="J30" i="9"/>
  <c r="J27" i="9" s="1"/>
  <c r="J31" i="9" s="1"/>
  <c r="I30" i="9"/>
  <c r="H30" i="9"/>
  <c r="G30" i="9"/>
  <c r="F30" i="9"/>
  <c r="F27" i="9" s="1"/>
  <c r="S27" i="9"/>
  <c r="S31" i="9" s="1"/>
  <c r="R27" i="9"/>
  <c r="R31" i="9" s="1"/>
  <c r="Q27" i="9"/>
  <c r="Q31" i="9" s="1"/>
  <c r="O27" i="9"/>
  <c r="M27" i="9"/>
  <c r="L27" i="9"/>
  <c r="I27" i="9"/>
  <c r="I31" i="9" s="1"/>
  <c r="H27" i="9"/>
  <c r="G27" i="9"/>
  <c r="M26" i="9"/>
  <c r="L26" i="9"/>
  <c r="J26" i="9"/>
  <c r="I26" i="9"/>
  <c r="S25" i="9"/>
  <c r="S22" i="9" s="1"/>
  <c r="S26" i="9" s="1"/>
  <c r="R25" i="9"/>
  <c r="R22" i="9" s="1"/>
  <c r="R26" i="9" s="1"/>
  <c r="Q25" i="9"/>
  <c r="P25" i="9"/>
  <c r="O25" i="9"/>
  <c r="N25" i="9"/>
  <c r="M25" i="9"/>
  <c r="L25" i="9"/>
  <c r="K25" i="9"/>
  <c r="K22" i="9" s="1"/>
  <c r="K26" i="9" s="1"/>
  <c r="J25" i="9"/>
  <c r="I25" i="9"/>
  <c r="H25" i="9"/>
  <c r="H22" i="9" s="1"/>
  <c r="H26" i="9" s="1"/>
  <c r="G25" i="9"/>
  <c r="G22" i="9" s="1"/>
  <c r="G26" i="9" s="1"/>
  <c r="F25" i="9"/>
  <c r="Q22" i="9"/>
  <c r="Q26" i="9" s="1"/>
  <c r="P22" i="9"/>
  <c r="P26" i="9" s="1"/>
  <c r="O22" i="9"/>
  <c r="O26" i="9" s="1"/>
  <c r="N22" i="9"/>
  <c r="N26" i="9" s="1"/>
  <c r="M22" i="9"/>
  <c r="L22" i="9"/>
  <c r="J22" i="9"/>
  <c r="I22" i="9"/>
  <c r="F22" i="9"/>
  <c r="R21" i="9"/>
  <c r="Q21" i="9"/>
  <c r="J21" i="9"/>
  <c r="I21" i="9"/>
  <c r="G21" i="9"/>
  <c r="F21" i="9"/>
  <c r="S20" i="9"/>
  <c r="R20" i="9"/>
  <c r="Q20" i="9"/>
  <c r="P20" i="9"/>
  <c r="P17" i="9" s="1"/>
  <c r="P21" i="9" s="1"/>
  <c r="O20" i="9"/>
  <c r="O17" i="9" s="1"/>
  <c r="O21" i="9" s="1"/>
  <c r="N20" i="9"/>
  <c r="M20" i="9"/>
  <c r="L20" i="9"/>
  <c r="K20" i="9"/>
  <c r="J20" i="9"/>
  <c r="I20" i="9"/>
  <c r="H20" i="9"/>
  <c r="H17" i="9" s="1"/>
  <c r="G20" i="9"/>
  <c r="F20" i="9"/>
  <c r="S17" i="9"/>
  <c r="S21" i="9" s="1"/>
  <c r="R17" i="9"/>
  <c r="Q17" i="9"/>
  <c r="N17" i="9"/>
  <c r="N21" i="9" s="1"/>
  <c r="M17" i="9"/>
  <c r="M21" i="9" s="1"/>
  <c r="L17" i="9"/>
  <c r="L21" i="9" s="1"/>
  <c r="K17" i="9"/>
  <c r="K21" i="9" s="1"/>
  <c r="J17" i="9"/>
  <c r="I17" i="9"/>
  <c r="G17" i="9"/>
  <c r="F17" i="9"/>
  <c r="S16" i="9"/>
  <c r="O16" i="9"/>
  <c r="N16" i="9"/>
  <c r="G16" i="9"/>
  <c r="F16" i="9"/>
  <c r="S15" i="9"/>
  <c r="R15" i="9"/>
  <c r="R12" i="9" s="1"/>
  <c r="R16" i="9" s="1"/>
  <c r="Q15" i="9"/>
  <c r="Q12" i="9" s="1"/>
  <c r="Q16" i="9" s="1"/>
  <c r="P15" i="9"/>
  <c r="O15" i="9"/>
  <c r="N15" i="9"/>
  <c r="M15" i="9"/>
  <c r="M12" i="9" s="1"/>
  <c r="M16" i="9" s="1"/>
  <c r="L15" i="9"/>
  <c r="L12" i="9" s="1"/>
  <c r="L16" i="9" s="1"/>
  <c r="K15" i="9"/>
  <c r="J15" i="9"/>
  <c r="I15" i="9"/>
  <c r="H15" i="9"/>
  <c r="G15" i="9"/>
  <c r="F15" i="9"/>
  <c r="S12" i="9"/>
  <c r="P12" i="9"/>
  <c r="P16" i="9" s="1"/>
  <c r="O12" i="9"/>
  <c r="N12" i="9"/>
  <c r="K12" i="9"/>
  <c r="K16" i="9" s="1"/>
  <c r="J12" i="9"/>
  <c r="J16" i="9" s="1"/>
  <c r="I12" i="9"/>
  <c r="I16" i="9" s="1"/>
  <c r="H12" i="9"/>
  <c r="H16" i="9" s="1"/>
  <c r="T16" i="9" s="1"/>
  <c r="G12" i="9"/>
  <c r="F12" i="9"/>
  <c r="S11" i="9"/>
  <c r="Q11" i="9"/>
  <c r="P11" i="9"/>
  <c r="L11" i="9"/>
  <c r="K11" i="9"/>
  <c r="S10" i="9"/>
  <c r="R10" i="9"/>
  <c r="R7" i="9" s="1"/>
  <c r="R11" i="9" s="1"/>
  <c r="Q10" i="9"/>
  <c r="P10" i="9"/>
  <c r="O10" i="9"/>
  <c r="O7" i="9" s="1"/>
  <c r="O11" i="9" s="1"/>
  <c r="N10" i="9"/>
  <c r="N7" i="9" s="1"/>
  <c r="N11" i="9" s="1"/>
  <c r="M10" i="9"/>
  <c r="L10" i="9"/>
  <c r="K10" i="9"/>
  <c r="J10" i="9"/>
  <c r="J7" i="9" s="1"/>
  <c r="J11" i="9" s="1"/>
  <c r="I10" i="9"/>
  <c r="I7" i="9" s="1"/>
  <c r="I11" i="9" s="1"/>
  <c r="H10" i="9"/>
  <c r="G10" i="9"/>
  <c r="F10" i="9"/>
  <c r="S7" i="9"/>
  <c r="Q7" i="9"/>
  <c r="P7" i="9"/>
  <c r="M7" i="9"/>
  <c r="M11" i="9" s="1"/>
  <c r="L7" i="9"/>
  <c r="K7" i="9"/>
  <c r="H7" i="9"/>
  <c r="H11" i="9" s="1"/>
  <c r="G7" i="9"/>
  <c r="G11" i="9" s="1"/>
  <c r="F7" i="9"/>
  <c r="P176" i="8"/>
  <c r="N176" i="8"/>
  <c r="K176" i="8"/>
  <c r="I176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G172" i="8" s="1"/>
  <c r="G176" i="8" s="1"/>
  <c r="F175" i="8"/>
  <c r="T172" i="8"/>
  <c r="T176" i="8" s="1"/>
  <c r="S172" i="8"/>
  <c r="S176" i="8" s="1"/>
  <c r="R172" i="8"/>
  <c r="R176" i="8" s="1"/>
  <c r="Q172" i="8"/>
  <c r="Q176" i="8" s="1"/>
  <c r="P172" i="8"/>
  <c r="O172" i="8"/>
  <c r="O176" i="8" s="1"/>
  <c r="N172" i="8"/>
  <c r="M172" i="8"/>
  <c r="M176" i="8" s="1"/>
  <c r="L172" i="8"/>
  <c r="L176" i="8" s="1"/>
  <c r="K172" i="8"/>
  <c r="J172" i="8"/>
  <c r="J176" i="8" s="1"/>
  <c r="I172" i="8"/>
  <c r="H172" i="8"/>
  <c r="H176" i="8" s="1"/>
  <c r="F172" i="8"/>
  <c r="F176" i="8" s="1"/>
  <c r="S171" i="8"/>
  <c r="P171" i="8"/>
  <c r="N171" i="8"/>
  <c r="L171" i="8"/>
  <c r="K171" i="8"/>
  <c r="I171" i="8"/>
  <c r="T170" i="8"/>
  <c r="S170" i="8"/>
  <c r="R170" i="8"/>
  <c r="Q170" i="8"/>
  <c r="P170" i="8"/>
  <c r="O170" i="8"/>
  <c r="N170" i="8"/>
  <c r="M170" i="8"/>
  <c r="L170" i="8"/>
  <c r="K170" i="8"/>
  <c r="J170" i="8"/>
  <c r="J167" i="8" s="1"/>
  <c r="J171" i="8" s="1"/>
  <c r="I170" i="8"/>
  <c r="H170" i="8"/>
  <c r="H167" i="8" s="1"/>
  <c r="H171" i="8" s="1"/>
  <c r="G170" i="8"/>
  <c r="G167" i="8" s="1"/>
  <c r="G171" i="8" s="1"/>
  <c r="F170" i="8"/>
  <c r="T167" i="8"/>
  <c r="T171" i="8" s="1"/>
  <c r="S167" i="8"/>
  <c r="R167" i="8"/>
  <c r="R171" i="8" s="1"/>
  <c r="Q167" i="8"/>
  <c r="Q171" i="8" s="1"/>
  <c r="P167" i="8"/>
  <c r="O167" i="8"/>
  <c r="O171" i="8" s="1"/>
  <c r="N167" i="8"/>
  <c r="M167" i="8"/>
  <c r="M171" i="8" s="1"/>
  <c r="L167" i="8"/>
  <c r="K167" i="8"/>
  <c r="I167" i="8"/>
  <c r="F167" i="8"/>
  <c r="F171" i="8" s="1"/>
  <c r="S166" i="8"/>
  <c r="P166" i="8"/>
  <c r="N166" i="8"/>
  <c r="L166" i="8"/>
  <c r="K166" i="8"/>
  <c r="I166" i="8"/>
  <c r="H166" i="8"/>
  <c r="T165" i="8"/>
  <c r="S165" i="8"/>
  <c r="R165" i="8"/>
  <c r="Q165" i="8"/>
  <c r="P165" i="8"/>
  <c r="O165" i="8"/>
  <c r="N165" i="8"/>
  <c r="M165" i="8"/>
  <c r="L165" i="8"/>
  <c r="K165" i="8"/>
  <c r="J165" i="8"/>
  <c r="J162" i="8" s="1"/>
  <c r="J166" i="8" s="1"/>
  <c r="I165" i="8"/>
  <c r="H165" i="8"/>
  <c r="G165" i="8"/>
  <c r="G162" i="8" s="1"/>
  <c r="G166" i="8" s="1"/>
  <c r="F165" i="8"/>
  <c r="T162" i="8"/>
  <c r="T166" i="8" s="1"/>
  <c r="S162" i="8"/>
  <c r="R162" i="8"/>
  <c r="R166" i="8" s="1"/>
  <c r="Q162" i="8"/>
  <c r="Q166" i="8" s="1"/>
  <c r="P162" i="8"/>
  <c r="O162" i="8"/>
  <c r="O166" i="8" s="1"/>
  <c r="N162" i="8"/>
  <c r="M162" i="8"/>
  <c r="M166" i="8" s="1"/>
  <c r="L162" i="8"/>
  <c r="K162" i="8"/>
  <c r="I162" i="8"/>
  <c r="H162" i="8"/>
  <c r="F162" i="8"/>
  <c r="F166" i="8" s="1"/>
  <c r="S161" i="8"/>
  <c r="P161" i="8"/>
  <c r="N161" i="8"/>
  <c r="L161" i="8"/>
  <c r="K161" i="8"/>
  <c r="I161" i="8"/>
  <c r="T160" i="8"/>
  <c r="S160" i="8"/>
  <c r="R160" i="8"/>
  <c r="Q160" i="8"/>
  <c r="P160" i="8"/>
  <c r="O160" i="8"/>
  <c r="N160" i="8"/>
  <c r="M160" i="8"/>
  <c r="L160" i="8"/>
  <c r="K160" i="8"/>
  <c r="J160" i="8"/>
  <c r="J157" i="8" s="1"/>
  <c r="J161" i="8" s="1"/>
  <c r="I160" i="8"/>
  <c r="H160" i="8"/>
  <c r="G160" i="8"/>
  <c r="F160" i="8"/>
  <c r="T157" i="8"/>
  <c r="T161" i="8" s="1"/>
  <c r="S157" i="8"/>
  <c r="R157" i="8"/>
  <c r="R161" i="8" s="1"/>
  <c r="Q157" i="8"/>
  <c r="Q161" i="8" s="1"/>
  <c r="P157" i="8"/>
  <c r="O157" i="8"/>
  <c r="O161" i="8" s="1"/>
  <c r="N157" i="8"/>
  <c r="M157" i="8"/>
  <c r="M161" i="8" s="1"/>
  <c r="L157" i="8"/>
  <c r="K157" i="8"/>
  <c r="I157" i="8"/>
  <c r="H157" i="8"/>
  <c r="H161" i="8" s="1"/>
  <c r="G157" i="8"/>
  <c r="G161" i="8" s="1"/>
  <c r="F157" i="8"/>
  <c r="F161" i="8" s="1"/>
  <c r="S156" i="8"/>
  <c r="P156" i="8"/>
  <c r="N156" i="8"/>
  <c r="L156" i="8"/>
  <c r="K156" i="8"/>
  <c r="I156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H152" i="8" s="1"/>
  <c r="H156" i="8" s="1"/>
  <c r="G155" i="8"/>
  <c r="F155" i="8"/>
  <c r="T152" i="8"/>
  <c r="T156" i="8" s="1"/>
  <c r="S152" i="8"/>
  <c r="R152" i="8"/>
  <c r="R156" i="8" s="1"/>
  <c r="Q152" i="8"/>
  <c r="Q156" i="8" s="1"/>
  <c r="P152" i="8"/>
  <c r="O152" i="8"/>
  <c r="O156" i="8" s="1"/>
  <c r="N152" i="8"/>
  <c r="M152" i="8"/>
  <c r="M156" i="8" s="1"/>
  <c r="L152" i="8"/>
  <c r="K152" i="8"/>
  <c r="J152" i="8"/>
  <c r="J156" i="8" s="1"/>
  <c r="I152" i="8"/>
  <c r="G152" i="8"/>
  <c r="G156" i="8" s="1"/>
  <c r="F152" i="8"/>
  <c r="S151" i="8"/>
  <c r="P151" i="8"/>
  <c r="N151" i="8"/>
  <c r="L151" i="8"/>
  <c r="K151" i="8"/>
  <c r="I151" i="8"/>
  <c r="H151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G147" i="8" s="1"/>
  <c r="G151" i="8" s="1"/>
  <c r="F150" i="8"/>
  <c r="T147" i="8"/>
  <c r="T151" i="8" s="1"/>
  <c r="S147" i="8"/>
  <c r="R147" i="8"/>
  <c r="R151" i="8" s="1"/>
  <c r="Q147" i="8"/>
  <c r="Q151" i="8" s="1"/>
  <c r="P147" i="8"/>
  <c r="O147" i="8"/>
  <c r="O151" i="8" s="1"/>
  <c r="N147" i="8"/>
  <c r="M147" i="8"/>
  <c r="M151" i="8" s="1"/>
  <c r="L147" i="8"/>
  <c r="K147" i="8"/>
  <c r="J147" i="8"/>
  <c r="J151" i="8" s="1"/>
  <c r="I147" i="8"/>
  <c r="H147" i="8"/>
  <c r="F147" i="8"/>
  <c r="S146" i="8"/>
  <c r="P146" i="8"/>
  <c r="N146" i="8"/>
  <c r="L146" i="8"/>
  <c r="I146" i="8"/>
  <c r="T145" i="8"/>
  <c r="S145" i="8"/>
  <c r="R145" i="8"/>
  <c r="R142" i="8" s="1"/>
  <c r="R146" i="8" s="1"/>
  <c r="Q145" i="8"/>
  <c r="P145" i="8"/>
  <c r="O145" i="8"/>
  <c r="N145" i="8"/>
  <c r="M145" i="8"/>
  <c r="L145" i="8"/>
  <c r="K145" i="8"/>
  <c r="K142" i="8" s="1"/>
  <c r="K146" i="8" s="1"/>
  <c r="J145" i="8"/>
  <c r="J142" i="8" s="1"/>
  <c r="J146" i="8" s="1"/>
  <c r="I145" i="8"/>
  <c r="H145" i="8"/>
  <c r="G145" i="8"/>
  <c r="G142" i="8" s="1"/>
  <c r="G146" i="8" s="1"/>
  <c r="F145" i="8"/>
  <c r="T142" i="8"/>
  <c r="T146" i="8" s="1"/>
  <c r="S142" i="8"/>
  <c r="Q142" i="8"/>
  <c r="Q146" i="8" s="1"/>
  <c r="P142" i="8"/>
  <c r="O142" i="8"/>
  <c r="O146" i="8" s="1"/>
  <c r="N142" i="8"/>
  <c r="M142" i="8"/>
  <c r="M146" i="8" s="1"/>
  <c r="L142" i="8"/>
  <c r="I142" i="8"/>
  <c r="H142" i="8"/>
  <c r="H146" i="8" s="1"/>
  <c r="F142" i="8"/>
  <c r="S141" i="8"/>
  <c r="P141" i="8"/>
  <c r="N141" i="8"/>
  <c r="L141" i="8"/>
  <c r="I141" i="8"/>
  <c r="G141" i="8"/>
  <c r="T140" i="8"/>
  <c r="S140" i="8"/>
  <c r="R140" i="8"/>
  <c r="Q140" i="8"/>
  <c r="P140" i="8"/>
  <c r="O140" i="8"/>
  <c r="N140" i="8"/>
  <c r="M140" i="8"/>
  <c r="L140" i="8"/>
  <c r="K140" i="8"/>
  <c r="K137" i="8" s="1"/>
  <c r="K141" i="8" s="1"/>
  <c r="J140" i="8"/>
  <c r="J137" i="8" s="1"/>
  <c r="J141" i="8" s="1"/>
  <c r="I140" i="8"/>
  <c r="H140" i="8"/>
  <c r="H137" i="8" s="1"/>
  <c r="H141" i="8" s="1"/>
  <c r="G140" i="8"/>
  <c r="F140" i="8"/>
  <c r="T137" i="8"/>
  <c r="T141" i="8" s="1"/>
  <c r="S137" i="8"/>
  <c r="R137" i="8"/>
  <c r="R141" i="8" s="1"/>
  <c r="Q137" i="8"/>
  <c r="Q141" i="8" s="1"/>
  <c r="P137" i="8"/>
  <c r="O137" i="8"/>
  <c r="O141" i="8" s="1"/>
  <c r="N137" i="8"/>
  <c r="M137" i="8"/>
  <c r="M141" i="8" s="1"/>
  <c r="L137" i="8"/>
  <c r="I137" i="8"/>
  <c r="G137" i="8"/>
  <c r="F137" i="8"/>
  <c r="S136" i="8"/>
  <c r="P136" i="8"/>
  <c r="N136" i="8"/>
  <c r="L136" i="8"/>
  <c r="I136" i="8"/>
  <c r="H136" i="8"/>
  <c r="T135" i="8"/>
  <c r="S135" i="8"/>
  <c r="R135" i="8"/>
  <c r="Q135" i="8"/>
  <c r="P135" i="8"/>
  <c r="O135" i="8"/>
  <c r="N135" i="8"/>
  <c r="M135" i="8"/>
  <c r="L135" i="8"/>
  <c r="K135" i="8"/>
  <c r="K132" i="8" s="1"/>
  <c r="K136" i="8" s="1"/>
  <c r="J135" i="8"/>
  <c r="I135" i="8"/>
  <c r="H135" i="8"/>
  <c r="G135" i="8"/>
  <c r="G132" i="8" s="1"/>
  <c r="G136" i="8" s="1"/>
  <c r="F135" i="8"/>
  <c r="F132" i="8" s="1"/>
  <c r="T132" i="8"/>
  <c r="T136" i="8" s="1"/>
  <c r="S132" i="8"/>
  <c r="R132" i="8"/>
  <c r="R136" i="8" s="1"/>
  <c r="Q132" i="8"/>
  <c r="Q136" i="8" s="1"/>
  <c r="P132" i="8"/>
  <c r="O132" i="8"/>
  <c r="O136" i="8" s="1"/>
  <c r="N132" i="8"/>
  <c r="M132" i="8"/>
  <c r="M136" i="8" s="1"/>
  <c r="L132" i="8"/>
  <c r="J132" i="8"/>
  <c r="J136" i="8" s="1"/>
  <c r="I132" i="8"/>
  <c r="H132" i="8"/>
  <c r="S131" i="8"/>
  <c r="P131" i="8"/>
  <c r="N131" i="8"/>
  <c r="L131" i="8"/>
  <c r="I131" i="8"/>
  <c r="G131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F127" i="8" s="1"/>
  <c r="T127" i="8"/>
  <c r="T131" i="8" s="1"/>
  <c r="S127" i="8"/>
  <c r="R127" i="8"/>
  <c r="R131" i="8" s="1"/>
  <c r="Q127" i="8"/>
  <c r="Q131" i="8" s="1"/>
  <c r="P127" i="8"/>
  <c r="O127" i="8"/>
  <c r="O131" i="8" s="1"/>
  <c r="N127" i="8"/>
  <c r="M127" i="8"/>
  <c r="M131" i="8" s="1"/>
  <c r="L127" i="8"/>
  <c r="K127" i="8"/>
  <c r="K131" i="8" s="1"/>
  <c r="J127" i="8"/>
  <c r="J131" i="8" s="1"/>
  <c r="I127" i="8"/>
  <c r="H127" i="8"/>
  <c r="H131" i="8" s="1"/>
  <c r="G127" i="8"/>
  <c r="P126" i="8"/>
  <c r="N126" i="8"/>
  <c r="L126" i="8"/>
  <c r="I126" i="8"/>
  <c r="G126" i="8"/>
  <c r="T125" i="8"/>
  <c r="S125" i="8"/>
  <c r="R125" i="8"/>
  <c r="Q125" i="8"/>
  <c r="P125" i="8"/>
  <c r="O125" i="8"/>
  <c r="N125" i="8"/>
  <c r="M125" i="8"/>
  <c r="M122" i="8" s="1"/>
  <c r="M126" i="8" s="1"/>
  <c r="L125" i="8"/>
  <c r="K125" i="8"/>
  <c r="K122" i="8" s="1"/>
  <c r="K126" i="8" s="1"/>
  <c r="J125" i="8"/>
  <c r="I125" i="8"/>
  <c r="H125" i="8"/>
  <c r="H122" i="8" s="1"/>
  <c r="H126" i="8" s="1"/>
  <c r="G125" i="8"/>
  <c r="F125" i="8"/>
  <c r="F122" i="8" s="1"/>
  <c r="T122" i="8"/>
  <c r="S122" i="8"/>
  <c r="S126" i="8" s="1"/>
  <c r="R122" i="8"/>
  <c r="R126" i="8" s="1"/>
  <c r="Q122" i="8"/>
  <c r="Q126" i="8" s="1"/>
  <c r="P122" i="8"/>
  <c r="O122" i="8"/>
  <c r="O126" i="8" s="1"/>
  <c r="N122" i="8"/>
  <c r="L122" i="8"/>
  <c r="J122" i="8"/>
  <c r="J126" i="8" s="1"/>
  <c r="I122" i="8"/>
  <c r="G122" i="8"/>
  <c r="T121" i="8"/>
  <c r="S121" i="8"/>
  <c r="P121" i="8"/>
  <c r="N121" i="8"/>
  <c r="H121" i="8"/>
  <c r="T120" i="8"/>
  <c r="S120" i="8"/>
  <c r="R120" i="8"/>
  <c r="R117" i="8" s="1"/>
  <c r="R121" i="8" s="1"/>
  <c r="Q120" i="8"/>
  <c r="P120" i="8"/>
  <c r="O120" i="8"/>
  <c r="N120" i="8"/>
  <c r="M120" i="8"/>
  <c r="M117" i="8" s="1"/>
  <c r="M121" i="8" s="1"/>
  <c r="L120" i="8"/>
  <c r="K120" i="8"/>
  <c r="J120" i="8"/>
  <c r="J117" i="8" s="1"/>
  <c r="J121" i="8" s="1"/>
  <c r="I120" i="8"/>
  <c r="H120" i="8"/>
  <c r="G120" i="8"/>
  <c r="G117" i="8" s="1"/>
  <c r="G121" i="8" s="1"/>
  <c r="F120" i="8"/>
  <c r="T117" i="8"/>
  <c r="S117" i="8"/>
  <c r="Q117" i="8"/>
  <c r="Q121" i="8" s="1"/>
  <c r="P117" i="8"/>
  <c r="O117" i="8"/>
  <c r="O121" i="8" s="1"/>
  <c r="N117" i="8"/>
  <c r="L117" i="8"/>
  <c r="L121" i="8" s="1"/>
  <c r="K117" i="8"/>
  <c r="K121" i="8" s="1"/>
  <c r="I117" i="8"/>
  <c r="I121" i="8" s="1"/>
  <c r="H117" i="8"/>
  <c r="F117" i="8"/>
  <c r="T116" i="8"/>
  <c r="P116" i="8"/>
  <c r="N116" i="8"/>
  <c r="K116" i="8"/>
  <c r="I116" i="8"/>
  <c r="T115" i="8"/>
  <c r="S115" i="8"/>
  <c r="R115" i="8"/>
  <c r="Q115" i="8"/>
  <c r="P115" i="8"/>
  <c r="O115" i="8"/>
  <c r="N115" i="8"/>
  <c r="M115" i="8"/>
  <c r="L115" i="8"/>
  <c r="L112" i="8" s="1"/>
  <c r="L116" i="8" s="1"/>
  <c r="K115" i="8"/>
  <c r="J115" i="8"/>
  <c r="J112" i="8" s="1"/>
  <c r="J116" i="8" s="1"/>
  <c r="I115" i="8"/>
  <c r="H115" i="8"/>
  <c r="H112" i="8" s="1"/>
  <c r="H116" i="8" s="1"/>
  <c r="G115" i="8"/>
  <c r="G112" i="8" s="1"/>
  <c r="G116" i="8" s="1"/>
  <c r="F115" i="8"/>
  <c r="T112" i="8"/>
  <c r="S112" i="8"/>
  <c r="S116" i="8" s="1"/>
  <c r="R112" i="8"/>
  <c r="R116" i="8" s="1"/>
  <c r="Q112" i="8"/>
  <c r="Q116" i="8" s="1"/>
  <c r="P112" i="8"/>
  <c r="O112" i="8"/>
  <c r="O116" i="8" s="1"/>
  <c r="N112" i="8"/>
  <c r="M112" i="8"/>
  <c r="M116" i="8" s="1"/>
  <c r="K112" i="8"/>
  <c r="I112" i="8"/>
  <c r="F112" i="8"/>
  <c r="P111" i="8"/>
  <c r="N111" i="8"/>
  <c r="L111" i="8"/>
  <c r="J111" i="8"/>
  <c r="H111" i="8"/>
  <c r="T110" i="8"/>
  <c r="S110" i="8"/>
  <c r="R110" i="8"/>
  <c r="R107" i="8" s="1"/>
  <c r="R111" i="8" s="1"/>
  <c r="Q110" i="8"/>
  <c r="P110" i="8"/>
  <c r="O110" i="8"/>
  <c r="N110" i="8"/>
  <c r="M110" i="8"/>
  <c r="L110" i="8"/>
  <c r="K110" i="8"/>
  <c r="K107" i="8" s="1"/>
  <c r="K111" i="8" s="1"/>
  <c r="J110" i="8"/>
  <c r="I110" i="8"/>
  <c r="I107" i="8" s="1"/>
  <c r="I111" i="8" s="1"/>
  <c r="H110" i="8"/>
  <c r="G110" i="8"/>
  <c r="F110" i="8"/>
  <c r="F107" i="8" s="1"/>
  <c r="T107" i="8"/>
  <c r="T111" i="8" s="1"/>
  <c r="S107" i="8"/>
  <c r="S111" i="8" s="1"/>
  <c r="Q107" i="8"/>
  <c r="Q111" i="8" s="1"/>
  <c r="P107" i="8"/>
  <c r="O107" i="8"/>
  <c r="O111" i="8" s="1"/>
  <c r="N107" i="8"/>
  <c r="M107" i="8"/>
  <c r="M111" i="8" s="1"/>
  <c r="L107" i="8"/>
  <c r="J107" i="8"/>
  <c r="H107" i="8"/>
  <c r="G107" i="8"/>
  <c r="G111" i="8" s="1"/>
  <c r="T106" i="8"/>
  <c r="S106" i="8"/>
  <c r="P106" i="8"/>
  <c r="N106" i="8"/>
  <c r="M106" i="8"/>
  <c r="T105" i="8"/>
  <c r="S105" i="8"/>
  <c r="R105" i="8"/>
  <c r="Q105" i="8"/>
  <c r="P105" i="8"/>
  <c r="O105" i="8"/>
  <c r="N105" i="8"/>
  <c r="M105" i="8"/>
  <c r="L105" i="8"/>
  <c r="L102" i="8" s="1"/>
  <c r="L106" i="8" s="1"/>
  <c r="K105" i="8"/>
  <c r="K102" i="8" s="1"/>
  <c r="K106" i="8" s="1"/>
  <c r="J105" i="8"/>
  <c r="I105" i="8"/>
  <c r="H105" i="8"/>
  <c r="H102" i="8" s="1"/>
  <c r="H106" i="8" s="1"/>
  <c r="G105" i="8"/>
  <c r="F105" i="8"/>
  <c r="T102" i="8"/>
  <c r="S102" i="8"/>
  <c r="R102" i="8"/>
  <c r="R106" i="8" s="1"/>
  <c r="Q102" i="8"/>
  <c r="Q106" i="8" s="1"/>
  <c r="P102" i="8"/>
  <c r="O102" i="8"/>
  <c r="O106" i="8" s="1"/>
  <c r="N102" i="8"/>
  <c r="M102" i="8"/>
  <c r="J102" i="8"/>
  <c r="J106" i="8" s="1"/>
  <c r="I102" i="8"/>
  <c r="I106" i="8" s="1"/>
  <c r="G102" i="8"/>
  <c r="G106" i="8" s="1"/>
  <c r="F102" i="8"/>
  <c r="P101" i="8"/>
  <c r="N101" i="8"/>
  <c r="L101" i="8"/>
  <c r="I101" i="8"/>
  <c r="G101" i="8"/>
  <c r="T100" i="8"/>
  <c r="S100" i="8"/>
  <c r="R100" i="8"/>
  <c r="R97" i="8" s="1"/>
  <c r="R101" i="8" s="1"/>
  <c r="Q100" i="8"/>
  <c r="P100" i="8"/>
  <c r="O100" i="8"/>
  <c r="O97" i="8" s="1"/>
  <c r="O101" i="8" s="1"/>
  <c r="N100" i="8"/>
  <c r="M100" i="8"/>
  <c r="M97" i="8" s="1"/>
  <c r="M101" i="8" s="1"/>
  <c r="L100" i="8"/>
  <c r="K100" i="8"/>
  <c r="J100" i="8"/>
  <c r="J97" i="8" s="1"/>
  <c r="J101" i="8" s="1"/>
  <c r="I100" i="8"/>
  <c r="H100" i="8"/>
  <c r="H97" i="8" s="1"/>
  <c r="H101" i="8" s="1"/>
  <c r="G100" i="8"/>
  <c r="F100" i="8"/>
  <c r="F97" i="8" s="1"/>
  <c r="T97" i="8"/>
  <c r="T101" i="8" s="1"/>
  <c r="S97" i="8"/>
  <c r="S101" i="8" s="1"/>
  <c r="Q97" i="8"/>
  <c r="Q101" i="8" s="1"/>
  <c r="P97" i="8"/>
  <c r="N97" i="8"/>
  <c r="L97" i="8"/>
  <c r="K97" i="8"/>
  <c r="K101" i="8" s="1"/>
  <c r="I97" i="8"/>
  <c r="G97" i="8"/>
  <c r="T96" i="8"/>
  <c r="P96" i="8"/>
  <c r="I96" i="8"/>
  <c r="G96" i="8"/>
  <c r="T95" i="8"/>
  <c r="S95" i="8"/>
  <c r="R95" i="8"/>
  <c r="Q95" i="8"/>
  <c r="P95" i="8"/>
  <c r="O95" i="8"/>
  <c r="N95" i="8"/>
  <c r="M95" i="8"/>
  <c r="M92" i="8" s="1"/>
  <c r="M96" i="8" s="1"/>
  <c r="L95" i="8"/>
  <c r="K95" i="8"/>
  <c r="K92" i="8" s="1"/>
  <c r="K96" i="8" s="1"/>
  <c r="J95" i="8"/>
  <c r="J92" i="8" s="1"/>
  <c r="J96" i="8" s="1"/>
  <c r="I95" i="8"/>
  <c r="H95" i="8"/>
  <c r="H92" i="8" s="1"/>
  <c r="H96" i="8" s="1"/>
  <c r="G95" i="8"/>
  <c r="F95" i="8"/>
  <c r="T92" i="8"/>
  <c r="S92" i="8"/>
  <c r="S96" i="8" s="1"/>
  <c r="R92" i="8"/>
  <c r="R96" i="8" s="1"/>
  <c r="Q92" i="8"/>
  <c r="Q96" i="8" s="1"/>
  <c r="P92" i="8"/>
  <c r="O92" i="8"/>
  <c r="O96" i="8" s="1"/>
  <c r="N92" i="8"/>
  <c r="N96" i="8" s="1"/>
  <c r="L92" i="8"/>
  <c r="L96" i="8" s="1"/>
  <c r="I92" i="8"/>
  <c r="G92" i="8"/>
  <c r="F92" i="8"/>
  <c r="P91" i="8"/>
  <c r="O91" i="8"/>
  <c r="M91" i="8"/>
  <c r="T90" i="8"/>
  <c r="S90" i="8"/>
  <c r="R90" i="8"/>
  <c r="Q90" i="8"/>
  <c r="P90" i="8"/>
  <c r="O90" i="8"/>
  <c r="N90" i="8"/>
  <c r="T87" i="8" s="1"/>
  <c r="T91" i="8" s="1"/>
  <c r="M90" i="8"/>
  <c r="L90" i="8"/>
  <c r="L87" i="8" s="1"/>
  <c r="L91" i="8" s="1"/>
  <c r="K90" i="8"/>
  <c r="K87" i="8" s="1"/>
  <c r="K91" i="8" s="1"/>
  <c r="J90" i="8"/>
  <c r="I90" i="8"/>
  <c r="H90" i="8"/>
  <c r="H87" i="8" s="1"/>
  <c r="H91" i="8" s="1"/>
  <c r="G90" i="8"/>
  <c r="F90" i="8"/>
  <c r="F87" i="8" s="1"/>
  <c r="R87" i="8"/>
  <c r="R91" i="8" s="1"/>
  <c r="Q87" i="8"/>
  <c r="Q91" i="8" s="1"/>
  <c r="P87" i="8"/>
  <c r="O87" i="8"/>
  <c r="M87" i="8"/>
  <c r="J87" i="8"/>
  <c r="J91" i="8" s="1"/>
  <c r="I87" i="8"/>
  <c r="I91" i="8" s="1"/>
  <c r="G87" i="8"/>
  <c r="G91" i="8" s="1"/>
  <c r="P86" i="8"/>
  <c r="M86" i="8"/>
  <c r="J86" i="8"/>
  <c r="H86" i="8"/>
  <c r="T85" i="8"/>
  <c r="S85" i="8"/>
  <c r="R85" i="8"/>
  <c r="Q85" i="8"/>
  <c r="P85" i="8"/>
  <c r="O85" i="8"/>
  <c r="O82" i="8" s="1"/>
  <c r="O86" i="8" s="1"/>
  <c r="N85" i="8"/>
  <c r="T82" i="8" s="1"/>
  <c r="T86" i="8" s="1"/>
  <c r="M85" i="8"/>
  <c r="L85" i="8"/>
  <c r="K85" i="8"/>
  <c r="K82" i="8" s="1"/>
  <c r="K86" i="8" s="1"/>
  <c r="J85" i="8"/>
  <c r="I85" i="8"/>
  <c r="I82" i="8" s="1"/>
  <c r="I86" i="8" s="1"/>
  <c r="H85" i="8"/>
  <c r="G85" i="8"/>
  <c r="G82" i="8" s="1"/>
  <c r="G86" i="8" s="1"/>
  <c r="F85" i="8"/>
  <c r="F82" i="8" s="1"/>
  <c r="R82" i="8"/>
  <c r="R86" i="8" s="1"/>
  <c r="Q82" i="8"/>
  <c r="Q86" i="8" s="1"/>
  <c r="P82" i="8"/>
  <c r="M82" i="8"/>
  <c r="L82" i="8"/>
  <c r="L86" i="8" s="1"/>
  <c r="J82" i="8"/>
  <c r="H82" i="8"/>
  <c r="P81" i="8"/>
  <c r="L81" i="8"/>
  <c r="H81" i="8"/>
  <c r="T80" i="8"/>
  <c r="S80" i="8"/>
  <c r="R80" i="8"/>
  <c r="R77" i="8" s="1"/>
  <c r="R81" i="8" s="1"/>
  <c r="Q80" i="8"/>
  <c r="P80" i="8"/>
  <c r="O80" i="8"/>
  <c r="N80" i="8"/>
  <c r="N77" i="8" s="1"/>
  <c r="N81" i="8" s="1"/>
  <c r="M80" i="8"/>
  <c r="L80" i="8"/>
  <c r="K80" i="8"/>
  <c r="K77" i="8" s="1"/>
  <c r="K81" i="8" s="1"/>
  <c r="J80" i="8"/>
  <c r="J77" i="8" s="1"/>
  <c r="J81" i="8" s="1"/>
  <c r="I80" i="8"/>
  <c r="I77" i="8" s="1"/>
  <c r="I81" i="8" s="1"/>
  <c r="H80" i="8"/>
  <c r="G80" i="8"/>
  <c r="F80" i="8"/>
  <c r="F77" i="8" s="1"/>
  <c r="S77" i="8"/>
  <c r="S81" i="8" s="1"/>
  <c r="Q77" i="8"/>
  <c r="Q81" i="8" s="1"/>
  <c r="P77" i="8"/>
  <c r="O77" i="8"/>
  <c r="O81" i="8" s="1"/>
  <c r="M77" i="8"/>
  <c r="M81" i="8" s="1"/>
  <c r="L77" i="8"/>
  <c r="H77" i="8"/>
  <c r="G77" i="8"/>
  <c r="G81" i="8" s="1"/>
  <c r="P76" i="8"/>
  <c r="N76" i="8"/>
  <c r="G76" i="8"/>
  <c r="T75" i="8"/>
  <c r="S75" i="8"/>
  <c r="R75" i="8"/>
  <c r="Q75" i="8"/>
  <c r="P75" i="8"/>
  <c r="O75" i="8"/>
  <c r="O72" i="8" s="1"/>
  <c r="O76" i="8" s="1"/>
  <c r="N75" i="8"/>
  <c r="T72" i="8" s="1"/>
  <c r="T76" i="8" s="1"/>
  <c r="M75" i="8"/>
  <c r="M72" i="8" s="1"/>
  <c r="M76" i="8" s="1"/>
  <c r="L75" i="8"/>
  <c r="L72" i="8" s="1"/>
  <c r="L76" i="8" s="1"/>
  <c r="K75" i="8"/>
  <c r="J75" i="8"/>
  <c r="I75" i="8"/>
  <c r="I72" i="8" s="1"/>
  <c r="I76" i="8" s="1"/>
  <c r="H75" i="8"/>
  <c r="G75" i="8"/>
  <c r="F75" i="8"/>
  <c r="F72" i="8" s="1"/>
  <c r="R72" i="8"/>
  <c r="R76" i="8" s="1"/>
  <c r="Q72" i="8"/>
  <c r="Q76" i="8" s="1"/>
  <c r="P72" i="8"/>
  <c r="N72" i="8"/>
  <c r="K72" i="8"/>
  <c r="K76" i="8" s="1"/>
  <c r="J72" i="8"/>
  <c r="J76" i="8" s="1"/>
  <c r="H72" i="8"/>
  <c r="H76" i="8" s="1"/>
  <c r="G72" i="8"/>
  <c r="P71" i="8"/>
  <c r="N71" i="8"/>
  <c r="K71" i="8"/>
  <c r="I71" i="8"/>
  <c r="T70" i="8"/>
  <c r="S70" i="8"/>
  <c r="R70" i="8"/>
  <c r="Q70" i="8"/>
  <c r="P70" i="8"/>
  <c r="O70" i="8"/>
  <c r="O67" i="8" s="1"/>
  <c r="O71" i="8" s="1"/>
  <c r="N70" i="8"/>
  <c r="T67" i="8" s="1"/>
  <c r="T71" i="8" s="1"/>
  <c r="M70" i="8"/>
  <c r="L70" i="8"/>
  <c r="L67" i="8" s="1"/>
  <c r="L71" i="8" s="1"/>
  <c r="K70" i="8"/>
  <c r="J70" i="8"/>
  <c r="J67" i="8" s="1"/>
  <c r="J71" i="8" s="1"/>
  <c r="I70" i="8"/>
  <c r="H70" i="8"/>
  <c r="H67" i="8" s="1"/>
  <c r="H71" i="8" s="1"/>
  <c r="G70" i="8"/>
  <c r="G67" i="8" s="1"/>
  <c r="G71" i="8" s="1"/>
  <c r="F70" i="8"/>
  <c r="R67" i="8"/>
  <c r="R71" i="8" s="1"/>
  <c r="Q67" i="8"/>
  <c r="Q71" i="8" s="1"/>
  <c r="P67" i="8"/>
  <c r="N67" i="8"/>
  <c r="M67" i="8"/>
  <c r="M71" i="8" s="1"/>
  <c r="K67" i="8"/>
  <c r="I67" i="8"/>
  <c r="F67" i="8"/>
  <c r="P66" i="8"/>
  <c r="M66" i="8"/>
  <c r="I66" i="8"/>
  <c r="T65" i="8"/>
  <c r="S65" i="8"/>
  <c r="R65" i="8"/>
  <c r="R62" i="8" s="1"/>
  <c r="R66" i="8" s="1"/>
  <c r="Q65" i="8"/>
  <c r="P65" i="8"/>
  <c r="O65" i="8"/>
  <c r="O62" i="8" s="1"/>
  <c r="O66" i="8" s="1"/>
  <c r="N65" i="8"/>
  <c r="M65" i="8"/>
  <c r="L65" i="8"/>
  <c r="L62" i="8" s="1"/>
  <c r="L66" i="8" s="1"/>
  <c r="K65" i="8"/>
  <c r="K62" i="8" s="1"/>
  <c r="K66" i="8" s="1"/>
  <c r="J65" i="8"/>
  <c r="J62" i="8" s="1"/>
  <c r="J66" i="8" s="1"/>
  <c r="I65" i="8"/>
  <c r="H65" i="8"/>
  <c r="G65" i="8"/>
  <c r="G62" i="8" s="1"/>
  <c r="G66" i="8" s="1"/>
  <c r="F65" i="8"/>
  <c r="T62" i="8"/>
  <c r="T66" i="8" s="1"/>
  <c r="S62" i="8"/>
  <c r="S66" i="8" s="1"/>
  <c r="Q62" i="8"/>
  <c r="Q66" i="8" s="1"/>
  <c r="P62" i="8"/>
  <c r="N62" i="8"/>
  <c r="N66" i="8" s="1"/>
  <c r="M62" i="8"/>
  <c r="I62" i="8"/>
  <c r="H62" i="8"/>
  <c r="H66" i="8" s="1"/>
  <c r="F62" i="8"/>
  <c r="P61" i="8"/>
  <c r="O61" i="8"/>
  <c r="H61" i="8"/>
  <c r="T60" i="8"/>
  <c r="S60" i="8"/>
  <c r="R60" i="8"/>
  <c r="R57" i="8" s="1"/>
  <c r="R61" i="8" s="1"/>
  <c r="Q60" i="8"/>
  <c r="P60" i="8"/>
  <c r="O60" i="8"/>
  <c r="N60" i="8"/>
  <c r="T57" i="8" s="1"/>
  <c r="T61" i="8" s="1"/>
  <c r="M60" i="8"/>
  <c r="M57" i="8" s="1"/>
  <c r="M61" i="8" s="1"/>
  <c r="L60" i="8"/>
  <c r="K60" i="8"/>
  <c r="J60" i="8"/>
  <c r="J57" i="8" s="1"/>
  <c r="J61" i="8" s="1"/>
  <c r="I60" i="8"/>
  <c r="H60" i="8"/>
  <c r="G60" i="8"/>
  <c r="G57" i="8" s="1"/>
  <c r="G61" i="8" s="1"/>
  <c r="F60" i="8"/>
  <c r="F57" i="8" s="1"/>
  <c r="Q57" i="8"/>
  <c r="Q61" i="8" s="1"/>
  <c r="P57" i="8"/>
  <c r="O57" i="8"/>
  <c r="L57" i="8"/>
  <c r="L61" i="8" s="1"/>
  <c r="K57" i="8"/>
  <c r="K61" i="8" s="1"/>
  <c r="I57" i="8"/>
  <c r="I61" i="8" s="1"/>
  <c r="H57" i="8"/>
  <c r="T56" i="8"/>
  <c r="P56" i="8"/>
  <c r="O56" i="8"/>
  <c r="L56" i="8"/>
  <c r="J56" i="8"/>
  <c r="T55" i="8"/>
  <c r="S55" i="8"/>
  <c r="R55" i="8"/>
  <c r="R52" i="8" s="1"/>
  <c r="R56" i="8" s="1"/>
  <c r="Q55" i="8"/>
  <c r="P55" i="8"/>
  <c r="O55" i="8"/>
  <c r="N55" i="8"/>
  <c r="S52" i="8" s="1"/>
  <c r="S56" i="8" s="1"/>
  <c r="M55" i="8"/>
  <c r="M52" i="8" s="1"/>
  <c r="M56" i="8" s="1"/>
  <c r="L55" i="8"/>
  <c r="K55" i="8"/>
  <c r="K52" i="8" s="1"/>
  <c r="K56" i="8" s="1"/>
  <c r="J55" i="8"/>
  <c r="I55" i="8"/>
  <c r="I52" i="8" s="1"/>
  <c r="I56" i="8" s="1"/>
  <c r="H55" i="8"/>
  <c r="H52" i="8" s="1"/>
  <c r="H56" i="8" s="1"/>
  <c r="G55" i="8"/>
  <c r="F55" i="8"/>
  <c r="T52" i="8"/>
  <c r="Q52" i="8"/>
  <c r="Q56" i="8" s="1"/>
  <c r="P52" i="8"/>
  <c r="O52" i="8"/>
  <c r="N52" i="8"/>
  <c r="N56" i="8" s="1"/>
  <c r="L52" i="8"/>
  <c r="J52" i="8"/>
  <c r="G52" i="8"/>
  <c r="G56" i="8" s="1"/>
  <c r="F52" i="8"/>
  <c r="P51" i="8"/>
  <c r="N51" i="8"/>
  <c r="J51" i="8"/>
  <c r="G51" i="8"/>
  <c r="T50" i="8"/>
  <c r="S50" i="8"/>
  <c r="R50" i="8"/>
  <c r="Q50" i="8"/>
  <c r="P50" i="8"/>
  <c r="O50" i="8"/>
  <c r="N50" i="8"/>
  <c r="M50" i="8"/>
  <c r="M47" i="8" s="1"/>
  <c r="M51" i="8" s="1"/>
  <c r="L50" i="8"/>
  <c r="L47" i="8" s="1"/>
  <c r="L51" i="8" s="1"/>
  <c r="K50" i="8"/>
  <c r="K47" i="8" s="1"/>
  <c r="K51" i="8" s="1"/>
  <c r="J50" i="8"/>
  <c r="I50" i="8"/>
  <c r="H50" i="8"/>
  <c r="H47" i="8" s="1"/>
  <c r="H51" i="8" s="1"/>
  <c r="G50" i="8"/>
  <c r="F50" i="8"/>
  <c r="F47" i="8" s="1"/>
  <c r="T47" i="8"/>
  <c r="T51" i="8" s="1"/>
  <c r="S47" i="8"/>
  <c r="S51" i="8" s="1"/>
  <c r="R47" i="8"/>
  <c r="R51" i="8" s="1"/>
  <c r="Q47" i="8"/>
  <c r="Q51" i="8" s="1"/>
  <c r="P47" i="8"/>
  <c r="O47" i="8"/>
  <c r="O51" i="8" s="1"/>
  <c r="N47" i="8"/>
  <c r="J47" i="8"/>
  <c r="I47" i="8"/>
  <c r="I51" i="8" s="1"/>
  <c r="G47" i="8"/>
  <c r="P46" i="8"/>
  <c r="I46" i="8"/>
  <c r="T45" i="8"/>
  <c r="S45" i="8"/>
  <c r="R45" i="8"/>
  <c r="Q45" i="8"/>
  <c r="P45" i="8"/>
  <c r="O45" i="8"/>
  <c r="O42" i="8" s="1"/>
  <c r="O46" i="8" s="1"/>
  <c r="N45" i="8"/>
  <c r="T42" i="8" s="1"/>
  <c r="T46" i="8" s="1"/>
  <c r="M45" i="8"/>
  <c r="L45" i="8"/>
  <c r="K45" i="8"/>
  <c r="K42" i="8" s="1"/>
  <c r="K46" i="8" s="1"/>
  <c r="J45" i="8"/>
  <c r="I45" i="8"/>
  <c r="H45" i="8"/>
  <c r="H42" i="8" s="1"/>
  <c r="H46" i="8" s="1"/>
  <c r="G45" i="8"/>
  <c r="G42" i="8" s="1"/>
  <c r="G46" i="8" s="1"/>
  <c r="F45" i="8"/>
  <c r="F42" i="8" s="1"/>
  <c r="R42" i="8"/>
  <c r="R46" i="8" s="1"/>
  <c r="Q42" i="8"/>
  <c r="Q46" i="8" s="1"/>
  <c r="P42" i="8"/>
  <c r="M42" i="8"/>
  <c r="M46" i="8" s="1"/>
  <c r="L42" i="8"/>
  <c r="L46" i="8" s="1"/>
  <c r="J42" i="8"/>
  <c r="J46" i="8" s="1"/>
  <c r="I42" i="8"/>
  <c r="R41" i="8"/>
  <c r="O41" i="8"/>
  <c r="M41" i="8"/>
  <c r="T40" i="8"/>
  <c r="S40" i="8"/>
  <c r="R40" i="8"/>
  <c r="Q40" i="8"/>
  <c r="P40" i="8"/>
  <c r="P37" i="8" s="1"/>
  <c r="P41" i="8" s="1"/>
  <c r="O40" i="8"/>
  <c r="N40" i="8"/>
  <c r="T37" i="8" s="1"/>
  <c r="T41" i="8" s="1"/>
  <c r="M40" i="8"/>
  <c r="L40" i="8"/>
  <c r="L37" i="8" s="1"/>
  <c r="L41" i="8" s="1"/>
  <c r="K40" i="8"/>
  <c r="K37" i="8" s="1"/>
  <c r="K41" i="8" s="1"/>
  <c r="J40" i="8"/>
  <c r="I40" i="8"/>
  <c r="H40" i="8"/>
  <c r="H37" i="8" s="1"/>
  <c r="H41" i="8" s="1"/>
  <c r="G40" i="8"/>
  <c r="F40" i="8"/>
  <c r="R37" i="8"/>
  <c r="Q37" i="8"/>
  <c r="Q41" i="8" s="1"/>
  <c r="O37" i="8"/>
  <c r="M37" i="8"/>
  <c r="J37" i="8"/>
  <c r="J41" i="8" s="1"/>
  <c r="I37" i="8"/>
  <c r="I41" i="8" s="1"/>
  <c r="G37" i="8"/>
  <c r="G41" i="8" s="1"/>
  <c r="F37" i="8"/>
  <c r="R36" i="8"/>
  <c r="O36" i="8"/>
  <c r="M36" i="8"/>
  <c r="K36" i="8"/>
  <c r="G36" i="8"/>
  <c r="T35" i="8"/>
  <c r="S35" i="8"/>
  <c r="R35" i="8"/>
  <c r="Q35" i="8"/>
  <c r="P35" i="8"/>
  <c r="O35" i="8"/>
  <c r="N35" i="8"/>
  <c r="T32" i="8" s="1"/>
  <c r="T36" i="8" s="1"/>
  <c r="M35" i="8"/>
  <c r="L35" i="8"/>
  <c r="L32" i="8" s="1"/>
  <c r="L36" i="8" s="1"/>
  <c r="K35" i="8"/>
  <c r="J35" i="8"/>
  <c r="J32" i="8" s="1"/>
  <c r="J36" i="8" s="1"/>
  <c r="I35" i="8"/>
  <c r="H35" i="8"/>
  <c r="G35" i="8"/>
  <c r="F35" i="8"/>
  <c r="R32" i="8"/>
  <c r="Q32" i="8"/>
  <c r="Q36" i="8" s="1"/>
  <c r="P32" i="8"/>
  <c r="P36" i="8" s="1"/>
  <c r="O32" i="8"/>
  <c r="N32" i="8"/>
  <c r="N36" i="8" s="1"/>
  <c r="M32" i="8"/>
  <c r="K32" i="8"/>
  <c r="I32" i="8"/>
  <c r="I36" i="8" s="1"/>
  <c r="H32" i="8"/>
  <c r="H36" i="8" s="1"/>
  <c r="G32" i="8"/>
  <c r="F32" i="8"/>
  <c r="F36" i="8" s="1"/>
  <c r="R31" i="8"/>
  <c r="O31" i="8"/>
  <c r="M31" i="8"/>
  <c r="K31" i="8"/>
  <c r="G31" i="8"/>
  <c r="T30" i="8"/>
  <c r="S30" i="8"/>
  <c r="R30" i="8"/>
  <c r="Q30" i="8"/>
  <c r="P30" i="8"/>
  <c r="O30" i="8"/>
  <c r="N30" i="8"/>
  <c r="T27" i="8" s="1"/>
  <c r="T31" i="8" s="1"/>
  <c r="M30" i="8"/>
  <c r="L30" i="8"/>
  <c r="K30" i="8"/>
  <c r="J30" i="8"/>
  <c r="J27" i="8" s="1"/>
  <c r="J31" i="8" s="1"/>
  <c r="I30" i="8"/>
  <c r="I27" i="8" s="1"/>
  <c r="I31" i="8" s="1"/>
  <c r="H30" i="8"/>
  <c r="G30" i="8"/>
  <c r="F30" i="8"/>
  <c r="R27" i="8"/>
  <c r="Q27" i="8"/>
  <c r="Q31" i="8" s="1"/>
  <c r="P27" i="8"/>
  <c r="P31" i="8" s="1"/>
  <c r="O27" i="8"/>
  <c r="N27" i="8"/>
  <c r="N31" i="8" s="1"/>
  <c r="M27" i="8"/>
  <c r="L27" i="8"/>
  <c r="L31" i="8" s="1"/>
  <c r="K27" i="8"/>
  <c r="H27" i="8"/>
  <c r="H31" i="8" s="1"/>
  <c r="G27" i="8"/>
  <c r="F27" i="8"/>
  <c r="F31" i="8" s="1"/>
  <c r="R26" i="8"/>
  <c r="O26" i="8"/>
  <c r="M26" i="8"/>
  <c r="K26" i="8"/>
  <c r="G26" i="8"/>
  <c r="T25" i="8"/>
  <c r="S25" i="8"/>
  <c r="R25" i="8"/>
  <c r="Q25" i="8"/>
  <c r="P25" i="8"/>
  <c r="O25" i="8"/>
  <c r="N25" i="8"/>
  <c r="T22" i="8" s="1"/>
  <c r="T26" i="8" s="1"/>
  <c r="M25" i="8"/>
  <c r="L25" i="8"/>
  <c r="L22" i="8" s="1"/>
  <c r="L26" i="8" s="1"/>
  <c r="K25" i="8"/>
  <c r="J25" i="8"/>
  <c r="J22" i="8" s="1"/>
  <c r="J26" i="8" s="1"/>
  <c r="I25" i="8"/>
  <c r="I22" i="8" s="1"/>
  <c r="I26" i="8" s="1"/>
  <c r="H25" i="8"/>
  <c r="G25" i="8"/>
  <c r="F25" i="8"/>
  <c r="R22" i="8"/>
  <c r="Q22" i="8"/>
  <c r="Q26" i="8" s="1"/>
  <c r="P22" i="8"/>
  <c r="P26" i="8" s="1"/>
  <c r="O22" i="8"/>
  <c r="N22" i="8"/>
  <c r="N26" i="8" s="1"/>
  <c r="M22" i="8"/>
  <c r="K22" i="8"/>
  <c r="H22" i="8"/>
  <c r="H26" i="8" s="1"/>
  <c r="G22" i="8"/>
  <c r="F22" i="8"/>
  <c r="F26" i="8" s="1"/>
  <c r="R21" i="8"/>
  <c r="O21" i="8"/>
  <c r="M21" i="8"/>
  <c r="K21" i="8"/>
  <c r="G21" i="8"/>
  <c r="T20" i="8"/>
  <c r="S20" i="8"/>
  <c r="R20" i="8"/>
  <c r="Q20" i="8"/>
  <c r="P20" i="8"/>
  <c r="O20" i="8"/>
  <c r="N20" i="8"/>
  <c r="T17" i="8" s="1"/>
  <c r="T21" i="8" s="1"/>
  <c r="M20" i="8"/>
  <c r="L20" i="8"/>
  <c r="L17" i="8" s="1"/>
  <c r="L21" i="8" s="1"/>
  <c r="K20" i="8"/>
  <c r="J20" i="8"/>
  <c r="J17" i="8" s="1"/>
  <c r="J21" i="8" s="1"/>
  <c r="I20" i="8"/>
  <c r="I17" i="8" s="1"/>
  <c r="I21" i="8" s="1"/>
  <c r="H20" i="8"/>
  <c r="G20" i="8"/>
  <c r="F20" i="8"/>
  <c r="R17" i="8"/>
  <c r="Q17" i="8"/>
  <c r="Q21" i="8" s="1"/>
  <c r="P17" i="8"/>
  <c r="P21" i="8" s="1"/>
  <c r="O17" i="8"/>
  <c r="N17" i="8"/>
  <c r="N21" i="8" s="1"/>
  <c r="M17" i="8"/>
  <c r="K17" i="8"/>
  <c r="H17" i="8"/>
  <c r="H21" i="8" s="1"/>
  <c r="G17" i="8"/>
  <c r="F17" i="8"/>
  <c r="F21" i="8" s="1"/>
  <c r="R16" i="8"/>
  <c r="O16" i="8"/>
  <c r="M16" i="8"/>
  <c r="K16" i="8"/>
  <c r="G16" i="8"/>
  <c r="T15" i="8"/>
  <c r="S15" i="8"/>
  <c r="R15" i="8"/>
  <c r="Q15" i="8"/>
  <c r="P15" i="8"/>
  <c r="O15" i="8"/>
  <c r="N15" i="8"/>
  <c r="T12" i="8" s="1"/>
  <c r="T16" i="8" s="1"/>
  <c r="M15" i="8"/>
  <c r="L15" i="8"/>
  <c r="L12" i="8" s="1"/>
  <c r="L16" i="8" s="1"/>
  <c r="K15" i="8"/>
  <c r="J15" i="8"/>
  <c r="J12" i="8" s="1"/>
  <c r="J16" i="8" s="1"/>
  <c r="I15" i="8"/>
  <c r="I12" i="8" s="1"/>
  <c r="I16" i="8" s="1"/>
  <c r="H15" i="8"/>
  <c r="G15" i="8"/>
  <c r="F15" i="8"/>
  <c r="R12" i="8"/>
  <c r="Q12" i="8"/>
  <c r="Q16" i="8" s="1"/>
  <c r="P12" i="8"/>
  <c r="P16" i="8" s="1"/>
  <c r="O12" i="8"/>
  <c r="N12" i="8"/>
  <c r="N16" i="8" s="1"/>
  <c r="M12" i="8"/>
  <c r="K12" i="8"/>
  <c r="H12" i="8"/>
  <c r="H16" i="8" s="1"/>
  <c r="G12" i="8"/>
  <c r="F12" i="8"/>
  <c r="F16" i="8" s="1"/>
  <c r="R11" i="8"/>
  <c r="O11" i="8"/>
  <c r="M11" i="8"/>
  <c r="K11" i="8"/>
  <c r="J11" i="8"/>
  <c r="G11" i="8"/>
  <c r="T10" i="8"/>
  <c r="S10" i="8"/>
  <c r="R10" i="8"/>
  <c r="Q10" i="8"/>
  <c r="P10" i="8"/>
  <c r="O10" i="8"/>
  <c r="N10" i="8"/>
  <c r="T7" i="8" s="1"/>
  <c r="T11" i="8" s="1"/>
  <c r="M10" i="8"/>
  <c r="L10" i="8"/>
  <c r="L7" i="8" s="1"/>
  <c r="L11" i="8" s="1"/>
  <c r="K10" i="8"/>
  <c r="J10" i="8"/>
  <c r="I10" i="8"/>
  <c r="I7" i="8" s="1"/>
  <c r="I11" i="8" s="1"/>
  <c r="H10" i="8"/>
  <c r="G10" i="8"/>
  <c r="F10" i="8"/>
  <c r="R7" i="8"/>
  <c r="Q7" i="8"/>
  <c r="Q11" i="8" s="1"/>
  <c r="P7" i="8"/>
  <c r="P11" i="8" s="1"/>
  <c r="O7" i="8"/>
  <c r="N7" i="8"/>
  <c r="N11" i="8" s="1"/>
  <c r="M7" i="8"/>
  <c r="K7" i="8"/>
  <c r="J7" i="8"/>
  <c r="H7" i="8"/>
  <c r="H11" i="8" s="1"/>
  <c r="G7" i="8"/>
  <c r="F7" i="8"/>
  <c r="F11" i="8" s="1"/>
  <c r="M384" i="7"/>
  <c r="L384" i="7"/>
  <c r="K384" i="7"/>
  <c r="K381" i="7" s="1"/>
  <c r="K385" i="7" s="1"/>
  <c r="J384" i="7"/>
  <c r="J381" i="7" s="1"/>
  <c r="J385" i="7" s="1"/>
  <c r="I384" i="7"/>
  <c r="I381" i="7" s="1"/>
  <c r="I385" i="7" s="1"/>
  <c r="H384" i="7"/>
  <c r="H381" i="7" s="1"/>
  <c r="H385" i="7" s="1"/>
  <c r="G384" i="7"/>
  <c r="F384" i="7"/>
  <c r="F381" i="7"/>
  <c r="J380" i="7"/>
  <c r="I380" i="7"/>
  <c r="M379" i="7"/>
  <c r="L379" i="7"/>
  <c r="K379" i="7"/>
  <c r="J379" i="7"/>
  <c r="I379" i="7"/>
  <c r="H379" i="7"/>
  <c r="H376" i="7" s="1"/>
  <c r="H380" i="7" s="1"/>
  <c r="G379" i="7"/>
  <c r="G376" i="7" s="1"/>
  <c r="G380" i="7" s="1"/>
  <c r="F379" i="7"/>
  <c r="F376" i="7" s="1"/>
  <c r="M376" i="7"/>
  <c r="M380" i="7" s="1"/>
  <c r="L376" i="7"/>
  <c r="L380" i="7" s="1"/>
  <c r="K376" i="7"/>
  <c r="K380" i="7" s="1"/>
  <c r="J376" i="7"/>
  <c r="I376" i="7"/>
  <c r="K375" i="7"/>
  <c r="J375" i="7"/>
  <c r="I375" i="7"/>
  <c r="M374" i="7"/>
  <c r="L374" i="7"/>
  <c r="K374" i="7"/>
  <c r="J374" i="7"/>
  <c r="I374" i="7"/>
  <c r="H374" i="7"/>
  <c r="G374" i="7"/>
  <c r="M371" i="7" s="1"/>
  <c r="F374" i="7"/>
  <c r="L371" i="7"/>
  <c r="L375" i="7" s="1"/>
  <c r="K371" i="7"/>
  <c r="J371" i="7"/>
  <c r="I371" i="7"/>
  <c r="H371" i="7"/>
  <c r="H375" i="7" s="1"/>
  <c r="G371" i="7"/>
  <c r="G375" i="7" s="1"/>
  <c r="F371" i="7"/>
  <c r="F370" i="7"/>
  <c r="M369" i="7"/>
  <c r="L369" i="7"/>
  <c r="K369" i="7"/>
  <c r="K366" i="7" s="1"/>
  <c r="K370" i="7" s="1"/>
  <c r="J369" i="7"/>
  <c r="J366" i="7" s="1"/>
  <c r="J370" i="7" s="1"/>
  <c r="I369" i="7"/>
  <c r="I366" i="7" s="1"/>
  <c r="I370" i="7" s="1"/>
  <c r="H369" i="7"/>
  <c r="H366" i="7" s="1"/>
  <c r="H370" i="7" s="1"/>
  <c r="G369" i="7"/>
  <c r="M366" i="7" s="1"/>
  <c r="M370" i="7" s="1"/>
  <c r="F369" i="7"/>
  <c r="G366" i="7"/>
  <c r="G370" i="7" s="1"/>
  <c r="F366" i="7"/>
  <c r="K365" i="7"/>
  <c r="J365" i="7"/>
  <c r="M364" i="7"/>
  <c r="L364" i="7"/>
  <c r="K364" i="7"/>
  <c r="J364" i="7"/>
  <c r="I364" i="7"/>
  <c r="I361" i="7" s="1"/>
  <c r="I365" i="7" s="1"/>
  <c r="H364" i="7"/>
  <c r="H361" i="7" s="1"/>
  <c r="H365" i="7" s="1"/>
  <c r="G364" i="7"/>
  <c r="G361" i="7" s="1"/>
  <c r="G365" i="7" s="1"/>
  <c r="F364" i="7"/>
  <c r="F361" i="7" s="1"/>
  <c r="M361" i="7"/>
  <c r="M365" i="7" s="1"/>
  <c r="L361" i="7"/>
  <c r="L365" i="7" s="1"/>
  <c r="K361" i="7"/>
  <c r="J361" i="7"/>
  <c r="L360" i="7"/>
  <c r="K360" i="7"/>
  <c r="J360" i="7"/>
  <c r="F360" i="7"/>
  <c r="M359" i="7"/>
  <c r="L359" i="7"/>
  <c r="K359" i="7"/>
  <c r="J359" i="7"/>
  <c r="I359" i="7"/>
  <c r="H359" i="7"/>
  <c r="G359" i="7"/>
  <c r="F359" i="7"/>
  <c r="M356" i="7"/>
  <c r="M360" i="7" s="1"/>
  <c r="L356" i="7"/>
  <c r="K356" i="7"/>
  <c r="J356" i="7"/>
  <c r="I356" i="7"/>
  <c r="I360" i="7" s="1"/>
  <c r="H356" i="7"/>
  <c r="H360" i="7" s="1"/>
  <c r="G356" i="7"/>
  <c r="G360" i="7" s="1"/>
  <c r="F356" i="7"/>
  <c r="G355" i="7"/>
  <c r="F355" i="7"/>
  <c r="M354" i="7"/>
  <c r="L354" i="7"/>
  <c r="K354" i="7"/>
  <c r="K351" i="7" s="1"/>
  <c r="K355" i="7" s="1"/>
  <c r="J354" i="7"/>
  <c r="J351" i="7" s="1"/>
  <c r="J355" i="7" s="1"/>
  <c r="I354" i="7"/>
  <c r="I351" i="7" s="1"/>
  <c r="I355" i="7" s="1"/>
  <c r="H354" i="7"/>
  <c r="G354" i="7"/>
  <c r="M351" i="7" s="1"/>
  <c r="M355" i="7" s="1"/>
  <c r="F354" i="7"/>
  <c r="H351" i="7"/>
  <c r="H355" i="7" s="1"/>
  <c r="G351" i="7"/>
  <c r="F351" i="7"/>
  <c r="M350" i="7"/>
  <c r="L350" i="7"/>
  <c r="M349" i="7"/>
  <c r="L349" i="7"/>
  <c r="K349" i="7"/>
  <c r="K346" i="7" s="1"/>
  <c r="K350" i="7" s="1"/>
  <c r="J349" i="7"/>
  <c r="J346" i="7" s="1"/>
  <c r="J350" i="7" s="1"/>
  <c r="I349" i="7"/>
  <c r="I346" i="7" s="1"/>
  <c r="I350" i="7" s="1"/>
  <c r="H349" i="7"/>
  <c r="H346" i="7" s="1"/>
  <c r="H350" i="7" s="1"/>
  <c r="G349" i="7"/>
  <c r="G346" i="7" s="1"/>
  <c r="G350" i="7" s="1"/>
  <c r="F349" i="7"/>
  <c r="F346" i="7" s="1"/>
  <c r="F350" i="7" s="1"/>
  <c r="N346" i="7"/>
  <c r="M346" i="7"/>
  <c r="L346" i="7"/>
  <c r="M345" i="7"/>
  <c r="L345" i="7"/>
  <c r="K345" i="7"/>
  <c r="G345" i="7"/>
  <c r="M344" i="7"/>
  <c r="L344" i="7"/>
  <c r="K344" i="7"/>
  <c r="J344" i="7"/>
  <c r="I344" i="7"/>
  <c r="H344" i="7"/>
  <c r="G344" i="7"/>
  <c r="F344" i="7"/>
  <c r="F341" i="7" s="1"/>
  <c r="F345" i="7" s="1"/>
  <c r="N341" i="7"/>
  <c r="M341" i="7"/>
  <c r="L341" i="7"/>
  <c r="K341" i="7"/>
  <c r="J341" i="7"/>
  <c r="J345" i="7" s="1"/>
  <c r="I341" i="7"/>
  <c r="I345" i="7" s="1"/>
  <c r="H341" i="7"/>
  <c r="H345" i="7" s="1"/>
  <c r="G341" i="7"/>
  <c r="H340" i="7"/>
  <c r="G340" i="7"/>
  <c r="F340" i="7"/>
  <c r="M339" i="7"/>
  <c r="L339" i="7"/>
  <c r="K339" i="7"/>
  <c r="K336" i="7" s="1"/>
  <c r="K340" i="7" s="1"/>
  <c r="J339" i="7"/>
  <c r="J336" i="7" s="1"/>
  <c r="J340" i="7" s="1"/>
  <c r="I339" i="7"/>
  <c r="H339" i="7"/>
  <c r="G339" i="7"/>
  <c r="F339" i="7"/>
  <c r="M336" i="7"/>
  <c r="M340" i="7" s="1"/>
  <c r="L336" i="7"/>
  <c r="L340" i="7" s="1"/>
  <c r="I336" i="7"/>
  <c r="I340" i="7" s="1"/>
  <c r="H336" i="7"/>
  <c r="G336" i="7"/>
  <c r="F336" i="7"/>
  <c r="M335" i="7"/>
  <c r="M334" i="7"/>
  <c r="L334" i="7"/>
  <c r="K334" i="7"/>
  <c r="K331" i="7" s="1"/>
  <c r="K335" i="7" s="1"/>
  <c r="J334" i="7"/>
  <c r="J331" i="7" s="1"/>
  <c r="J335" i="7" s="1"/>
  <c r="I334" i="7"/>
  <c r="I331" i="7" s="1"/>
  <c r="I335" i="7" s="1"/>
  <c r="H334" i="7"/>
  <c r="H331" i="7" s="1"/>
  <c r="H335" i="7" s="1"/>
  <c r="G334" i="7"/>
  <c r="M331" i="7" s="1"/>
  <c r="F334" i="7"/>
  <c r="F331" i="7" s="1"/>
  <c r="F335" i="7" s="1"/>
  <c r="M330" i="7"/>
  <c r="L330" i="7"/>
  <c r="I330" i="7"/>
  <c r="H330" i="7"/>
  <c r="M329" i="7"/>
  <c r="L329" i="7"/>
  <c r="K329" i="7"/>
  <c r="J329" i="7"/>
  <c r="I329" i="7"/>
  <c r="H329" i="7"/>
  <c r="G329" i="7"/>
  <c r="G326" i="7" s="1"/>
  <c r="G330" i="7" s="1"/>
  <c r="F329" i="7"/>
  <c r="F326" i="7" s="1"/>
  <c r="M326" i="7"/>
  <c r="L326" i="7"/>
  <c r="K326" i="7"/>
  <c r="K330" i="7" s="1"/>
  <c r="J326" i="7"/>
  <c r="J330" i="7" s="1"/>
  <c r="I326" i="7"/>
  <c r="H326" i="7"/>
  <c r="I325" i="7"/>
  <c r="H325" i="7"/>
  <c r="G325" i="7"/>
  <c r="M324" i="7"/>
  <c r="L324" i="7"/>
  <c r="L325" i="7" s="1"/>
  <c r="K324" i="7"/>
  <c r="K321" i="7" s="1"/>
  <c r="K325" i="7" s="1"/>
  <c r="J324" i="7"/>
  <c r="I324" i="7"/>
  <c r="H324" i="7"/>
  <c r="G324" i="7"/>
  <c r="F324" i="7"/>
  <c r="M321" i="7"/>
  <c r="M325" i="7" s="1"/>
  <c r="L321" i="7"/>
  <c r="J321" i="7"/>
  <c r="J325" i="7" s="1"/>
  <c r="I321" i="7"/>
  <c r="H321" i="7"/>
  <c r="G321" i="7"/>
  <c r="F321" i="7"/>
  <c r="M319" i="7"/>
  <c r="L319" i="7"/>
  <c r="K319" i="7"/>
  <c r="K316" i="7" s="1"/>
  <c r="K320" i="7" s="1"/>
  <c r="J319" i="7"/>
  <c r="J316" i="7" s="1"/>
  <c r="J320" i="7" s="1"/>
  <c r="I319" i="7"/>
  <c r="I316" i="7" s="1"/>
  <c r="I320" i="7" s="1"/>
  <c r="H319" i="7"/>
  <c r="H316" i="7" s="1"/>
  <c r="H320" i="7" s="1"/>
  <c r="G319" i="7"/>
  <c r="F319" i="7"/>
  <c r="F316" i="7" s="1"/>
  <c r="I315" i="7"/>
  <c r="M314" i="7"/>
  <c r="L314" i="7"/>
  <c r="K314" i="7"/>
  <c r="J314" i="7"/>
  <c r="I314" i="7"/>
  <c r="H314" i="7"/>
  <c r="H311" i="7" s="1"/>
  <c r="H315" i="7" s="1"/>
  <c r="G314" i="7"/>
  <c r="F314" i="7"/>
  <c r="F311" i="7" s="1"/>
  <c r="K311" i="7"/>
  <c r="K315" i="7" s="1"/>
  <c r="J311" i="7"/>
  <c r="J315" i="7" s="1"/>
  <c r="I311" i="7"/>
  <c r="J310" i="7"/>
  <c r="I310" i="7"/>
  <c r="H310" i="7"/>
  <c r="M309" i="7"/>
  <c r="L309" i="7"/>
  <c r="K309" i="7"/>
  <c r="J309" i="7"/>
  <c r="I309" i="7"/>
  <c r="H309" i="7"/>
  <c r="G309" i="7"/>
  <c r="M306" i="7" s="1"/>
  <c r="M310" i="7" s="1"/>
  <c r="F309" i="7"/>
  <c r="L306" i="7"/>
  <c r="L310" i="7" s="1"/>
  <c r="K306" i="7"/>
  <c r="K310" i="7" s="1"/>
  <c r="J306" i="7"/>
  <c r="I306" i="7"/>
  <c r="H306" i="7"/>
  <c r="G306" i="7"/>
  <c r="G310" i="7" s="1"/>
  <c r="F306" i="7"/>
  <c r="M304" i="7"/>
  <c r="L304" i="7"/>
  <c r="K304" i="7"/>
  <c r="K301" i="7" s="1"/>
  <c r="K305" i="7" s="1"/>
  <c r="J304" i="7"/>
  <c r="J301" i="7" s="1"/>
  <c r="J305" i="7" s="1"/>
  <c r="I304" i="7"/>
  <c r="I301" i="7" s="1"/>
  <c r="I305" i="7" s="1"/>
  <c r="H304" i="7"/>
  <c r="H301" i="7" s="1"/>
  <c r="H305" i="7" s="1"/>
  <c r="G304" i="7"/>
  <c r="F304" i="7"/>
  <c r="F301" i="7"/>
  <c r="K300" i="7"/>
  <c r="J300" i="7"/>
  <c r="I300" i="7"/>
  <c r="M299" i="7"/>
  <c r="L299" i="7"/>
  <c r="K299" i="7"/>
  <c r="J299" i="7"/>
  <c r="I299" i="7"/>
  <c r="H299" i="7"/>
  <c r="H296" i="7" s="1"/>
  <c r="H300" i="7" s="1"/>
  <c r="G299" i="7"/>
  <c r="G296" i="7" s="1"/>
  <c r="G300" i="7" s="1"/>
  <c r="F299" i="7"/>
  <c r="F296" i="7" s="1"/>
  <c r="M296" i="7"/>
  <c r="M300" i="7" s="1"/>
  <c r="L296" i="7"/>
  <c r="L300" i="7" s="1"/>
  <c r="K296" i="7"/>
  <c r="J296" i="7"/>
  <c r="I296" i="7"/>
  <c r="K295" i="7"/>
  <c r="J295" i="7"/>
  <c r="I295" i="7"/>
  <c r="M294" i="7"/>
  <c r="L294" i="7"/>
  <c r="K294" i="7"/>
  <c r="J294" i="7"/>
  <c r="I294" i="7"/>
  <c r="H294" i="7"/>
  <c r="G294" i="7"/>
  <c r="F294" i="7"/>
  <c r="M291" i="7"/>
  <c r="M295" i="7" s="1"/>
  <c r="L291" i="7"/>
  <c r="L295" i="7" s="1"/>
  <c r="K291" i="7"/>
  <c r="J291" i="7"/>
  <c r="I291" i="7"/>
  <c r="H291" i="7"/>
  <c r="H295" i="7" s="1"/>
  <c r="G291" i="7"/>
  <c r="G295" i="7" s="1"/>
  <c r="F291" i="7"/>
  <c r="N291" i="7" s="1"/>
  <c r="F290" i="7"/>
  <c r="M289" i="7"/>
  <c r="L289" i="7"/>
  <c r="K289" i="7"/>
  <c r="K286" i="7" s="1"/>
  <c r="K290" i="7" s="1"/>
  <c r="J289" i="7"/>
  <c r="J286" i="7" s="1"/>
  <c r="J290" i="7" s="1"/>
  <c r="I289" i="7"/>
  <c r="I286" i="7" s="1"/>
  <c r="I290" i="7" s="1"/>
  <c r="H289" i="7"/>
  <c r="H286" i="7" s="1"/>
  <c r="H290" i="7" s="1"/>
  <c r="G289" i="7"/>
  <c r="M286" i="7" s="1"/>
  <c r="M290" i="7" s="1"/>
  <c r="F289" i="7"/>
  <c r="G286" i="7"/>
  <c r="G290" i="7" s="1"/>
  <c r="F286" i="7"/>
  <c r="L285" i="7"/>
  <c r="K285" i="7"/>
  <c r="J285" i="7"/>
  <c r="M284" i="7"/>
  <c r="L284" i="7"/>
  <c r="K284" i="7"/>
  <c r="J284" i="7"/>
  <c r="I284" i="7"/>
  <c r="I281" i="7" s="1"/>
  <c r="I285" i="7" s="1"/>
  <c r="H284" i="7"/>
  <c r="H281" i="7" s="1"/>
  <c r="H285" i="7" s="1"/>
  <c r="G284" i="7"/>
  <c r="G281" i="7" s="1"/>
  <c r="G285" i="7" s="1"/>
  <c r="F284" i="7"/>
  <c r="F281" i="7" s="1"/>
  <c r="M281" i="7"/>
  <c r="M285" i="7" s="1"/>
  <c r="L281" i="7"/>
  <c r="K281" i="7"/>
  <c r="J281" i="7"/>
  <c r="K280" i="7"/>
  <c r="G280" i="7"/>
  <c r="F280" i="7"/>
  <c r="M279" i="7"/>
  <c r="L279" i="7"/>
  <c r="L276" i="7" s="1"/>
  <c r="L280" i="7" s="1"/>
  <c r="K279" i="7"/>
  <c r="J279" i="7"/>
  <c r="J276" i="7" s="1"/>
  <c r="J280" i="7" s="1"/>
  <c r="I279" i="7"/>
  <c r="I276" i="7" s="1"/>
  <c r="I280" i="7" s="1"/>
  <c r="H279" i="7"/>
  <c r="G279" i="7"/>
  <c r="F279" i="7"/>
  <c r="F276" i="7" s="1"/>
  <c r="M276" i="7"/>
  <c r="M280" i="7" s="1"/>
  <c r="K276" i="7"/>
  <c r="H276" i="7"/>
  <c r="H280" i="7" s="1"/>
  <c r="G276" i="7"/>
  <c r="K275" i="7"/>
  <c r="I275" i="7"/>
  <c r="G275" i="7"/>
  <c r="F275" i="7"/>
  <c r="M274" i="7"/>
  <c r="L274" i="7"/>
  <c r="K274" i="7"/>
  <c r="J274" i="7"/>
  <c r="I274" i="7"/>
  <c r="I271" i="7" s="1"/>
  <c r="H274" i="7"/>
  <c r="G274" i="7"/>
  <c r="G271" i="7" s="1"/>
  <c r="F274" i="7"/>
  <c r="M271" i="7"/>
  <c r="M275" i="7" s="1"/>
  <c r="L271" i="7"/>
  <c r="L275" i="7" s="1"/>
  <c r="K271" i="7"/>
  <c r="J271" i="7"/>
  <c r="J275" i="7" s="1"/>
  <c r="H271" i="7"/>
  <c r="H275" i="7" s="1"/>
  <c r="F271" i="7"/>
  <c r="M270" i="7"/>
  <c r="G270" i="7"/>
  <c r="F270" i="7"/>
  <c r="M269" i="7"/>
  <c r="L269" i="7"/>
  <c r="L266" i="7" s="1"/>
  <c r="L270" i="7" s="1"/>
  <c r="K269" i="7"/>
  <c r="J269" i="7"/>
  <c r="J266" i="7" s="1"/>
  <c r="J270" i="7" s="1"/>
  <c r="I269" i="7"/>
  <c r="I266" i="7" s="1"/>
  <c r="I270" i="7" s="1"/>
  <c r="H269" i="7"/>
  <c r="G269" i="7"/>
  <c r="F269" i="7"/>
  <c r="N266" i="7"/>
  <c r="M266" i="7"/>
  <c r="K266" i="7"/>
  <c r="K270" i="7" s="1"/>
  <c r="H266" i="7"/>
  <c r="H270" i="7" s="1"/>
  <c r="G266" i="7"/>
  <c r="F266" i="7"/>
  <c r="L265" i="7"/>
  <c r="M264" i="7"/>
  <c r="M261" i="7" s="1"/>
  <c r="M265" i="7" s="1"/>
  <c r="L264" i="7"/>
  <c r="K264" i="7"/>
  <c r="K261" i="7" s="1"/>
  <c r="K265" i="7" s="1"/>
  <c r="J264" i="7"/>
  <c r="J261" i="7" s="1"/>
  <c r="J265" i="7" s="1"/>
  <c r="I264" i="7"/>
  <c r="I261" i="7" s="1"/>
  <c r="I265" i="7" s="1"/>
  <c r="H264" i="7"/>
  <c r="H261" i="7" s="1"/>
  <c r="G264" i="7"/>
  <c r="G261" i="7" s="1"/>
  <c r="G265" i="7" s="1"/>
  <c r="F264" i="7"/>
  <c r="L261" i="7"/>
  <c r="F261" i="7"/>
  <c r="F265" i="7" s="1"/>
  <c r="H260" i="7"/>
  <c r="G260" i="7"/>
  <c r="M259" i="7"/>
  <c r="L259" i="7"/>
  <c r="L256" i="7" s="1"/>
  <c r="L260" i="7" s="1"/>
  <c r="K259" i="7"/>
  <c r="K256" i="7" s="1"/>
  <c r="K260" i="7" s="1"/>
  <c r="J259" i="7"/>
  <c r="J256" i="7" s="1"/>
  <c r="J260" i="7" s="1"/>
  <c r="I259" i="7"/>
  <c r="H259" i="7"/>
  <c r="H256" i="7" s="1"/>
  <c r="G259" i="7"/>
  <c r="F259" i="7"/>
  <c r="F256" i="7" s="1"/>
  <c r="F260" i="7" s="1"/>
  <c r="M256" i="7"/>
  <c r="M260" i="7" s="1"/>
  <c r="I256" i="7"/>
  <c r="N256" i="7" s="1"/>
  <c r="G256" i="7"/>
  <c r="M255" i="7"/>
  <c r="K255" i="7"/>
  <c r="G255" i="7"/>
  <c r="M254" i="7"/>
  <c r="M251" i="7" s="1"/>
  <c r="L254" i="7"/>
  <c r="K254" i="7"/>
  <c r="K251" i="7" s="1"/>
  <c r="J254" i="7"/>
  <c r="J251" i="7" s="1"/>
  <c r="J255" i="7" s="1"/>
  <c r="I254" i="7"/>
  <c r="H254" i="7"/>
  <c r="G254" i="7"/>
  <c r="F254" i="7"/>
  <c r="L251" i="7"/>
  <c r="L255" i="7" s="1"/>
  <c r="I251" i="7"/>
  <c r="I255" i="7" s="1"/>
  <c r="H251" i="7"/>
  <c r="H255" i="7" s="1"/>
  <c r="G251" i="7"/>
  <c r="F251" i="7"/>
  <c r="F255" i="7" s="1"/>
  <c r="N255" i="7" s="1"/>
  <c r="M250" i="7"/>
  <c r="M249" i="7"/>
  <c r="L249" i="7"/>
  <c r="L246" i="7" s="1"/>
  <c r="L250" i="7" s="1"/>
  <c r="K249" i="7"/>
  <c r="J249" i="7"/>
  <c r="J246" i="7" s="1"/>
  <c r="J250" i="7" s="1"/>
  <c r="I249" i="7"/>
  <c r="I246" i="7" s="1"/>
  <c r="I250" i="7" s="1"/>
  <c r="H249" i="7"/>
  <c r="H246" i="7" s="1"/>
  <c r="H250" i="7" s="1"/>
  <c r="G249" i="7"/>
  <c r="G246" i="7" s="1"/>
  <c r="G250" i="7" s="1"/>
  <c r="F249" i="7"/>
  <c r="F246" i="7" s="1"/>
  <c r="M246" i="7"/>
  <c r="K246" i="7"/>
  <c r="K250" i="7" s="1"/>
  <c r="J245" i="7"/>
  <c r="M244" i="7"/>
  <c r="M241" i="7" s="1"/>
  <c r="M245" i="7" s="1"/>
  <c r="L244" i="7"/>
  <c r="L241" i="7" s="1"/>
  <c r="L245" i="7" s="1"/>
  <c r="K244" i="7"/>
  <c r="K241" i="7" s="1"/>
  <c r="K245" i="7" s="1"/>
  <c r="J244" i="7"/>
  <c r="I244" i="7"/>
  <c r="I241" i="7" s="1"/>
  <c r="I245" i="7" s="1"/>
  <c r="H244" i="7"/>
  <c r="H241" i="7" s="1"/>
  <c r="H245" i="7" s="1"/>
  <c r="G244" i="7"/>
  <c r="G241" i="7" s="1"/>
  <c r="G245" i="7" s="1"/>
  <c r="F244" i="7"/>
  <c r="J241" i="7"/>
  <c r="F241" i="7"/>
  <c r="F245" i="7" s="1"/>
  <c r="N245" i="7" s="1"/>
  <c r="I240" i="7"/>
  <c r="G240" i="7"/>
  <c r="F240" i="7"/>
  <c r="M239" i="7"/>
  <c r="M236" i="7" s="1"/>
  <c r="M240" i="7" s="1"/>
  <c r="L239" i="7"/>
  <c r="L236" i="7" s="1"/>
  <c r="L240" i="7" s="1"/>
  <c r="K239" i="7"/>
  <c r="K236" i="7" s="1"/>
  <c r="K240" i="7" s="1"/>
  <c r="J239" i="7"/>
  <c r="I239" i="7"/>
  <c r="H239" i="7"/>
  <c r="G239" i="7"/>
  <c r="F239" i="7"/>
  <c r="J236" i="7"/>
  <c r="J240" i="7" s="1"/>
  <c r="I236" i="7"/>
  <c r="H236" i="7"/>
  <c r="H240" i="7" s="1"/>
  <c r="G236" i="7"/>
  <c r="F236" i="7"/>
  <c r="J235" i="7"/>
  <c r="I235" i="7"/>
  <c r="M234" i="7"/>
  <c r="M231" i="7" s="1"/>
  <c r="M235" i="7" s="1"/>
  <c r="L234" i="7"/>
  <c r="K234" i="7"/>
  <c r="J234" i="7"/>
  <c r="I234" i="7"/>
  <c r="I231" i="7" s="1"/>
  <c r="H234" i="7"/>
  <c r="G234" i="7"/>
  <c r="G231" i="7" s="1"/>
  <c r="G235" i="7" s="1"/>
  <c r="F234" i="7"/>
  <c r="F231" i="7" s="1"/>
  <c r="L231" i="7"/>
  <c r="L235" i="7" s="1"/>
  <c r="K231" i="7"/>
  <c r="K235" i="7" s="1"/>
  <c r="J231" i="7"/>
  <c r="H231" i="7"/>
  <c r="H235" i="7" s="1"/>
  <c r="M230" i="7"/>
  <c r="M229" i="7"/>
  <c r="L229" i="7"/>
  <c r="K229" i="7"/>
  <c r="J229" i="7"/>
  <c r="J226" i="7" s="1"/>
  <c r="J230" i="7" s="1"/>
  <c r="I229" i="7"/>
  <c r="I226" i="7" s="1"/>
  <c r="I230" i="7" s="1"/>
  <c r="H229" i="7"/>
  <c r="H226" i="7" s="1"/>
  <c r="H230" i="7" s="1"/>
  <c r="G229" i="7"/>
  <c r="G226" i="7" s="1"/>
  <c r="G230" i="7" s="1"/>
  <c r="F229" i="7"/>
  <c r="F226" i="7" s="1"/>
  <c r="M226" i="7"/>
  <c r="L226" i="7"/>
  <c r="L230" i="7" s="1"/>
  <c r="K226" i="7"/>
  <c r="K230" i="7" s="1"/>
  <c r="J225" i="7"/>
  <c r="F225" i="7"/>
  <c r="M224" i="7"/>
  <c r="M221" i="7" s="1"/>
  <c r="M225" i="7" s="1"/>
  <c r="L224" i="7"/>
  <c r="L221" i="7" s="1"/>
  <c r="L225" i="7" s="1"/>
  <c r="K224" i="7"/>
  <c r="J224" i="7"/>
  <c r="I224" i="7"/>
  <c r="I221" i="7" s="1"/>
  <c r="I225" i="7" s="1"/>
  <c r="H224" i="7"/>
  <c r="H221" i="7" s="1"/>
  <c r="H225" i="7" s="1"/>
  <c r="G224" i="7"/>
  <c r="G221" i="7" s="1"/>
  <c r="G225" i="7" s="1"/>
  <c r="F224" i="7"/>
  <c r="K221" i="7"/>
  <c r="K225" i="7" s="1"/>
  <c r="J221" i="7"/>
  <c r="F221" i="7"/>
  <c r="J220" i="7"/>
  <c r="H220" i="7"/>
  <c r="M219" i="7"/>
  <c r="M216" i="7" s="1"/>
  <c r="M220" i="7" s="1"/>
  <c r="L219" i="7"/>
  <c r="L216" i="7" s="1"/>
  <c r="L220" i="7" s="1"/>
  <c r="K219" i="7"/>
  <c r="K216" i="7" s="1"/>
  <c r="K220" i="7" s="1"/>
  <c r="J219" i="7"/>
  <c r="J216" i="7" s="1"/>
  <c r="I219" i="7"/>
  <c r="H219" i="7"/>
  <c r="H216" i="7" s="1"/>
  <c r="G219" i="7"/>
  <c r="G216" i="7" s="1"/>
  <c r="G220" i="7" s="1"/>
  <c r="F219" i="7"/>
  <c r="I216" i="7"/>
  <c r="I220" i="7" s="1"/>
  <c r="F216" i="7"/>
  <c r="M215" i="7"/>
  <c r="J215" i="7"/>
  <c r="M214" i="7"/>
  <c r="L214" i="7"/>
  <c r="K214" i="7"/>
  <c r="J214" i="7"/>
  <c r="I214" i="7"/>
  <c r="I211" i="7" s="1"/>
  <c r="I215" i="7" s="1"/>
  <c r="H214" i="7"/>
  <c r="G214" i="7"/>
  <c r="G211" i="7" s="1"/>
  <c r="G215" i="7" s="1"/>
  <c r="F214" i="7"/>
  <c r="F211" i="7" s="1"/>
  <c r="M211" i="7"/>
  <c r="L211" i="7"/>
  <c r="L215" i="7" s="1"/>
  <c r="K211" i="7"/>
  <c r="K215" i="7" s="1"/>
  <c r="J211" i="7"/>
  <c r="H211" i="7"/>
  <c r="H215" i="7" s="1"/>
  <c r="K210" i="7"/>
  <c r="F210" i="7"/>
  <c r="M209" i="7"/>
  <c r="M206" i="7" s="1"/>
  <c r="M210" i="7" s="1"/>
  <c r="L209" i="7"/>
  <c r="K209" i="7"/>
  <c r="J209" i="7"/>
  <c r="J206" i="7" s="1"/>
  <c r="J210" i="7" s="1"/>
  <c r="I209" i="7"/>
  <c r="I206" i="7" s="1"/>
  <c r="I210" i="7" s="1"/>
  <c r="H209" i="7"/>
  <c r="H206" i="7" s="1"/>
  <c r="H210" i="7" s="1"/>
  <c r="G209" i="7"/>
  <c r="F209" i="7"/>
  <c r="L206" i="7"/>
  <c r="L210" i="7" s="1"/>
  <c r="K206" i="7"/>
  <c r="G206" i="7"/>
  <c r="G210" i="7" s="1"/>
  <c r="F206" i="7"/>
  <c r="I205" i="7"/>
  <c r="F205" i="7"/>
  <c r="M204" i="7"/>
  <c r="M201" i="7" s="1"/>
  <c r="M205" i="7" s="1"/>
  <c r="L204" i="7"/>
  <c r="L201" i="7" s="1"/>
  <c r="L205" i="7" s="1"/>
  <c r="K204" i="7"/>
  <c r="K201" i="7" s="1"/>
  <c r="K205" i="7" s="1"/>
  <c r="J204" i="7"/>
  <c r="I204" i="7"/>
  <c r="I201" i="7" s="1"/>
  <c r="H204" i="7"/>
  <c r="H201" i="7" s="1"/>
  <c r="H205" i="7" s="1"/>
  <c r="G204" i="7"/>
  <c r="F204" i="7"/>
  <c r="J201" i="7"/>
  <c r="J205" i="7" s="1"/>
  <c r="G201" i="7"/>
  <c r="G205" i="7" s="1"/>
  <c r="F201" i="7"/>
  <c r="N201" i="7" s="1"/>
  <c r="K200" i="7"/>
  <c r="M199" i="7"/>
  <c r="L199" i="7"/>
  <c r="K199" i="7"/>
  <c r="K196" i="7" s="1"/>
  <c r="J199" i="7"/>
  <c r="J196" i="7" s="1"/>
  <c r="J200" i="7" s="1"/>
  <c r="I199" i="7"/>
  <c r="H199" i="7"/>
  <c r="G199" i="7"/>
  <c r="G196" i="7" s="1"/>
  <c r="G200" i="7" s="1"/>
  <c r="F199" i="7"/>
  <c r="F196" i="7" s="1"/>
  <c r="F200" i="7" s="1"/>
  <c r="M196" i="7"/>
  <c r="M200" i="7" s="1"/>
  <c r="L196" i="7"/>
  <c r="L200" i="7" s="1"/>
  <c r="I196" i="7"/>
  <c r="I200" i="7" s="1"/>
  <c r="H196" i="7"/>
  <c r="H200" i="7" s="1"/>
  <c r="F195" i="7"/>
  <c r="M194" i="7"/>
  <c r="L194" i="7"/>
  <c r="K194" i="7"/>
  <c r="K191" i="7" s="1"/>
  <c r="K195" i="7" s="1"/>
  <c r="J194" i="7"/>
  <c r="J191" i="7" s="1"/>
  <c r="J195" i="7" s="1"/>
  <c r="I194" i="7"/>
  <c r="I191" i="7" s="1"/>
  <c r="I195" i="7" s="1"/>
  <c r="H194" i="7"/>
  <c r="G194" i="7"/>
  <c r="G191" i="7" s="1"/>
  <c r="G195" i="7" s="1"/>
  <c r="F194" i="7"/>
  <c r="F191" i="7" s="1"/>
  <c r="M191" i="7"/>
  <c r="M195" i="7" s="1"/>
  <c r="L191" i="7"/>
  <c r="L195" i="7" s="1"/>
  <c r="H191" i="7"/>
  <c r="H195" i="7" s="1"/>
  <c r="L190" i="7"/>
  <c r="J190" i="7"/>
  <c r="H190" i="7"/>
  <c r="M189" i="7"/>
  <c r="M186" i="7" s="1"/>
  <c r="M190" i="7" s="1"/>
  <c r="L189" i="7"/>
  <c r="L186" i="7" s="1"/>
  <c r="K189" i="7"/>
  <c r="J189" i="7"/>
  <c r="J186" i="7" s="1"/>
  <c r="I189" i="7"/>
  <c r="H189" i="7"/>
  <c r="G189" i="7"/>
  <c r="F189" i="7"/>
  <c r="K186" i="7"/>
  <c r="K190" i="7" s="1"/>
  <c r="I186" i="7"/>
  <c r="I190" i="7" s="1"/>
  <c r="H186" i="7"/>
  <c r="G186" i="7"/>
  <c r="G190" i="7" s="1"/>
  <c r="F186" i="7"/>
  <c r="M184" i="7"/>
  <c r="L184" i="7"/>
  <c r="L181" i="7" s="1"/>
  <c r="L185" i="7" s="1"/>
  <c r="K184" i="7"/>
  <c r="K181" i="7" s="1"/>
  <c r="K185" i="7" s="1"/>
  <c r="J184" i="7"/>
  <c r="I184" i="7"/>
  <c r="I181" i="7" s="1"/>
  <c r="I185" i="7" s="1"/>
  <c r="H184" i="7"/>
  <c r="H181" i="7" s="1"/>
  <c r="H185" i="7" s="1"/>
  <c r="G184" i="7"/>
  <c r="G181" i="7" s="1"/>
  <c r="G185" i="7" s="1"/>
  <c r="F184" i="7"/>
  <c r="F181" i="7" s="1"/>
  <c r="M181" i="7"/>
  <c r="M185" i="7" s="1"/>
  <c r="J181" i="7"/>
  <c r="J185" i="7" s="1"/>
  <c r="G180" i="7"/>
  <c r="M179" i="7"/>
  <c r="L179" i="7"/>
  <c r="L176" i="7" s="1"/>
  <c r="L180" i="7" s="1"/>
  <c r="K179" i="7"/>
  <c r="K176" i="7" s="1"/>
  <c r="K180" i="7" s="1"/>
  <c r="J179" i="7"/>
  <c r="J176" i="7" s="1"/>
  <c r="J180" i="7" s="1"/>
  <c r="I179" i="7"/>
  <c r="H179" i="7"/>
  <c r="G179" i="7"/>
  <c r="G176" i="7" s="1"/>
  <c r="F179" i="7"/>
  <c r="F176" i="7" s="1"/>
  <c r="F180" i="7" s="1"/>
  <c r="M176" i="7"/>
  <c r="M180" i="7" s="1"/>
  <c r="I176" i="7"/>
  <c r="I180" i="7" s="1"/>
  <c r="H176" i="7"/>
  <c r="N176" i="7" s="1"/>
  <c r="M175" i="7"/>
  <c r="K175" i="7"/>
  <c r="H175" i="7"/>
  <c r="M174" i="7"/>
  <c r="M171" i="7" s="1"/>
  <c r="L174" i="7"/>
  <c r="K174" i="7"/>
  <c r="K171" i="7" s="1"/>
  <c r="J174" i="7"/>
  <c r="I174" i="7"/>
  <c r="H174" i="7"/>
  <c r="G174" i="7"/>
  <c r="F174" i="7"/>
  <c r="F171" i="7" s="1"/>
  <c r="L171" i="7"/>
  <c r="L175" i="7" s="1"/>
  <c r="J171" i="7"/>
  <c r="J175" i="7" s="1"/>
  <c r="I171" i="7"/>
  <c r="I175" i="7" s="1"/>
  <c r="H171" i="7"/>
  <c r="G171" i="7"/>
  <c r="G175" i="7" s="1"/>
  <c r="M169" i="7"/>
  <c r="M166" i="7" s="1"/>
  <c r="M170" i="7" s="1"/>
  <c r="L169" i="7"/>
  <c r="L166" i="7" s="1"/>
  <c r="L170" i="7" s="1"/>
  <c r="K169" i="7"/>
  <c r="K166" i="7" s="1"/>
  <c r="K170" i="7" s="1"/>
  <c r="J169" i="7"/>
  <c r="J166" i="7" s="1"/>
  <c r="J170" i="7" s="1"/>
  <c r="I169" i="7"/>
  <c r="I166" i="7" s="1"/>
  <c r="I170" i="7" s="1"/>
  <c r="H169" i="7"/>
  <c r="H166" i="7" s="1"/>
  <c r="H170" i="7" s="1"/>
  <c r="G169" i="7"/>
  <c r="G166" i="7" s="1"/>
  <c r="G170" i="7" s="1"/>
  <c r="F169" i="7"/>
  <c r="F166" i="7" s="1"/>
  <c r="J165" i="7"/>
  <c r="H165" i="7"/>
  <c r="M164" i="7"/>
  <c r="M161" i="7" s="1"/>
  <c r="M165" i="7" s="1"/>
  <c r="L164" i="7"/>
  <c r="L161" i="7" s="1"/>
  <c r="L165" i="7" s="1"/>
  <c r="K164" i="7"/>
  <c r="K161" i="7" s="1"/>
  <c r="K165" i="7" s="1"/>
  <c r="J164" i="7"/>
  <c r="I164" i="7"/>
  <c r="H164" i="7"/>
  <c r="H161" i="7" s="1"/>
  <c r="G164" i="7"/>
  <c r="G161" i="7" s="1"/>
  <c r="G165" i="7" s="1"/>
  <c r="F164" i="7"/>
  <c r="J161" i="7"/>
  <c r="I161" i="7"/>
  <c r="I165" i="7" s="1"/>
  <c r="F161" i="7"/>
  <c r="F165" i="7" s="1"/>
  <c r="L160" i="7"/>
  <c r="J160" i="7"/>
  <c r="M159" i="7"/>
  <c r="L159" i="7"/>
  <c r="L156" i="7" s="1"/>
  <c r="K159" i="7"/>
  <c r="J159" i="7"/>
  <c r="I159" i="7"/>
  <c r="H159" i="7"/>
  <c r="H156" i="7" s="1"/>
  <c r="H160" i="7" s="1"/>
  <c r="G159" i="7"/>
  <c r="G156" i="7" s="1"/>
  <c r="G160" i="7" s="1"/>
  <c r="F159" i="7"/>
  <c r="F156" i="7" s="1"/>
  <c r="M156" i="7"/>
  <c r="M160" i="7" s="1"/>
  <c r="K156" i="7"/>
  <c r="K160" i="7" s="1"/>
  <c r="J156" i="7"/>
  <c r="I156" i="7"/>
  <c r="I160" i="7" s="1"/>
  <c r="M154" i="7"/>
  <c r="M151" i="7" s="1"/>
  <c r="M155" i="7" s="1"/>
  <c r="L154" i="7"/>
  <c r="L151" i="7" s="1"/>
  <c r="L155" i="7" s="1"/>
  <c r="K154" i="7"/>
  <c r="K151" i="7" s="1"/>
  <c r="K155" i="7" s="1"/>
  <c r="J154" i="7"/>
  <c r="J151" i="7" s="1"/>
  <c r="J155" i="7" s="1"/>
  <c r="I154" i="7"/>
  <c r="I151" i="7" s="1"/>
  <c r="I155" i="7" s="1"/>
  <c r="H154" i="7"/>
  <c r="H151" i="7" s="1"/>
  <c r="H155" i="7" s="1"/>
  <c r="G154" i="7"/>
  <c r="G151" i="7" s="1"/>
  <c r="G155" i="7" s="1"/>
  <c r="F154" i="7"/>
  <c r="F151" i="7"/>
  <c r="K150" i="7"/>
  <c r="I150" i="7"/>
  <c r="M149" i="7"/>
  <c r="M146" i="7" s="1"/>
  <c r="M150" i="7" s="1"/>
  <c r="L149" i="7"/>
  <c r="L146" i="7" s="1"/>
  <c r="L150" i="7" s="1"/>
  <c r="K149" i="7"/>
  <c r="J149" i="7"/>
  <c r="I149" i="7"/>
  <c r="H149" i="7"/>
  <c r="H146" i="7" s="1"/>
  <c r="H150" i="7" s="1"/>
  <c r="G149" i="7"/>
  <c r="F149" i="7"/>
  <c r="K146" i="7"/>
  <c r="J146" i="7"/>
  <c r="J150" i="7" s="1"/>
  <c r="I146" i="7"/>
  <c r="G146" i="7"/>
  <c r="G150" i="7" s="1"/>
  <c r="F146" i="7"/>
  <c r="M145" i="7"/>
  <c r="I145" i="7"/>
  <c r="M144" i="7"/>
  <c r="L144" i="7"/>
  <c r="L141" i="7" s="1"/>
  <c r="L145" i="7" s="1"/>
  <c r="J144" i="7"/>
  <c r="I144" i="7"/>
  <c r="H144" i="7"/>
  <c r="H141" i="7" s="1"/>
  <c r="H145" i="7" s="1"/>
  <c r="G144" i="7"/>
  <c r="G141" i="7" s="1"/>
  <c r="G145" i="7" s="1"/>
  <c r="F144" i="7"/>
  <c r="F141" i="7" s="1"/>
  <c r="M141" i="7"/>
  <c r="K141" i="7"/>
  <c r="K145" i="7" s="1"/>
  <c r="J141" i="7"/>
  <c r="J145" i="7" s="1"/>
  <c r="I141" i="7"/>
  <c r="G140" i="7"/>
  <c r="M139" i="7"/>
  <c r="M136" i="7" s="1"/>
  <c r="M140" i="7" s="1"/>
  <c r="L139" i="7"/>
  <c r="L136" i="7" s="1"/>
  <c r="L140" i="7" s="1"/>
  <c r="K139" i="7"/>
  <c r="K136" i="7" s="1"/>
  <c r="K140" i="7" s="1"/>
  <c r="J139" i="7"/>
  <c r="J136" i="7" s="1"/>
  <c r="J140" i="7" s="1"/>
  <c r="I139" i="7"/>
  <c r="I136" i="7" s="1"/>
  <c r="I140" i="7" s="1"/>
  <c r="H139" i="7"/>
  <c r="H136" i="7" s="1"/>
  <c r="H140" i="7" s="1"/>
  <c r="G139" i="7"/>
  <c r="G136" i="7" s="1"/>
  <c r="F139" i="7"/>
  <c r="F136" i="7"/>
  <c r="L135" i="7"/>
  <c r="J135" i="7"/>
  <c r="I135" i="7"/>
  <c r="M134" i="7"/>
  <c r="M131" i="7" s="1"/>
  <c r="M135" i="7" s="1"/>
  <c r="L134" i="7"/>
  <c r="K134" i="7"/>
  <c r="J134" i="7"/>
  <c r="I134" i="7"/>
  <c r="H134" i="7"/>
  <c r="H131" i="7" s="1"/>
  <c r="H135" i="7" s="1"/>
  <c r="G134" i="7"/>
  <c r="F134" i="7"/>
  <c r="F131" i="7" s="1"/>
  <c r="L131" i="7"/>
  <c r="K131" i="7"/>
  <c r="K135" i="7" s="1"/>
  <c r="J131" i="7"/>
  <c r="I131" i="7"/>
  <c r="G131" i="7"/>
  <c r="G135" i="7" s="1"/>
  <c r="M129" i="7"/>
  <c r="M126" i="7" s="1"/>
  <c r="M130" i="7" s="1"/>
  <c r="L129" i="7"/>
  <c r="L126" i="7" s="1"/>
  <c r="L130" i="7" s="1"/>
  <c r="K129" i="7"/>
  <c r="J129" i="7"/>
  <c r="I129" i="7"/>
  <c r="I126" i="7" s="1"/>
  <c r="I130" i="7" s="1"/>
  <c r="H129" i="7"/>
  <c r="H126" i="7" s="1"/>
  <c r="H130" i="7" s="1"/>
  <c r="G129" i="7"/>
  <c r="G126" i="7" s="1"/>
  <c r="F129" i="7"/>
  <c r="K126" i="7"/>
  <c r="K130" i="7" s="1"/>
  <c r="J126" i="7"/>
  <c r="J130" i="7" s="1"/>
  <c r="F126" i="7"/>
  <c r="F130" i="7" s="1"/>
  <c r="J125" i="7"/>
  <c r="H125" i="7"/>
  <c r="F125" i="7"/>
  <c r="M124" i="7"/>
  <c r="M121" i="7" s="1"/>
  <c r="M125" i="7" s="1"/>
  <c r="L124" i="7"/>
  <c r="K124" i="7"/>
  <c r="K121" i="7" s="1"/>
  <c r="K125" i="7" s="1"/>
  <c r="J124" i="7"/>
  <c r="J121" i="7" s="1"/>
  <c r="I124" i="7"/>
  <c r="H124" i="7"/>
  <c r="H121" i="7" s="1"/>
  <c r="G124" i="7"/>
  <c r="F124" i="7"/>
  <c r="L121" i="7"/>
  <c r="L125" i="7" s="1"/>
  <c r="I121" i="7"/>
  <c r="I125" i="7" s="1"/>
  <c r="G121" i="7"/>
  <c r="G125" i="7" s="1"/>
  <c r="F121" i="7"/>
  <c r="K120" i="7"/>
  <c r="J120" i="7"/>
  <c r="M119" i="7"/>
  <c r="L119" i="7"/>
  <c r="K119" i="7"/>
  <c r="J119" i="7"/>
  <c r="I119" i="7"/>
  <c r="I116" i="7" s="1"/>
  <c r="I120" i="7" s="1"/>
  <c r="H119" i="7"/>
  <c r="H116" i="7" s="1"/>
  <c r="H120" i="7" s="1"/>
  <c r="G119" i="7"/>
  <c r="G116" i="7" s="1"/>
  <c r="G120" i="7" s="1"/>
  <c r="F119" i="7"/>
  <c r="F116" i="7" s="1"/>
  <c r="M116" i="7"/>
  <c r="M120" i="7" s="1"/>
  <c r="L116" i="7"/>
  <c r="L120" i="7" s="1"/>
  <c r="K116" i="7"/>
  <c r="J116" i="7"/>
  <c r="M114" i="7"/>
  <c r="M111" i="7" s="1"/>
  <c r="M115" i="7" s="1"/>
  <c r="L114" i="7"/>
  <c r="K114" i="7"/>
  <c r="J114" i="7"/>
  <c r="I114" i="7"/>
  <c r="I111" i="7" s="1"/>
  <c r="I115" i="7" s="1"/>
  <c r="H114" i="7"/>
  <c r="G114" i="7"/>
  <c r="F114" i="7"/>
  <c r="L111" i="7"/>
  <c r="L115" i="7" s="1"/>
  <c r="K111" i="7"/>
  <c r="K115" i="7" s="1"/>
  <c r="J111" i="7"/>
  <c r="J115" i="7" s="1"/>
  <c r="H111" i="7"/>
  <c r="H115" i="7" s="1"/>
  <c r="G111" i="7"/>
  <c r="G115" i="7" s="1"/>
  <c r="F111" i="7"/>
  <c r="F115" i="7" s="1"/>
  <c r="L110" i="7"/>
  <c r="K110" i="7"/>
  <c r="I110" i="7"/>
  <c r="G110" i="7"/>
  <c r="M109" i="7"/>
  <c r="L109" i="7"/>
  <c r="K109" i="7"/>
  <c r="K106" i="7" s="1"/>
  <c r="J109" i="7"/>
  <c r="I109" i="7"/>
  <c r="I106" i="7" s="1"/>
  <c r="H109" i="7"/>
  <c r="G109" i="7"/>
  <c r="F109" i="7"/>
  <c r="M106" i="7"/>
  <c r="M110" i="7" s="1"/>
  <c r="L106" i="7"/>
  <c r="J106" i="7"/>
  <c r="J110" i="7" s="1"/>
  <c r="H106" i="7"/>
  <c r="H110" i="7" s="1"/>
  <c r="G106" i="7"/>
  <c r="F106" i="7"/>
  <c r="F110" i="7" s="1"/>
  <c r="K105" i="7"/>
  <c r="M104" i="7"/>
  <c r="M101" i="7" s="1"/>
  <c r="M105" i="7" s="1"/>
  <c r="L104" i="7"/>
  <c r="L101" i="7" s="1"/>
  <c r="L105" i="7" s="1"/>
  <c r="K104" i="7"/>
  <c r="J104" i="7"/>
  <c r="J101" i="7" s="1"/>
  <c r="J105" i="7" s="1"/>
  <c r="I104" i="7"/>
  <c r="I101" i="7" s="1"/>
  <c r="I105" i="7" s="1"/>
  <c r="H104" i="7"/>
  <c r="H101" i="7" s="1"/>
  <c r="H105" i="7" s="1"/>
  <c r="G104" i="7"/>
  <c r="F104" i="7"/>
  <c r="F101" i="7" s="1"/>
  <c r="K101" i="7"/>
  <c r="G101" i="7"/>
  <c r="G105" i="7" s="1"/>
  <c r="L100" i="7"/>
  <c r="J100" i="7"/>
  <c r="I100" i="7"/>
  <c r="F100" i="7"/>
  <c r="M99" i="7"/>
  <c r="L99" i="7"/>
  <c r="K99" i="7"/>
  <c r="J99" i="7"/>
  <c r="I99" i="7"/>
  <c r="H99" i="7"/>
  <c r="G99" i="7"/>
  <c r="G96" i="7" s="1"/>
  <c r="F99" i="7"/>
  <c r="M96" i="7"/>
  <c r="M100" i="7" s="1"/>
  <c r="L96" i="7"/>
  <c r="K96" i="7"/>
  <c r="K100" i="7" s="1"/>
  <c r="J96" i="7"/>
  <c r="I96" i="7"/>
  <c r="H96" i="7"/>
  <c r="H100" i="7" s="1"/>
  <c r="F96" i="7"/>
  <c r="M94" i="7"/>
  <c r="M91" i="7" s="1"/>
  <c r="M95" i="7" s="1"/>
  <c r="L94" i="7"/>
  <c r="L91" i="7" s="1"/>
  <c r="L95" i="7" s="1"/>
  <c r="K94" i="7"/>
  <c r="K91" i="7" s="1"/>
  <c r="K95" i="7" s="1"/>
  <c r="J94" i="7"/>
  <c r="J91" i="7" s="1"/>
  <c r="J95" i="7" s="1"/>
  <c r="I94" i="7"/>
  <c r="H94" i="7"/>
  <c r="G94" i="7"/>
  <c r="F94" i="7"/>
  <c r="I91" i="7"/>
  <c r="I95" i="7" s="1"/>
  <c r="H91" i="7"/>
  <c r="H95" i="7" s="1"/>
  <c r="G91" i="7"/>
  <c r="G95" i="7" s="1"/>
  <c r="F91" i="7"/>
  <c r="N91" i="7" s="1"/>
  <c r="M90" i="7"/>
  <c r="L90" i="7"/>
  <c r="M89" i="7"/>
  <c r="L89" i="7"/>
  <c r="K89" i="7"/>
  <c r="K86" i="7" s="1"/>
  <c r="K90" i="7" s="1"/>
  <c r="J89" i="7"/>
  <c r="I89" i="7"/>
  <c r="I86" i="7" s="1"/>
  <c r="I90" i="7" s="1"/>
  <c r="H89" i="7"/>
  <c r="G89" i="7"/>
  <c r="G86" i="7" s="1"/>
  <c r="G90" i="7" s="1"/>
  <c r="F89" i="7"/>
  <c r="F86" i="7" s="1"/>
  <c r="M86" i="7"/>
  <c r="L86" i="7"/>
  <c r="J86" i="7"/>
  <c r="J90" i="7" s="1"/>
  <c r="H86" i="7"/>
  <c r="H90" i="7" s="1"/>
  <c r="G85" i="7"/>
  <c r="M84" i="7"/>
  <c r="L84" i="7"/>
  <c r="L81" i="7" s="1"/>
  <c r="L85" i="7" s="1"/>
  <c r="K84" i="7"/>
  <c r="K81" i="7" s="1"/>
  <c r="K85" i="7" s="1"/>
  <c r="J84" i="7"/>
  <c r="J81" i="7" s="1"/>
  <c r="J85" i="7" s="1"/>
  <c r="I84" i="7"/>
  <c r="I81" i="7" s="1"/>
  <c r="I85" i="7" s="1"/>
  <c r="H84" i="7"/>
  <c r="H81" i="7" s="1"/>
  <c r="G84" i="7"/>
  <c r="G81" i="7" s="1"/>
  <c r="F84" i="7"/>
  <c r="F81" i="7" s="1"/>
  <c r="F85" i="7" s="1"/>
  <c r="M81" i="7"/>
  <c r="M85" i="7" s="1"/>
  <c r="K80" i="7"/>
  <c r="M79" i="7"/>
  <c r="L79" i="7"/>
  <c r="K79" i="7"/>
  <c r="K76" i="7" s="1"/>
  <c r="J79" i="7"/>
  <c r="I79" i="7"/>
  <c r="H79" i="7"/>
  <c r="G79" i="7"/>
  <c r="G76" i="7" s="1"/>
  <c r="G80" i="7" s="1"/>
  <c r="F79" i="7"/>
  <c r="F76" i="7" s="1"/>
  <c r="M76" i="7"/>
  <c r="M80" i="7" s="1"/>
  <c r="L76" i="7"/>
  <c r="L80" i="7" s="1"/>
  <c r="J76" i="7"/>
  <c r="J80" i="7" s="1"/>
  <c r="I76" i="7"/>
  <c r="I80" i="7" s="1"/>
  <c r="H76" i="7"/>
  <c r="H80" i="7" s="1"/>
  <c r="G75" i="7"/>
  <c r="F75" i="7"/>
  <c r="M74" i="7"/>
  <c r="M71" i="7" s="1"/>
  <c r="M75" i="7" s="1"/>
  <c r="L74" i="7"/>
  <c r="L71" i="7" s="1"/>
  <c r="L75" i="7" s="1"/>
  <c r="K74" i="7"/>
  <c r="K71" i="7" s="1"/>
  <c r="K75" i="7" s="1"/>
  <c r="J74" i="7"/>
  <c r="J71" i="7" s="1"/>
  <c r="J75" i="7" s="1"/>
  <c r="I74" i="7"/>
  <c r="I71" i="7" s="1"/>
  <c r="I75" i="7" s="1"/>
  <c r="H74" i="7"/>
  <c r="H71" i="7" s="1"/>
  <c r="H75" i="7" s="1"/>
  <c r="G74" i="7"/>
  <c r="F74" i="7"/>
  <c r="F71" i="7" s="1"/>
  <c r="G71" i="7"/>
  <c r="M70" i="7"/>
  <c r="K70" i="7"/>
  <c r="H70" i="7"/>
  <c r="M69" i="7"/>
  <c r="L69" i="7"/>
  <c r="K69" i="7"/>
  <c r="J69" i="7"/>
  <c r="I69" i="7"/>
  <c r="H69" i="7"/>
  <c r="H66" i="7" s="1"/>
  <c r="G69" i="7"/>
  <c r="G66" i="7" s="1"/>
  <c r="G70" i="7" s="1"/>
  <c r="F69" i="7"/>
  <c r="M66" i="7"/>
  <c r="L66" i="7"/>
  <c r="L70" i="7" s="1"/>
  <c r="K66" i="7"/>
  <c r="J66" i="7"/>
  <c r="J70" i="7" s="1"/>
  <c r="I66" i="7"/>
  <c r="I70" i="7" s="1"/>
  <c r="F66" i="7"/>
  <c r="F70" i="7" s="1"/>
  <c r="M64" i="7"/>
  <c r="M61" i="7" s="1"/>
  <c r="M65" i="7" s="1"/>
  <c r="L64" i="7"/>
  <c r="L61" i="7" s="1"/>
  <c r="L65" i="7" s="1"/>
  <c r="K64" i="7"/>
  <c r="K61" i="7" s="1"/>
  <c r="K65" i="7" s="1"/>
  <c r="J64" i="7"/>
  <c r="I64" i="7"/>
  <c r="H64" i="7"/>
  <c r="H61" i="7" s="1"/>
  <c r="H65" i="7" s="1"/>
  <c r="G64" i="7"/>
  <c r="F64" i="7"/>
  <c r="F61" i="7" s="1"/>
  <c r="J61" i="7"/>
  <c r="J65" i="7" s="1"/>
  <c r="I61" i="7"/>
  <c r="I65" i="7" s="1"/>
  <c r="G61" i="7"/>
  <c r="G65" i="7" s="1"/>
  <c r="K60" i="7"/>
  <c r="I60" i="7"/>
  <c r="H60" i="7"/>
  <c r="G60" i="7"/>
  <c r="M59" i="7"/>
  <c r="M56" i="7" s="1"/>
  <c r="M60" i="7" s="1"/>
  <c r="L59" i="7"/>
  <c r="K59" i="7"/>
  <c r="J59" i="7"/>
  <c r="I59" i="7"/>
  <c r="H59" i="7"/>
  <c r="G59" i="7"/>
  <c r="G56" i="7" s="1"/>
  <c r="F59" i="7"/>
  <c r="L56" i="7"/>
  <c r="L60" i="7" s="1"/>
  <c r="K56" i="7"/>
  <c r="J56" i="7"/>
  <c r="J60" i="7" s="1"/>
  <c r="I56" i="7"/>
  <c r="H56" i="7"/>
  <c r="F56" i="7"/>
  <c r="M55" i="7"/>
  <c r="M54" i="7"/>
  <c r="L54" i="7"/>
  <c r="K54" i="7"/>
  <c r="K51" i="7" s="1"/>
  <c r="K55" i="7" s="1"/>
  <c r="J54" i="7"/>
  <c r="J51" i="7" s="1"/>
  <c r="J55" i="7" s="1"/>
  <c r="I54" i="7"/>
  <c r="I51" i="7" s="1"/>
  <c r="I55" i="7" s="1"/>
  <c r="H54" i="7"/>
  <c r="H51" i="7" s="1"/>
  <c r="H55" i="7" s="1"/>
  <c r="G54" i="7"/>
  <c r="G51" i="7" s="1"/>
  <c r="G55" i="7" s="1"/>
  <c r="F54" i="7"/>
  <c r="F51" i="7" s="1"/>
  <c r="M51" i="7"/>
  <c r="L51" i="7"/>
  <c r="L55" i="7" s="1"/>
  <c r="M49" i="7"/>
  <c r="M50" i="7" s="1"/>
  <c r="L49" i="7"/>
  <c r="K49" i="7"/>
  <c r="J49" i="7"/>
  <c r="I49" i="7"/>
  <c r="H49" i="7"/>
  <c r="G49" i="7"/>
  <c r="M46" i="7" s="1"/>
  <c r="F49" i="7"/>
  <c r="L46" i="7"/>
  <c r="L50" i="7" s="1"/>
  <c r="K46" i="7"/>
  <c r="K50" i="7" s="1"/>
  <c r="J46" i="7"/>
  <c r="J50" i="7" s="1"/>
  <c r="I46" i="7"/>
  <c r="I50" i="7" s="1"/>
  <c r="H46" i="7"/>
  <c r="H50" i="7" s="1"/>
  <c r="G46" i="7"/>
  <c r="G50" i="7" s="1"/>
  <c r="F46" i="7"/>
  <c r="N46" i="7" s="1"/>
  <c r="F45" i="7"/>
  <c r="M44" i="7"/>
  <c r="L44" i="7"/>
  <c r="K44" i="7"/>
  <c r="K41" i="7" s="1"/>
  <c r="K45" i="7" s="1"/>
  <c r="J44" i="7"/>
  <c r="I44" i="7"/>
  <c r="I41" i="7" s="1"/>
  <c r="I45" i="7" s="1"/>
  <c r="H44" i="7"/>
  <c r="H41" i="7" s="1"/>
  <c r="H45" i="7" s="1"/>
  <c r="G44" i="7"/>
  <c r="G41" i="7" s="1"/>
  <c r="G45" i="7" s="1"/>
  <c r="F44" i="7"/>
  <c r="M41" i="7"/>
  <c r="M45" i="7" s="1"/>
  <c r="L41" i="7"/>
  <c r="L45" i="7" s="1"/>
  <c r="J41" i="7"/>
  <c r="J45" i="7" s="1"/>
  <c r="F41" i="7"/>
  <c r="J40" i="7"/>
  <c r="M39" i="7"/>
  <c r="M36" i="7" s="1"/>
  <c r="M40" i="7" s="1"/>
  <c r="L39" i="7"/>
  <c r="L36" i="7" s="1"/>
  <c r="L40" i="7" s="1"/>
  <c r="K39" i="7"/>
  <c r="K36" i="7" s="1"/>
  <c r="K40" i="7" s="1"/>
  <c r="J39" i="7"/>
  <c r="I39" i="7"/>
  <c r="I36" i="7" s="1"/>
  <c r="I40" i="7" s="1"/>
  <c r="H39" i="7"/>
  <c r="G39" i="7"/>
  <c r="F39" i="7"/>
  <c r="J36" i="7"/>
  <c r="H36" i="7"/>
  <c r="H40" i="7" s="1"/>
  <c r="G36" i="7"/>
  <c r="G40" i="7" s="1"/>
  <c r="F36" i="7"/>
  <c r="F40" i="7" s="1"/>
  <c r="L35" i="7"/>
  <c r="M34" i="7"/>
  <c r="L34" i="7"/>
  <c r="K34" i="7"/>
  <c r="J34" i="7"/>
  <c r="J31" i="7" s="1"/>
  <c r="J35" i="7" s="1"/>
  <c r="I34" i="7"/>
  <c r="I31" i="7" s="1"/>
  <c r="I35" i="7" s="1"/>
  <c r="H34" i="7"/>
  <c r="H31" i="7" s="1"/>
  <c r="H35" i="7" s="1"/>
  <c r="G34" i="7"/>
  <c r="G31" i="7" s="1"/>
  <c r="G35" i="7" s="1"/>
  <c r="F34" i="7"/>
  <c r="F31" i="7" s="1"/>
  <c r="M31" i="7"/>
  <c r="M35" i="7" s="1"/>
  <c r="L31" i="7"/>
  <c r="K31" i="7"/>
  <c r="K35" i="7" s="1"/>
  <c r="I30" i="7"/>
  <c r="G30" i="7"/>
  <c r="F30" i="7"/>
  <c r="M29" i="7"/>
  <c r="M26" i="7" s="1"/>
  <c r="M30" i="7" s="1"/>
  <c r="L29" i="7"/>
  <c r="L26" i="7" s="1"/>
  <c r="L30" i="7" s="1"/>
  <c r="K29" i="7"/>
  <c r="J29" i="7"/>
  <c r="I29" i="7"/>
  <c r="H29" i="7"/>
  <c r="G29" i="7"/>
  <c r="F29" i="7"/>
  <c r="K26" i="7"/>
  <c r="K30" i="7" s="1"/>
  <c r="J26" i="7"/>
  <c r="J30" i="7" s="1"/>
  <c r="I26" i="7"/>
  <c r="H26" i="7"/>
  <c r="H30" i="7" s="1"/>
  <c r="G26" i="7"/>
  <c r="N26" i="7" s="1"/>
  <c r="F26" i="7"/>
  <c r="M24" i="7"/>
  <c r="M21" i="7" s="1"/>
  <c r="M25" i="7" s="1"/>
  <c r="L24" i="7"/>
  <c r="L21" i="7" s="1"/>
  <c r="L25" i="7" s="1"/>
  <c r="K24" i="7"/>
  <c r="K21" i="7" s="1"/>
  <c r="K25" i="7" s="1"/>
  <c r="J24" i="7"/>
  <c r="J21" i="7" s="1"/>
  <c r="J25" i="7" s="1"/>
  <c r="I24" i="7"/>
  <c r="I21" i="7" s="1"/>
  <c r="I25" i="7" s="1"/>
  <c r="H24" i="7"/>
  <c r="H21" i="7" s="1"/>
  <c r="H25" i="7" s="1"/>
  <c r="G24" i="7"/>
  <c r="G21" i="7" s="1"/>
  <c r="G25" i="7" s="1"/>
  <c r="F24" i="7"/>
  <c r="F21" i="7"/>
  <c r="N21" i="7" s="1"/>
  <c r="M20" i="7"/>
  <c r="L20" i="7"/>
  <c r="M19" i="7"/>
  <c r="L19" i="7"/>
  <c r="K19" i="7"/>
  <c r="J19" i="7"/>
  <c r="J16" i="7" s="1"/>
  <c r="J20" i="7" s="1"/>
  <c r="I19" i="7"/>
  <c r="I16" i="7" s="1"/>
  <c r="I20" i="7" s="1"/>
  <c r="H19" i="7"/>
  <c r="H16" i="7" s="1"/>
  <c r="H20" i="7" s="1"/>
  <c r="G19" i="7"/>
  <c r="G16" i="7" s="1"/>
  <c r="G20" i="7" s="1"/>
  <c r="F19" i="7"/>
  <c r="F16" i="7" s="1"/>
  <c r="M16" i="7"/>
  <c r="L16" i="7"/>
  <c r="K16" i="7"/>
  <c r="K20" i="7" s="1"/>
  <c r="J15" i="7"/>
  <c r="H15" i="7"/>
  <c r="G15" i="7"/>
  <c r="M14" i="7"/>
  <c r="M11" i="7" s="1"/>
  <c r="M15" i="7" s="1"/>
  <c r="L14" i="7"/>
  <c r="K14" i="7"/>
  <c r="J14" i="7"/>
  <c r="I14" i="7"/>
  <c r="H14" i="7"/>
  <c r="G14" i="7"/>
  <c r="F14" i="7"/>
  <c r="L11" i="7"/>
  <c r="L15" i="7" s="1"/>
  <c r="K11" i="7"/>
  <c r="K15" i="7" s="1"/>
  <c r="J11" i="7"/>
  <c r="I11" i="7"/>
  <c r="I15" i="7" s="1"/>
  <c r="H11" i="7"/>
  <c r="G11" i="7"/>
  <c r="F11" i="7"/>
  <c r="M9" i="7"/>
  <c r="M6" i="7" s="1"/>
  <c r="M10" i="7" s="1"/>
  <c r="L9" i="7"/>
  <c r="L6" i="7" s="1"/>
  <c r="L10" i="7" s="1"/>
  <c r="K9" i="7"/>
  <c r="K6" i="7" s="1"/>
  <c r="K10" i="7" s="1"/>
  <c r="J9" i="7"/>
  <c r="J6" i="7" s="1"/>
  <c r="J10" i="7" s="1"/>
  <c r="I9" i="7"/>
  <c r="I6" i="7" s="1"/>
  <c r="I10" i="7" s="1"/>
  <c r="H9" i="7"/>
  <c r="H6" i="7" s="1"/>
  <c r="H10" i="7" s="1"/>
  <c r="G9" i="7"/>
  <c r="F9" i="7"/>
  <c r="G6" i="7"/>
  <c r="G10" i="7" s="1"/>
  <c r="F6" i="7"/>
  <c r="V56" i="11" l="1"/>
  <c r="F66" i="11"/>
  <c r="V66" i="11" s="1"/>
  <c r="V62" i="11"/>
  <c r="V71" i="11"/>
  <c r="V41" i="11"/>
  <c r="V17" i="11"/>
  <c r="F21" i="11"/>
  <c r="V21" i="11" s="1"/>
  <c r="V22" i="11"/>
  <c r="F46" i="11"/>
  <c r="V46" i="11" s="1"/>
  <c r="V42" i="11"/>
  <c r="V51" i="11"/>
  <c r="W51" i="11" s="1"/>
  <c r="V11" i="11"/>
  <c r="W11" i="11" s="1"/>
  <c r="V61" i="11"/>
  <c r="W61" i="11" s="1"/>
  <c r="F16" i="11"/>
  <c r="V16" i="11" s="1"/>
  <c r="V12" i="11"/>
  <c r="F36" i="11"/>
  <c r="V36" i="11" s="1"/>
  <c r="W36" i="11" s="1"/>
  <c r="V32" i="11"/>
  <c r="F26" i="11"/>
  <c r="V26" i="11" s="1"/>
  <c r="V52" i="11"/>
  <c r="V27" i="11"/>
  <c r="W31" i="11" s="1"/>
  <c r="V57" i="11"/>
  <c r="V47" i="11"/>
  <c r="V7" i="11"/>
  <c r="V37" i="11"/>
  <c r="V67" i="11"/>
  <c r="F46" i="10"/>
  <c r="U46" i="10" s="1"/>
  <c r="U42" i="10"/>
  <c r="F66" i="10"/>
  <c r="U66" i="10" s="1"/>
  <c r="U62" i="10"/>
  <c r="F26" i="10"/>
  <c r="U26" i="10" s="1"/>
  <c r="U22" i="10"/>
  <c r="F86" i="10"/>
  <c r="U86" i="10" s="1"/>
  <c r="U82" i="10"/>
  <c r="F51" i="10"/>
  <c r="U51" i="10" s="1"/>
  <c r="U47" i="10"/>
  <c r="F71" i="10"/>
  <c r="U71" i="10" s="1"/>
  <c r="U67" i="10"/>
  <c r="F31" i="10"/>
  <c r="U31" i="10" s="1"/>
  <c r="U27" i="10"/>
  <c r="U106" i="10"/>
  <c r="V106" i="10" s="1"/>
  <c r="F11" i="10"/>
  <c r="U11" i="10" s="1"/>
  <c r="V11" i="10" s="1"/>
  <c r="U7" i="10"/>
  <c r="U91" i="10"/>
  <c r="F36" i="10"/>
  <c r="U36" i="10" s="1"/>
  <c r="U32" i="10"/>
  <c r="F56" i="10"/>
  <c r="U56" i="10" s="1"/>
  <c r="U52" i="10"/>
  <c r="F76" i="10"/>
  <c r="U76" i="10" s="1"/>
  <c r="U72" i="10"/>
  <c r="F111" i="10"/>
  <c r="U111" i="10" s="1"/>
  <c r="U107" i="10"/>
  <c r="F96" i="10"/>
  <c r="U96" i="10" s="1"/>
  <c r="V96" i="10" s="1"/>
  <c r="U92" i="10"/>
  <c r="U16" i="10"/>
  <c r="V16" i="10" s="1"/>
  <c r="F41" i="10"/>
  <c r="U41" i="10" s="1"/>
  <c r="U37" i="10"/>
  <c r="F61" i="10"/>
  <c r="U61" i="10" s="1"/>
  <c r="V61" i="10" s="1"/>
  <c r="U57" i="10"/>
  <c r="F21" i="10"/>
  <c r="U21" i="10" s="1"/>
  <c r="V21" i="10" s="1"/>
  <c r="U17" i="10"/>
  <c r="U81" i="10"/>
  <c r="F101" i="10"/>
  <c r="U101" i="10" s="1"/>
  <c r="U97" i="10"/>
  <c r="U12" i="10"/>
  <c r="U77" i="10"/>
  <c r="U87" i="10"/>
  <c r="U102" i="10"/>
  <c r="F76" i="9"/>
  <c r="T76" i="9" s="1"/>
  <c r="U76" i="9" s="1"/>
  <c r="T72" i="9"/>
  <c r="T47" i="9"/>
  <c r="F51" i="9"/>
  <c r="T51" i="9" s="1"/>
  <c r="T161" i="9"/>
  <c r="U161" i="9" s="1"/>
  <c r="T177" i="9"/>
  <c r="H181" i="9"/>
  <c r="T7" i="9"/>
  <c r="T46" i="9"/>
  <c r="U46" i="9" s="1"/>
  <c r="H101" i="9"/>
  <c r="T101" i="9" s="1"/>
  <c r="U101" i="9" s="1"/>
  <c r="T97" i="9"/>
  <c r="T121" i="9"/>
  <c r="U121" i="9" s="1"/>
  <c r="T21" i="9"/>
  <c r="U21" i="9" s="1"/>
  <c r="T67" i="9"/>
  <c r="F71" i="9"/>
  <c r="T71" i="9" s="1"/>
  <c r="U71" i="9" s="1"/>
  <c r="T77" i="9"/>
  <c r="T172" i="9"/>
  <c r="F176" i="9"/>
  <c r="T176" i="9" s="1"/>
  <c r="T102" i="9"/>
  <c r="T162" i="9"/>
  <c r="T41" i="9"/>
  <c r="U41" i="9" s="1"/>
  <c r="F156" i="9"/>
  <c r="T156" i="9" s="1"/>
  <c r="U156" i="9" s="1"/>
  <c r="T152" i="9"/>
  <c r="T17" i="9"/>
  <c r="H21" i="9"/>
  <c r="T107" i="9"/>
  <c r="F111" i="9"/>
  <c r="T111" i="9" s="1"/>
  <c r="U111" i="9" s="1"/>
  <c r="T122" i="9"/>
  <c r="U126" i="9" s="1"/>
  <c r="T142" i="9"/>
  <c r="T136" i="9"/>
  <c r="U136" i="9" s="1"/>
  <c r="T22" i="9"/>
  <c r="T82" i="9"/>
  <c r="F86" i="9"/>
  <c r="T86" i="9" s="1"/>
  <c r="T117" i="9"/>
  <c r="T157" i="9"/>
  <c r="T96" i="9"/>
  <c r="U96" i="9" s="1"/>
  <c r="T81" i="9"/>
  <c r="U81" i="9" s="1"/>
  <c r="T112" i="9"/>
  <c r="G136" i="9"/>
  <c r="T132" i="9"/>
  <c r="T56" i="9"/>
  <c r="U56" i="9" s="1"/>
  <c r="T137" i="9"/>
  <c r="T147" i="9"/>
  <c r="F151" i="9"/>
  <c r="T151" i="9" s="1"/>
  <c r="U151" i="9" s="1"/>
  <c r="T181" i="9"/>
  <c r="U181" i="9" s="1"/>
  <c r="T27" i="9"/>
  <c r="F31" i="9"/>
  <c r="T31" i="9" s="1"/>
  <c r="T37" i="9"/>
  <c r="T127" i="9"/>
  <c r="F131" i="9"/>
  <c r="T131" i="9" s="1"/>
  <c r="T12" i="9"/>
  <c r="U16" i="9" s="1"/>
  <c r="T92" i="9"/>
  <c r="F66" i="9"/>
  <c r="T66" i="9" s="1"/>
  <c r="U66" i="9" s="1"/>
  <c r="F146" i="9"/>
  <c r="T146" i="9" s="1"/>
  <c r="F11" i="9"/>
  <c r="T11" i="9" s="1"/>
  <c r="U11" i="9" s="1"/>
  <c r="F91" i="9"/>
  <c r="T91" i="9" s="1"/>
  <c r="U91" i="9" s="1"/>
  <c r="F171" i="9"/>
  <c r="T171" i="9" s="1"/>
  <c r="U171" i="9" s="1"/>
  <c r="F36" i="9"/>
  <c r="T36" i="9" s="1"/>
  <c r="U36" i="9" s="1"/>
  <c r="F116" i="9"/>
  <c r="T116" i="9" s="1"/>
  <c r="U116" i="9" s="1"/>
  <c r="F61" i="9"/>
  <c r="T61" i="9" s="1"/>
  <c r="U61" i="9" s="1"/>
  <c r="F141" i="9"/>
  <c r="T141" i="9" s="1"/>
  <c r="U141" i="9" s="1"/>
  <c r="F166" i="9"/>
  <c r="T166" i="9" s="1"/>
  <c r="T52" i="9"/>
  <c r="F26" i="9"/>
  <c r="T26" i="9" s="1"/>
  <c r="U26" i="9" s="1"/>
  <c r="F106" i="9"/>
  <c r="T106" i="9" s="1"/>
  <c r="U106" i="9" s="1"/>
  <c r="F46" i="8"/>
  <c r="F91" i="8"/>
  <c r="F61" i="8"/>
  <c r="F76" i="8"/>
  <c r="U76" i="8" s="1"/>
  <c r="U72" i="8"/>
  <c r="F86" i="8"/>
  <c r="U86" i="8" s="1"/>
  <c r="U82" i="8"/>
  <c r="F126" i="8"/>
  <c r="U122" i="8"/>
  <c r="F81" i="8"/>
  <c r="U81" i="8" s="1"/>
  <c r="F131" i="8"/>
  <c r="U131" i="8" s="1"/>
  <c r="U127" i="8"/>
  <c r="F111" i="8"/>
  <c r="U111" i="8" s="1"/>
  <c r="U107" i="8"/>
  <c r="F136" i="8"/>
  <c r="U136" i="8" s="1"/>
  <c r="U132" i="8"/>
  <c r="F101" i="8"/>
  <c r="U101" i="8" s="1"/>
  <c r="U97" i="8"/>
  <c r="F51" i="8"/>
  <c r="U51" i="8" s="1"/>
  <c r="U47" i="8"/>
  <c r="N57" i="8"/>
  <c r="N61" i="8" s="1"/>
  <c r="T126" i="8"/>
  <c r="F116" i="8"/>
  <c r="U116" i="8" s="1"/>
  <c r="U112" i="8"/>
  <c r="N42" i="8"/>
  <c r="N46" i="8" s="1"/>
  <c r="F151" i="8"/>
  <c r="U151" i="8" s="1"/>
  <c r="U147" i="8"/>
  <c r="N37" i="8"/>
  <c r="N41" i="8" s="1"/>
  <c r="T77" i="8"/>
  <c r="T81" i="8" s="1"/>
  <c r="N87" i="8"/>
  <c r="N91" i="8" s="1"/>
  <c r="F66" i="8"/>
  <c r="U66" i="8" s="1"/>
  <c r="U62" i="8"/>
  <c r="S42" i="8"/>
  <c r="S46" i="8" s="1"/>
  <c r="S57" i="8"/>
  <c r="S61" i="8" s="1"/>
  <c r="F96" i="8"/>
  <c r="U96" i="8" s="1"/>
  <c r="U92" i="8"/>
  <c r="F141" i="8"/>
  <c r="U141" i="8" s="1"/>
  <c r="U137" i="8"/>
  <c r="S72" i="8"/>
  <c r="S76" i="8" s="1"/>
  <c r="U171" i="8"/>
  <c r="S37" i="8"/>
  <c r="S41" i="8" s="1"/>
  <c r="N82" i="8"/>
  <c r="N86" i="8" s="1"/>
  <c r="S87" i="8"/>
  <c r="S91" i="8" s="1"/>
  <c r="F156" i="8"/>
  <c r="U156" i="8" s="1"/>
  <c r="U152" i="8"/>
  <c r="U166" i="8"/>
  <c r="V166" i="8" s="1"/>
  <c r="S7" i="8"/>
  <c r="S11" i="8" s="1"/>
  <c r="U11" i="8" s="1"/>
  <c r="S12" i="8"/>
  <c r="S16" i="8" s="1"/>
  <c r="U16" i="8" s="1"/>
  <c r="S17" i="8"/>
  <c r="S21" i="8" s="1"/>
  <c r="U21" i="8" s="1"/>
  <c r="S22" i="8"/>
  <c r="S26" i="8" s="1"/>
  <c r="U26" i="8" s="1"/>
  <c r="S27" i="8"/>
  <c r="S31" i="8" s="1"/>
  <c r="U31" i="8" s="1"/>
  <c r="S32" i="8"/>
  <c r="S36" i="8" s="1"/>
  <c r="U36" i="8" s="1"/>
  <c r="F121" i="8"/>
  <c r="U121" i="8" s="1"/>
  <c r="U117" i="8"/>
  <c r="F71" i="8"/>
  <c r="F41" i="8"/>
  <c r="U41" i="8" s="1"/>
  <c r="V41" i="8" s="1"/>
  <c r="U37" i="8"/>
  <c r="F106" i="8"/>
  <c r="U106" i="8" s="1"/>
  <c r="U102" i="8"/>
  <c r="S67" i="8"/>
  <c r="S71" i="8" s="1"/>
  <c r="F146" i="8"/>
  <c r="U146" i="8" s="1"/>
  <c r="U142" i="8"/>
  <c r="U176" i="8"/>
  <c r="V176" i="8" s="1"/>
  <c r="S82" i="8"/>
  <c r="S86" i="8" s="1"/>
  <c r="U161" i="8"/>
  <c r="F56" i="8"/>
  <c r="U56" i="8" s="1"/>
  <c r="U52" i="8"/>
  <c r="U157" i="8"/>
  <c r="U162" i="8"/>
  <c r="U167" i="8"/>
  <c r="U172" i="8"/>
  <c r="N71" i="7"/>
  <c r="N76" i="7"/>
  <c r="F80" i="7"/>
  <c r="N80" i="7" s="1"/>
  <c r="O80" i="7" s="1"/>
  <c r="N141" i="7"/>
  <c r="F145" i="7"/>
  <c r="N145" i="7" s="1"/>
  <c r="O145" i="7" s="1"/>
  <c r="O245" i="7"/>
  <c r="N101" i="7"/>
  <c r="F105" i="7"/>
  <c r="N105" i="7" s="1"/>
  <c r="O105" i="7" s="1"/>
  <c r="F215" i="7"/>
  <c r="N215" i="7" s="1"/>
  <c r="N211" i="7"/>
  <c r="F35" i="7"/>
  <c r="N35" i="7" s="1"/>
  <c r="N31" i="7"/>
  <c r="N96" i="7"/>
  <c r="G100" i="7"/>
  <c r="N100" i="7" s="1"/>
  <c r="O100" i="7" s="1"/>
  <c r="N156" i="7"/>
  <c r="F160" i="7"/>
  <c r="N160" i="7" s="1"/>
  <c r="O160" i="7" s="1"/>
  <c r="N61" i="7"/>
  <c r="F65" i="7"/>
  <c r="N65" i="7" s="1"/>
  <c r="O65" i="7" s="1"/>
  <c r="F90" i="7"/>
  <c r="N90" i="7" s="1"/>
  <c r="N86" i="7"/>
  <c r="N131" i="7"/>
  <c r="F135" i="7"/>
  <c r="N135" i="7" s="1"/>
  <c r="O135" i="7" s="1"/>
  <c r="H265" i="7"/>
  <c r="N265" i="7" s="1"/>
  <c r="O265" i="7" s="1"/>
  <c r="N261" i="7"/>
  <c r="N11" i="7"/>
  <c r="F55" i="7"/>
  <c r="N55" i="7" s="1"/>
  <c r="N51" i="7"/>
  <c r="N75" i="7"/>
  <c r="O75" i="7" s="1"/>
  <c r="F185" i="7"/>
  <c r="N185" i="7" s="1"/>
  <c r="N181" i="7"/>
  <c r="N146" i="7"/>
  <c r="F175" i="7"/>
  <c r="N175" i="7" s="1"/>
  <c r="N171" i="7"/>
  <c r="N221" i="7"/>
  <c r="F230" i="7"/>
  <c r="N230" i="7" s="1"/>
  <c r="N226" i="7"/>
  <c r="N110" i="7"/>
  <c r="N165" i="7"/>
  <c r="N186" i="7"/>
  <c r="N200" i="7"/>
  <c r="N81" i="7"/>
  <c r="H85" i="7"/>
  <c r="N85" i="7" s="1"/>
  <c r="O85" i="7" s="1"/>
  <c r="G130" i="7"/>
  <c r="N130" i="7" s="1"/>
  <c r="O130" i="7" s="1"/>
  <c r="N126" i="7"/>
  <c r="N70" i="7"/>
  <c r="N115" i="7"/>
  <c r="N166" i="7"/>
  <c r="N210" i="7"/>
  <c r="F20" i="7"/>
  <c r="N20" i="7" s="1"/>
  <c r="N16" i="7"/>
  <c r="N40" i="7"/>
  <c r="N240" i="7"/>
  <c r="O240" i="7" s="1"/>
  <c r="N6" i="7"/>
  <c r="N30" i="7"/>
  <c r="O30" i="7" s="1"/>
  <c r="F120" i="7"/>
  <c r="N120" i="7" s="1"/>
  <c r="N116" i="7"/>
  <c r="F295" i="7"/>
  <c r="N295" i="7" s="1"/>
  <c r="O295" i="7" s="1"/>
  <c r="F330" i="7"/>
  <c r="N330" i="7" s="1"/>
  <c r="N326" i="7"/>
  <c r="F15" i="7"/>
  <c r="N15" i="7" s="1"/>
  <c r="O15" i="7" s="1"/>
  <c r="F190" i="7"/>
  <c r="N190" i="7" s="1"/>
  <c r="N345" i="7"/>
  <c r="O345" i="7" s="1"/>
  <c r="N350" i="7"/>
  <c r="O350" i="7" s="1"/>
  <c r="F365" i="7"/>
  <c r="N365" i="7" s="1"/>
  <c r="N361" i="7"/>
  <c r="F150" i="7"/>
  <c r="N150" i="7" s="1"/>
  <c r="O150" i="7" s="1"/>
  <c r="N246" i="7"/>
  <c r="N280" i="7"/>
  <c r="F50" i="7"/>
  <c r="N50" i="7" s="1"/>
  <c r="O50" i="7" s="1"/>
  <c r="F60" i="7"/>
  <c r="N60" i="7" s="1"/>
  <c r="N56" i="7"/>
  <c r="N125" i="7"/>
  <c r="O125" i="7" s="1"/>
  <c r="N205" i="7"/>
  <c r="O205" i="7" s="1"/>
  <c r="F315" i="7"/>
  <c r="N315" i="7" s="1"/>
  <c r="O315" i="7" s="1"/>
  <c r="N311" i="7"/>
  <c r="N196" i="7"/>
  <c r="N236" i="7"/>
  <c r="F305" i="7"/>
  <c r="G311" i="7"/>
  <c r="G315" i="7" s="1"/>
  <c r="M311" i="7"/>
  <c r="M315" i="7" s="1"/>
  <c r="L311" i="7"/>
  <c r="L315" i="7" s="1"/>
  <c r="F10" i="7"/>
  <c r="N10" i="7" s="1"/>
  <c r="F95" i="7"/>
  <c r="N95" i="7" s="1"/>
  <c r="O95" i="7" s="1"/>
  <c r="N106" i="7"/>
  <c r="H180" i="7"/>
  <c r="N180" i="7" s="1"/>
  <c r="O180" i="7" s="1"/>
  <c r="F220" i="7"/>
  <c r="N220" i="7" s="1"/>
  <c r="N216" i="7"/>
  <c r="N251" i="7"/>
  <c r="O255" i="7" s="1"/>
  <c r="M301" i="7"/>
  <c r="M305" i="7" s="1"/>
  <c r="L301" i="7"/>
  <c r="L305" i="7" s="1"/>
  <c r="G301" i="7"/>
  <c r="G305" i="7" s="1"/>
  <c r="N340" i="7"/>
  <c r="N371" i="7"/>
  <c r="F375" i="7"/>
  <c r="F25" i="7"/>
  <c r="N25" i="7" s="1"/>
  <c r="O25" i="7" s="1"/>
  <c r="N66" i="7"/>
  <c r="N195" i="7"/>
  <c r="N225" i="7"/>
  <c r="O225" i="7" s="1"/>
  <c r="F235" i="7"/>
  <c r="N235" i="7" s="1"/>
  <c r="N231" i="7"/>
  <c r="I260" i="7"/>
  <c r="N381" i="7"/>
  <c r="F385" i="7"/>
  <c r="N385" i="7" s="1"/>
  <c r="O385" i="7" s="1"/>
  <c r="F170" i="7"/>
  <c r="N170" i="7" s="1"/>
  <c r="O170" i="7" s="1"/>
  <c r="N206" i="7"/>
  <c r="N271" i="7"/>
  <c r="N321" i="7"/>
  <c r="N336" i="7"/>
  <c r="N356" i="7"/>
  <c r="N360" i="7"/>
  <c r="O360" i="7" s="1"/>
  <c r="F140" i="7"/>
  <c r="N140" i="7" s="1"/>
  <c r="N136" i="7"/>
  <c r="F300" i="7"/>
  <c r="N300" i="7" s="1"/>
  <c r="N296" i="7"/>
  <c r="M381" i="7"/>
  <c r="M385" i="7" s="1"/>
  <c r="L381" i="7"/>
  <c r="L385" i="7" s="1"/>
  <c r="G381" i="7"/>
  <c r="G385" i="7" s="1"/>
  <c r="F155" i="7"/>
  <c r="N155" i="7" s="1"/>
  <c r="N151" i="7"/>
  <c r="N161" i="7"/>
  <c r="F250" i="7"/>
  <c r="N250" i="7" s="1"/>
  <c r="O250" i="7" s="1"/>
  <c r="N276" i="7"/>
  <c r="F285" i="7"/>
  <c r="N285" i="7" s="1"/>
  <c r="N281" i="7"/>
  <c r="N366" i="7"/>
  <c r="N121" i="7"/>
  <c r="N36" i="7"/>
  <c r="N45" i="7"/>
  <c r="N270" i="7"/>
  <c r="O270" i="7" s="1"/>
  <c r="N286" i="7"/>
  <c r="N41" i="7"/>
  <c r="N260" i="7"/>
  <c r="O260" i="7" s="1"/>
  <c r="F380" i="7"/>
  <c r="N380" i="7" s="1"/>
  <c r="N376" i="7"/>
  <c r="N111" i="7"/>
  <c r="N241" i="7"/>
  <c r="N306" i="7"/>
  <c r="F310" i="7"/>
  <c r="N310" i="7" s="1"/>
  <c r="O310" i="7" s="1"/>
  <c r="F320" i="7"/>
  <c r="M375" i="7"/>
  <c r="N191" i="7"/>
  <c r="N275" i="7"/>
  <c r="N290" i="7"/>
  <c r="M316" i="7"/>
  <c r="M320" i="7" s="1"/>
  <c r="L316" i="7"/>
  <c r="L320" i="7" s="1"/>
  <c r="G316" i="7"/>
  <c r="G320" i="7" s="1"/>
  <c r="F325" i="7"/>
  <c r="N325" i="7" s="1"/>
  <c r="O325" i="7" s="1"/>
  <c r="G331" i="7"/>
  <c r="L351" i="7"/>
  <c r="L355" i="7" s="1"/>
  <c r="N355" i="7" s="1"/>
  <c r="L286" i="7"/>
  <c r="L290" i="7" s="1"/>
  <c r="L366" i="7"/>
  <c r="L370" i="7" s="1"/>
  <c r="N370" i="7" s="1"/>
  <c r="O370" i="7" s="1"/>
  <c r="L331" i="7"/>
  <c r="L335" i="7" s="1"/>
  <c r="W21" i="11" l="1"/>
  <c r="W41" i="11"/>
  <c r="W46" i="11"/>
  <c r="W16" i="11"/>
  <c r="W26" i="11"/>
  <c r="W71" i="11"/>
  <c r="W66" i="11"/>
  <c r="W56" i="11"/>
  <c r="V31" i="10"/>
  <c r="V71" i="10"/>
  <c r="V111" i="10"/>
  <c r="V26" i="10"/>
  <c r="V51" i="10"/>
  <c r="V86" i="10"/>
  <c r="V56" i="10"/>
  <c r="V36" i="10"/>
  <c r="V66" i="10"/>
  <c r="V91" i="10"/>
  <c r="V41" i="10"/>
  <c r="V76" i="10"/>
  <c r="V101" i="10"/>
  <c r="V81" i="10"/>
  <c r="V46" i="10"/>
  <c r="U146" i="9"/>
  <c r="U131" i="9"/>
  <c r="U51" i="9"/>
  <c r="U86" i="9"/>
  <c r="U176" i="9"/>
  <c r="U166" i="9"/>
  <c r="U31" i="9"/>
  <c r="V96" i="8"/>
  <c r="U27" i="8"/>
  <c r="V31" i="8" s="1"/>
  <c r="V146" i="8"/>
  <c r="U57" i="8"/>
  <c r="V131" i="8"/>
  <c r="U87" i="8"/>
  <c r="V141" i="8"/>
  <c r="U126" i="8"/>
  <c r="V126" i="8" s="1"/>
  <c r="V86" i="8"/>
  <c r="V76" i="8"/>
  <c r="U32" i="8"/>
  <c r="V36" i="8" s="1"/>
  <c r="U61" i="8"/>
  <c r="U91" i="8"/>
  <c r="V121" i="8"/>
  <c r="V136" i="8"/>
  <c r="V156" i="8"/>
  <c r="U7" i="8"/>
  <c r="V11" i="8" s="1"/>
  <c r="U42" i="8"/>
  <c r="V101" i="8"/>
  <c r="V66" i="8"/>
  <c r="V111" i="8"/>
  <c r="U22" i="8"/>
  <c r="V26" i="8" s="1"/>
  <c r="U12" i="8"/>
  <c r="V16" i="8" s="1"/>
  <c r="V161" i="8"/>
  <c r="U67" i="8"/>
  <c r="V171" i="8"/>
  <c r="U46" i="8"/>
  <c r="V51" i="8"/>
  <c r="V106" i="8"/>
  <c r="U17" i="8"/>
  <c r="V21" i="8" s="1"/>
  <c r="V151" i="8"/>
  <c r="V56" i="8"/>
  <c r="U71" i="8"/>
  <c r="V116" i="8"/>
  <c r="U77" i="8"/>
  <c r="V81" i="8" s="1"/>
  <c r="G335" i="7"/>
  <c r="N335" i="7" s="1"/>
  <c r="N331" i="7"/>
  <c r="O200" i="7"/>
  <c r="O35" i="7"/>
  <c r="O275" i="7"/>
  <c r="O55" i="7"/>
  <c r="O120" i="7"/>
  <c r="O290" i="7"/>
  <c r="O330" i="7"/>
  <c r="O220" i="7"/>
  <c r="O165" i="7"/>
  <c r="O235" i="7"/>
  <c r="O280" i="7"/>
  <c r="O300" i="7"/>
  <c r="O40" i="7"/>
  <c r="O90" i="7"/>
  <c r="O155" i="7"/>
  <c r="O60" i="7"/>
  <c r="O45" i="7"/>
  <c r="O110" i="7"/>
  <c r="O10" i="7"/>
  <c r="O20" i="7"/>
  <c r="N351" i="7"/>
  <c r="O355" i="7" s="1"/>
  <c r="O175" i="7"/>
  <c r="N305" i="7"/>
  <c r="O305" i="7" s="1"/>
  <c r="O380" i="7"/>
  <c r="O215" i="7"/>
  <c r="O195" i="7"/>
  <c r="O230" i="7"/>
  <c r="N316" i="7"/>
  <c r="O365" i="7"/>
  <c r="O210" i="7"/>
  <c r="O115" i="7"/>
  <c r="N320" i="7"/>
  <c r="O140" i="7"/>
  <c r="N375" i="7"/>
  <c r="O375" i="7" s="1"/>
  <c r="N301" i="7"/>
  <c r="O285" i="7"/>
  <c r="O340" i="7"/>
  <c r="O190" i="7"/>
  <c r="O70" i="7"/>
  <c r="O185" i="7"/>
  <c r="V71" i="8" l="1"/>
  <c r="V91" i="8"/>
  <c r="V61" i="8"/>
  <c r="V46" i="8"/>
  <c r="O335" i="7"/>
  <c r="O32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7EFA4492-8645-423D-BE78-5593B46228B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2BF9080C-D3DC-4C04-BD02-F7EC618E2B8B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AA58FC96-D4C9-444D-810C-3CF4FF9C9E9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D8558ACC-12E4-422E-842E-A07A168DEFEE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<sst xmlns="http://schemas.openxmlformats.org/spreadsheetml/2006/main" count="1334" uniqueCount="371">
  <si>
    <t>رقم تسلسل</t>
  </si>
  <si>
    <t>رقم القيد</t>
  </si>
  <si>
    <t>التقييم</t>
  </si>
  <si>
    <t>الأمتحان النهائي</t>
  </si>
  <si>
    <t>المجموع</t>
  </si>
  <si>
    <t>عدد الوحدات</t>
  </si>
  <si>
    <t>التقييم النهائي</t>
  </si>
  <si>
    <t>اســــــم الطالـــــب</t>
  </si>
  <si>
    <t>معدل الفصل</t>
  </si>
  <si>
    <t>لغـــة انجليزيـــــة 1</t>
  </si>
  <si>
    <t>مواد مطالب بها من الفصل الاول</t>
  </si>
  <si>
    <t>رياضة1</t>
  </si>
  <si>
    <t>لغة عربية</t>
  </si>
  <si>
    <t>مواد مطالب بها من الفصل الرابع</t>
  </si>
  <si>
    <t>مـــــواد الفصــــــــــــــل الثانــــــــــــــــي</t>
  </si>
  <si>
    <t>التقديـــر</t>
  </si>
  <si>
    <t>نتيجــة الطالــب</t>
  </si>
  <si>
    <t>مــلا حظات</t>
  </si>
  <si>
    <t>مـــــواد الفصــــــــــــــل الثااـــث</t>
  </si>
  <si>
    <t>مواد مطالب بها من الفصل الثاني</t>
  </si>
  <si>
    <t>مواد مطالب بها من الفصل الثالــث</t>
  </si>
  <si>
    <t>مـــــواد الفصــــــــــــــل الرابـــع</t>
  </si>
  <si>
    <t>مـــــواد الفصــــــــــــــل الخامس</t>
  </si>
  <si>
    <t>إحصاء</t>
  </si>
  <si>
    <t>مبادئ محاسبة 1</t>
  </si>
  <si>
    <t>مبادئ اقتصاد</t>
  </si>
  <si>
    <t>مبادئ إدارة اعمال</t>
  </si>
  <si>
    <t>اساسيات الحاسب آلي</t>
  </si>
  <si>
    <t>إحصاء 2</t>
  </si>
  <si>
    <t xml:space="preserve">رياضة 2 </t>
  </si>
  <si>
    <t>لغـــة انجليزيـــــة 2</t>
  </si>
  <si>
    <t>مبادئ مجاسبة 2</t>
  </si>
  <si>
    <t xml:space="preserve">طرق بحث </t>
  </si>
  <si>
    <t>علوم سلوكية</t>
  </si>
  <si>
    <t>مبادئ تمويل</t>
  </si>
  <si>
    <t>محاسبة متوسطة 1</t>
  </si>
  <si>
    <t>إدارة العمليات المصرفية</t>
  </si>
  <si>
    <t>القانون التجاري</t>
  </si>
  <si>
    <t>الاقتصاد الكلي</t>
  </si>
  <si>
    <t>إدارة الموسسات المالية</t>
  </si>
  <si>
    <t>التسويق المصرفي</t>
  </si>
  <si>
    <t>المالية العامــة</t>
  </si>
  <si>
    <t>محاسبة متوسطة 2</t>
  </si>
  <si>
    <t>الإدارة الماليـة</t>
  </si>
  <si>
    <t>أسواق ماليــة</t>
  </si>
  <si>
    <t xml:space="preserve">النقود والمصارف </t>
  </si>
  <si>
    <t xml:space="preserve">بحوث عمليات </t>
  </si>
  <si>
    <t>دراسة جدوي</t>
  </si>
  <si>
    <t>إدارة الصيرفة الإسلامية</t>
  </si>
  <si>
    <t>تمويل وتجارة مالية</t>
  </si>
  <si>
    <t>إمحاسبة إدارية</t>
  </si>
  <si>
    <t>تحليل مالي</t>
  </si>
  <si>
    <t>إدارة مشروعات صغري</t>
  </si>
  <si>
    <t>التدقيق والرقابة المصرفية</t>
  </si>
  <si>
    <t>إدارة محافظ وستتمار</t>
  </si>
  <si>
    <t>الغطاء والتامين المصرفي</t>
  </si>
  <si>
    <t>محاسبة المصارف والتأمين</t>
  </si>
  <si>
    <t>اقتصاديات أموال</t>
  </si>
  <si>
    <t>مبروكة ابوبكر إبراهيم</t>
  </si>
  <si>
    <t>ميلاد سالم ميلاد</t>
  </si>
  <si>
    <t>عبدالله عمر عبدالله ميلاد</t>
  </si>
  <si>
    <t>عبدالرؤوف مجدي دراويل</t>
  </si>
  <si>
    <t>ليلى المهدي احمد</t>
  </si>
  <si>
    <t>امحمد محمود عبدالمولى</t>
  </si>
  <si>
    <t>مهند احمد محمد وحاد</t>
  </si>
  <si>
    <t>محمد سالم العطشان</t>
  </si>
  <si>
    <t>جاسر عثمان شهيب</t>
  </si>
  <si>
    <t>عبدالرحمن محمد عباس</t>
  </si>
  <si>
    <t>/////////////////////////////////////</t>
  </si>
  <si>
    <t>//////////</t>
  </si>
  <si>
    <t>محمد غانم محمد جبل</t>
  </si>
  <si>
    <t>رياض احمد السنوسي</t>
  </si>
  <si>
    <t>أنور احميدة حسين</t>
  </si>
  <si>
    <t>خليفة عبدالسلام خليفة</t>
  </si>
  <si>
    <t>مهند عادل زايد</t>
  </si>
  <si>
    <t>بشير صالح إبراهيم</t>
  </si>
  <si>
    <t>بشير امحمد عمر مسعود</t>
  </si>
  <si>
    <t>محمد عبدالمنعم العربي</t>
  </si>
  <si>
    <t>احمد بشير السنوسي الخير</t>
  </si>
  <si>
    <t>حاجي احميدة حاجي</t>
  </si>
  <si>
    <t>فارس محمود السنوسي</t>
  </si>
  <si>
    <t>جماعة العابد عبدالعزيز</t>
  </si>
  <si>
    <t>سالم خالد سالم برول</t>
  </si>
  <si>
    <t>عبدالعزيز عمر مرسوكة</t>
  </si>
  <si>
    <t>رغد محمد عمران</t>
  </si>
  <si>
    <t>إسماعيل بشير ابوخزام</t>
  </si>
  <si>
    <t>الوليد محمد عبدالرحمن</t>
  </si>
  <si>
    <t>الجديد علي محمد الجديد</t>
  </si>
  <si>
    <t>هبة علي السنوسي رفه</t>
  </si>
  <si>
    <t>مامةعلي محمد بن قدورة</t>
  </si>
  <si>
    <t>عبدالسلام فرحات غريبي</t>
  </si>
  <si>
    <t>علي مفتاح قدورة</t>
  </si>
  <si>
    <t>احمد عبدالعزيز شوائل</t>
  </si>
  <si>
    <t>ايمان فرحات الجيلاني</t>
  </si>
  <si>
    <t>محمد عثمان علي دومة</t>
  </si>
  <si>
    <t>محمد لطفي محمد حمادي</t>
  </si>
  <si>
    <t>سلامة صالح احميدة</t>
  </si>
  <si>
    <t>محمد مختار التوهامي</t>
  </si>
  <si>
    <t>وليد التوهامي محمد التوهامي</t>
  </si>
  <si>
    <t>امبارك حامد محمد</t>
  </si>
  <si>
    <t>رياض احمد منتصر ابوطريف</t>
  </si>
  <si>
    <t>إيقاف قيد</t>
  </si>
  <si>
    <t>مفتاح صالح التوهامي</t>
  </si>
  <si>
    <t>عزام عياد صالح ميلاد</t>
  </si>
  <si>
    <t>عبدالكبير محمد عبدالرحمن</t>
  </si>
  <si>
    <t>محمد علي سعد منصور</t>
  </si>
  <si>
    <t>المعتصم بالله امحمد ابوخزام</t>
  </si>
  <si>
    <t>محمد علي محمد عبدالله</t>
  </si>
  <si>
    <t>محمد نورالدين الصادق</t>
  </si>
  <si>
    <t>علي مصباح علي الاشهب</t>
  </si>
  <si>
    <t>مفتاح التوهامي مفتاح</t>
  </si>
  <si>
    <t>مريم عبدالحميد ابوالشيوخ</t>
  </si>
  <si>
    <t>محمد سليمان حامد</t>
  </si>
  <si>
    <t>عبدالهادي عبدالحفيظ عبدالهادي</t>
  </si>
  <si>
    <t>عبدالسلام ناجي العطشان</t>
  </si>
  <si>
    <t>إسماعيل منتصر امبارك</t>
  </si>
  <si>
    <t>ظافر علي القدافي</t>
  </si>
  <si>
    <t>احمد البشير احمد كاجيجي</t>
  </si>
  <si>
    <t>احمد عثمان شهيب</t>
  </si>
  <si>
    <t>عبدالله امحمد شهيب</t>
  </si>
  <si>
    <t>إبراهيم السنوسي العطشان</t>
  </si>
  <si>
    <t>هشام كريم امحمد الغول</t>
  </si>
  <si>
    <t>نورالدين عبدالنبي محمد</t>
  </si>
  <si>
    <t>مصباح عمر عويدات</t>
  </si>
  <si>
    <t>طه رجب علي حفيظه</t>
  </si>
  <si>
    <t>عمر عبدالكافي ارحومه</t>
  </si>
  <si>
    <t>أسامة مفتاح ابوبكر</t>
  </si>
  <si>
    <t>عبدالرحمن إسماعيل مصباح</t>
  </si>
  <si>
    <t>عمر منتصر محمد عمران</t>
  </si>
  <si>
    <t>امبارك أسامة امبارك قارح</t>
  </si>
  <si>
    <t>محمد عبدالسلام مونه</t>
  </si>
  <si>
    <t>مصباح صالح مصباح</t>
  </si>
  <si>
    <t>عبدالسلام عمران عبدالسلام</t>
  </si>
  <si>
    <t>جعفر محمد عبدالسلام</t>
  </si>
  <si>
    <t>مهند البريكي يوسف</t>
  </si>
  <si>
    <t>هتاء عبدالحكيم التوهامي</t>
  </si>
  <si>
    <t>عبدالسلام علي واني</t>
  </si>
  <si>
    <t>صدام حسين محمد بشير</t>
  </si>
  <si>
    <t>شهيبب ناجي علي شهيب</t>
  </si>
  <si>
    <t>جميل إبراهيم اسطيل</t>
  </si>
  <si>
    <t>احمد مصباح عقيل</t>
  </si>
  <si>
    <t>عبدالله علي عبدالله عبدالسلام</t>
  </si>
  <si>
    <t>ايات عبدالسلام شنتال</t>
  </si>
  <si>
    <t>مسعودة ابوبكر العماري</t>
  </si>
  <si>
    <t>محمد حمد حموده الغليظ</t>
  </si>
  <si>
    <t>طه مصطفى المجدولي</t>
  </si>
  <si>
    <t>قدافي محمود قدافي</t>
  </si>
  <si>
    <t>نجمة امحمد مادي</t>
  </si>
  <si>
    <t>سعاد عبدالله الطاهر</t>
  </si>
  <si>
    <t>فاطمة احمد الصالحين</t>
  </si>
  <si>
    <t>عمر مهدي قرينقو</t>
  </si>
  <si>
    <t>عبدالرؤوف طارق احمد</t>
  </si>
  <si>
    <t>احميدة علي خميس</t>
  </si>
  <si>
    <t>ايه سالم همر إبراهيم</t>
  </si>
  <si>
    <t>عثمان محمد مرسوكة</t>
  </si>
  <si>
    <t>علي محمد محمد حامد</t>
  </si>
  <si>
    <t>بن علي محمد باباي</t>
  </si>
  <si>
    <t>عبدالهادي سليم السنوسي</t>
  </si>
  <si>
    <t>منذر بشير محمد قطنش</t>
  </si>
  <si>
    <t>محمود السنوسي الزروق</t>
  </si>
  <si>
    <t>مصعب مصطفى فرحات</t>
  </si>
  <si>
    <t>اية بشير ابوالعيون</t>
  </si>
  <si>
    <t>هديل ابوالقاسم ابوالشيوخ</t>
  </si>
  <si>
    <t>ريم مصطفى كركوري</t>
  </si>
  <si>
    <t>احمد بشير احميده طويلة</t>
  </si>
  <si>
    <t>حزازة محمد مسعود بارود</t>
  </si>
  <si>
    <t>عتيقة الفاتح موسى</t>
  </si>
  <si>
    <t>نجوى صالح اصيل</t>
  </si>
  <si>
    <t>محمد المهدي قطنش</t>
  </si>
  <si>
    <t>شيماء رجب واني</t>
  </si>
  <si>
    <t>اية ارحومة علي</t>
  </si>
  <si>
    <t>بشرى الشارف الرياحي</t>
  </si>
  <si>
    <t>سالمة عبدالله جاد المولى</t>
  </si>
  <si>
    <t>فاطمة حسين عبدالقادر</t>
  </si>
  <si>
    <t>عبدالغزيز محمد باشا</t>
  </si>
  <si>
    <t>حنين ناصر شنتال</t>
  </si>
  <si>
    <t>بشرى حافظ احمد جابر</t>
  </si>
  <si>
    <t>المختار محمد حامد عبدالرحمن</t>
  </si>
  <si>
    <t>شامخ احمد محمد عبدالرحمن</t>
  </si>
  <si>
    <t>عبدالله عبدالفاضل حامد</t>
  </si>
  <si>
    <t>عثمان جمال جولار</t>
  </si>
  <si>
    <t>ميلاد عقيلة ابوبكر</t>
  </si>
  <si>
    <t>ياسمين محمد ابوالشيوخ</t>
  </si>
  <si>
    <t>مريم الماعلي تقوقا</t>
  </si>
  <si>
    <t>نورا علي عبدالغني</t>
  </si>
  <si>
    <t>احمد ياسمين ابوقصيصة</t>
  </si>
  <si>
    <t>محمد حسن صحور</t>
  </si>
  <si>
    <t>عكرمة احمد الهوني</t>
  </si>
  <si>
    <t>صهيب امحمد حبيب</t>
  </si>
  <si>
    <t>محمد احمد العطشان</t>
  </si>
  <si>
    <t>زهرة محمد ابوقصيصة</t>
  </si>
  <si>
    <t>سفيان محمد فلغوش</t>
  </si>
  <si>
    <t>محمد عبدالله زائد</t>
  </si>
  <si>
    <t>محمد علي محمد السعداوي</t>
  </si>
  <si>
    <t>سلامة احمد سلامة</t>
  </si>
  <si>
    <t>انس طارق كريم</t>
  </si>
  <si>
    <t>مهدي محمد طليحة</t>
  </si>
  <si>
    <t>ابوخزام امحمد ابوخزام</t>
  </si>
  <si>
    <t>احميدة علي عبدالسلام فرحات</t>
  </si>
  <si>
    <t>صالح احميدة حسين</t>
  </si>
  <si>
    <t>محمد امحمد مونه</t>
  </si>
  <si>
    <t>عبدالحميد محمد عبدالحميد</t>
  </si>
  <si>
    <t>زينب ادا ابوبكر</t>
  </si>
  <si>
    <t>جعفر علي منصور</t>
  </si>
  <si>
    <t>رنا عزالدين مليمدي</t>
  </si>
  <si>
    <t>عبدالسلام عامر عبدالسلام</t>
  </si>
  <si>
    <t>محمد احمد محمود قدار</t>
  </si>
  <si>
    <t>زوينة رجب محمد</t>
  </si>
  <si>
    <t>عبدالعزيز صالح عبدالعزيز</t>
  </si>
  <si>
    <t>منال محمد عبدالله</t>
  </si>
  <si>
    <t>خديجة أيا ابوبكر</t>
  </si>
  <si>
    <t>مريم ادول انتهول</t>
  </si>
  <si>
    <t>رجاء صالح الجيلاني</t>
  </si>
  <si>
    <t>ابوبكر امحمد محمد التوهامي</t>
  </si>
  <si>
    <t>عبدالرحمن سالم شهيب</t>
  </si>
  <si>
    <t>صالح عبداللطيف امحمد</t>
  </si>
  <si>
    <t>اعمال الفصل</t>
  </si>
  <si>
    <t>AC242041</t>
  </si>
  <si>
    <t>AC251003</t>
  </si>
  <si>
    <t>AC251005</t>
  </si>
  <si>
    <t>AC252001</t>
  </si>
  <si>
    <t>AC252002</t>
  </si>
  <si>
    <t>AC252003</t>
  </si>
  <si>
    <t>AC252004</t>
  </si>
  <si>
    <t>AC252005</t>
  </si>
  <si>
    <t>AC252006</t>
  </si>
  <si>
    <t>AC252007</t>
  </si>
  <si>
    <t>AC252008</t>
  </si>
  <si>
    <t>AC252009</t>
  </si>
  <si>
    <t>AC252010</t>
  </si>
  <si>
    <t>AC252011</t>
  </si>
  <si>
    <t>AC252012</t>
  </si>
  <si>
    <t>AC252013</t>
  </si>
  <si>
    <t>AC252014</t>
  </si>
  <si>
    <t>AC252015</t>
  </si>
  <si>
    <t>AC252016</t>
  </si>
  <si>
    <t>AC252017</t>
  </si>
  <si>
    <t>AC252018</t>
  </si>
  <si>
    <t>AC252019</t>
  </si>
  <si>
    <t>AC252020</t>
  </si>
  <si>
    <t>AC252021</t>
  </si>
  <si>
    <t>AC252022</t>
  </si>
  <si>
    <t>AC252023</t>
  </si>
  <si>
    <t>AC252024</t>
  </si>
  <si>
    <t>AC252025</t>
  </si>
  <si>
    <t>AC252026</t>
  </si>
  <si>
    <t>AC252027</t>
  </si>
  <si>
    <t>AC252028</t>
  </si>
  <si>
    <t>AC252029</t>
  </si>
  <si>
    <t>AC252030</t>
  </si>
  <si>
    <t>AC252069</t>
  </si>
  <si>
    <t>AC241001</t>
  </si>
  <si>
    <t>AC252067</t>
  </si>
  <si>
    <t>AC252066</t>
  </si>
  <si>
    <t>AC252065</t>
  </si>
  <si>
    <t>AC252063</t>
  </si>
  <si>
    <t>AC252062</t>
  </si>
  <si>
    <t>AC232028</t>
  </si>
  <si>
    <t>AC252061</t>
  </si>
  <si>
    <t>AC252060</t>
  </si>
  <si>
    <t>AC252059</t>
  </si>
  <si>
    <t>AC252058</t>
  </si>
  <si>
    <t>AC252057</t>
  </si>
  <si>
    <t>AC252056</t>
  </si>
  <si>
    <t>AC252055</t>
  </si>
  <si>
    <t>AC252054</t>
  </si>
  <si>
    <t>AC252053</t>
  </si>
  <si>
    <t>AC252052</t>
  </si>
  <si>
    <t>AC252051</t>
  </si>
  <si>
    <t>AC252050</t>
  </si>
  <si>
    <t>AC252031</t>
  </si>
  <si>
    <t>AC252032</t>
  </si>
  <si>
    <t>AC202533</t>
  </si>
  <si>
    <t>AC252034</t>
  </si>
  <si>
    <t>AC252035</t>
  </si>
  <si>
    <t>AC252036</t>
  </si>
  <si>
    <t>AC252037</t>
  </si>
  <si>
    <t>AC252038</t>
  </si>
  <si>
    <t>AC252049</t>
  </si>
  <si>
    <t>AC252048</t>
  </si>
  <si>
    <t>AC252046</t>
  </si>
  <si>
    <t>AC252045</t>
  </si>
  <si>
    <t>AC252044</t>
  </si>
  <si>
    <t>AC252043</t>
  </si>
  <si>
    <t>AC252039</t>
  </si>
  <si>
    <t>AC252040</t>
  </si>
  <si>
    <t>AC252041</t>
  </si>
  <si>
    <t>AC252042</t>
  </si>
  <si>
    <t>AC232052</t>
  </si>
  <si>
    <t>AC241007</t>
  </si>
  <si>
    <t>AC241010</t>
  </si>
  <si>
    <t>AC231028</t>
  </si>
  <si>
    <t>AC232048</t>
  </si>
  <si>
    <t>AC241008</t>
  </si>
  <si>
    <t>AC232023</t>
  </si>
  <si>
    <t>AC242001</t>
  </si>
  <si>
    <t>AC242002</t>
  </si>
  <si>
    <t>AC242004</t>
  </si>
  <si>
    <t>AC242005</t>
  </si>
  <si>
    <t>AC242009</t>
  </si>
  <si>
    <t>AC242012</t>
  </si>
  <si>
    <t>AC242013</t>
  </si>
  <si>
    <t>AC242014</t>
  </si>
  <si>
    <t>AC242016</t>
  </si>
  <si>
    <t>AC242019</t>
  </si>
  <si>
    <t>AC242021</t>
  </si>
  <si>
    <t>AC242022</t>
  </si>
  <si>
    <t>AC242024</t>
  </si>
  <si>
    <t>AC242025</t>
  </si>
  <si>
    <t>AC242026</t>
  </si>
  <si>
    <t>AC242028</t>
  </si>
  <si>
    <t>AC242029</t>
  </si>
  <si>
    <t>AC242031</t>
  </si>
  <si>
    <t>AC242032</t>
  </si>
  <si>
    <t>AC242034</t>
  </si>
  <si>
    <t>AC242035</t>
  </si>
  <si>
    <t>AC242036</t>
  </si>
  <si>
    <t>AC242044</t>
  </si>
  <si>
    <t>AC242047</t>
  </si>
  <si>
    <t>AC231009</t>
  </si>
  <si>
    <t>AC231024</t>
  </si>
  <si>
    <t>AC231010</t>
  </si>
  <si>
    <t>AC221026</t>
  </si>
  <si>
    <t>AC231025</t>
  </si>
  <si>
    <t>AC232021</t>
  </si>
  <si>
    <t>AC222016</t>
  </si>
  <si>
    <t>AC231013</t>
  </si>
  <si>
    <t>AC231019</t>
  </si>
  <si>
    <t>AC231017</t>
  </si>
  <si>
    <t>AC232019</t>
  </si>
  <si>
    <t>AC232035</t>
  </si>
  <si>
    <t>AC232053</t>
  </si>
  <si>
    <t>AC232055</t>
  </si>
  <si>
    <t>AC241002</t>
  </si>
  <si>
    <t>AC241004</t>
  </si>
  <si>
    <t>AC241011</t>
  </si>
  <si>
    <t>AC241013</t>
  </si>
  <si>
    <t>AC241016</t>
  </si>
  <si>
    <t>AC232047</t>
  </si>
  <si>
    <t>AC232032</t>
  </si>
  <si>
    <t>AC241014</t>
  </si>
  <si>
    <t>AC232020</t>
  </si>
  <si>
    <t>AC232018</t>
  </si>
  <si>
    <t>AC232017</t>
  </si>
  <si>
    <t>AC232012</t>
  </si>
  <si>
    <t>AC232011</t>
  </si>
  <si>
    <t>AC232010</t>
  </si>
  <si>
    <t>AC232005</t>
  </si>
  <si>
    <t>AC232003</t>
  </si>
  <si>
    <t>AC231040</t>
  </si>
  <si>
    <t>AC231020</t>
  </si>
  <si>
    <t>AC231008</t>
  </si>
  <si>
    <t>AC231002</t>
  </si>
  <si>
    <t>AC221028</t>
  </si>
  <si>
    <t>AC232031</t>
  </si>
  <si>
    <t>AC242010</t>
  </si>
  <si>
    <t>AC242037</t>
  </si>
  <si>
    <t>AC241012</t>
  </si>
  <si>
    <t>AC242006</t>
  </si>
  <si>
    <t>AC242008</t>
  </si>
  <si>
    <t>AC242027</t>
  </si>
  <si>
    <t>AC242033</t>
  </si>
  <si>
    <t>AC242039</t>
  </si>
  <si>
    <t>AC242045</t>
  </si>
  <si>
    <t>AC251001</t>
  </si>
  <si>
    <t>AC251002</t>
  </si>
  <si>
    <t>AC251004</t>
  </si>
  <si>
    <t>AC231023</t>
  </si>
  <si>
    <t>AC242040</t>
  </si>
  <si>
    <t>AC252047</t>
  </si>
  <si>
    <t>المطلوب مراجعة قسم التسجيل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</si>
</sst>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4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B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 style="thick">
        <color indexed="10"/>
      </bottom>
      <diagonal/>
    </border>
    <border>
      <left style="thick">
        <color indexed="64"/>
      </left>
      <right style="double">
        <color indexed="64"/>
      </right>
      <top style="thick">
        <color indexed="10"/>
      </top>
      <bottom/>
      <diagonal/>
    </border>
    <border>
      <left style="double">
        <color indexed="64"/>
      </left>
      <right style="double">
        <color indexed="64"/>
      </right>
      <top/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thick">
        <color indexed="10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5" borderId="13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textRotation="90"/>
    </xf>
    <xf numFmtId="0" fontId="6" fillId="3" borderId="14" xfId="0" applyFont="1" applyFill="1" applyBorder="1" applyAlignment="1">
      <alignment horizontal="center" vertical="center" textRotation="90"/>
    </xf>
    <xf numFmtId="0" fontId="6" fillId="3" borderId="15" xfId="0" applyFont="1" applyFill="1" applyBorder="1" applyAlignment="1">
      <alignment horizontal="center" vertical="center" textRotation="90"/>
    </xf>
    <xf numFmtId="0" fontId="6" fillId="3" borderId="16" xfId="0" applyFont="1" applyFill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0" borderId="4" xfId="0" applyFont="1" applyBorder="1"/>
    <xf numFmtId="0" fontId="7" fillId="0" borderId="1" xfId="0" applyFont="1" applyBorder="1"/>
    <xf numFmtId="0" fontId="7" fillId="0" borderId="13" xfId="0" applyFont="1" applyBorder="1"/>
    <xf numFmtId="0" fontId="7" fillId="0" borderId="21" xfId="0" applyFont="1" applyBorder="1" applyAlignment="1">
      <alignment wrapText="1"/>
    </xf>
    <xf numFmtId="0" fontId="7" fillId="0" borderId="2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textRotation="90"/>
    </xf>
    <xf numFmtId="0" fontId="3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 textRotation="90"/>
    </xf>
    <xf numFmtId="0" fontId="3" fillId="3" borderId="25" xfId="0" applyFont="1" applyFill="1" applyBorder="1" applyAlignment="1">
      <alignment horizontal="center" vertical="center" textRotation="90"/>
    </xf>
    <xf numFmtId="0" fontId="3" fillId="3" borderId="16" xfId="0" applyFont="1" applyFill="1" applyBorder="1" applyAlignment="1">
      <alignment horizontal="center" vertical="center" textRotation="90"/>
    </xf>
    <xf numFmtId="0" fontId="6" fillId="3" borderId="29" xfId="0" applyFont="1" applyFill="1" applyBorder="1" applyAlignment="1">
      <alignment horizontal="center" vertical="center" textRotation="90"/>
    </xf>
    <xf numFmtId="0" fontId="3" fillId="3" borderId="2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3" fillId="4" borderId="19" xfId="0" applyFont="1" applyFill="1" applyBorder="1" applyAlignment="1">
      <alignment horizontal="center"/>
    </xf>
    <xf numFmtId="0" fontId="5" fillId="2" borderId="21" xfId="0" applyFont="1" applyFill="1" applyBorder="1" applyAlignment="1">
      <alignment wrapText="1"/>
    </xf>
    <xf numFmtId="0" fontId="5" fillId="2" borderId="21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4" xfId="0" applyFont="1" applyFill="1" applyBorder="1"/>
    <xf numFmtId="0" fontId="7" fillId="7" borderId="6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textRotation="90"/>
    </xf>
    <xf numFmtId="0" fontId="7" fillId="0" borderId="31" xfId="0" applyFont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textRotation="90"/>
    </xf>
    <xf numFmtId="0" fontId="6" fillId="0" borderId="18" xfId="0" applyFont="1" applyBorder="1" applyAlignment="1">
      <alignment horizontal="center" vertical="center" textRotation="90"/>
    </xf>
    <xf numFmtId="0" fontId="6" fillId="0" borderId="34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7" fillId="0" borderId="2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3" borderId="30" xfId="0" applyFont="1" applyFill="1" applyBorder="1" applyAlignment="1">
      <alignment horizontal="center" vertical="center" textRotation="90"/>
    </xf>
    <xf numFmtId="0" fontId="6" fillId="3" borderId="41" xfId="0" applyFont="1" applyFill="1" applyBorder="1" applyAlignment="1">
      <alignment horizontal="center" vertical="center" textRotation="90"/>
    </xf>
    <xf numFmtId="0" fontId="6" fillId="10" borderId="32" xfId="0" applyFont="1" applyFill="1" applyBorder="1" applyAlignment="1">
      <alignment horizontal="center" vertical="center"/>
    </xf>
    <xf numFmtId="0" fontId="6" fillId="10" borderId="4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textRotation="90"/>
    </xf>
    <xf numFmtId="0" fontId="8" fillId="0" borderId="5" xfId="0" applyFont="1" applyBorder="1" applyAlignment="1">
      <alignment textRotation="90"/>
    </xf>
    <xf numFmtId="0" fontId="8" fillId="0" borderId="5" xfId="0" applyFont="1" applyBorder="1"/>
    <xf numFmtId="0" fontId="6" fillId="3" borderId="5" xfId="0" applyFont="1" applyFill="1" applyBorder="1" applyAlignment="1">
      <alignment horizontal="center" vertical="center" textRotation="90"/>
    </xf>
    <xf numFmtId="0" fontId="6" fillId="11" borderId="32" xfId="0" applyFont="1" applyFill="1" applyBorder="1" applyAlignment="1">
      <alignment horizontal="center" vertical="center"/>
    </xf>
    <xf numFmtId="0" fontId="6" fillId="11" borderId="4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6F34-535B-451B-BC7C-7CE41B1DE427}">
  <dimension ref="B4:R386"/>
  <sheetViews>
    <sheetView rightToLeft="1" topLeftCell="A9" workbookViewId="0">
      <selection activeCell="A27" sqref="A27"/>
    </sheetView>
  </sheetViews>
  <sheetFormatPr defaultRowHeight="12.75" x14ac:dyDescent="0.2"/>
  <cols>
    <col min="3" max="3" width="25.42578125" customWidth="1"/>
    <col min="5" max="5" width="18.7109375" customWidth="1"/>
    <col min="18" max="18" width="24.28515625" customWidth="1"/>
  </cols>
  <sheetData>
    <row r="4" spans="2:18" ht="13.5" thickBot="1" x14ac:dyDescent="0.25"/>
    <row r="5" spans="2:18" ht="107.25" thickTop="1" thickBot="1" x14ac:dyDescent="0.25">
      <c r="B5" s="80" t="s">
        <v>0</v>
      </c>
      <c r="C5" s="63" t="s">
        <v>7</v>
      </c>
      <c r="D5" s="62" t="s">
        <v>1</v>
      </c>
      <c r="E5" s="63" t="s">
        <v>2</v>
      </c>
      <c r="F5" s="60" t="s">
        <v>23</v>
      </c>
      <c r="G5" s="60" t="s">
        <v>11</v>
      </c>
      <c r="H5" s="60" t="s">
        <v>9</v>
      </c>
      <c r="I5" s="60" t="s">
        <v>12</v>
      </c>
      <c r="J5" s="60" t="s">
        <v>27</v>
      </c>
      <c r="K5" s="60" t="s">
        <v>24</v>
      </c>
      <c r="L5" s="60" t="s">
        <v>25</v>
      </c>
      <c r="M5" s="60" t="s">
        <v>26</v>
      </c>
      <c r="N5" s="60" t="s">
        <v>4</v>
      </c>
      <c r="O5" s="61" t="s">
        <v>8</v>
      </c>
      <c r="P5" s="59" t="s">
        <v>15</v>
      </c>
      <c r="Q5" s="55" t="s">
        <v>16</v>
      </c>
      <c r="R5" s="167" t="s">
        <v>17</v>
      </c>
    </row>
    <row r="6" spans="2:18" ht="20.25" thickTop="1" thickBot="1" x14ac:dyDescent="0.35">
      <c r="B6" s="120">
        <v>-1</v>
      </c>
      <c r="C6" s="123" t="s">
        <v>58</v>
      </c>
      <c r="D6" s="101" t="s">
        <v>217</v>
      </c>
      <c r="E6" s="56" t="s">
        <v>5</v>
      </c>
      <c r="F6" s="57">
        <f>IF(IF(F9=0,0,3),3,0)</f>
        <v>0</v>
      </c>
      <c r="G6" s="57">
        <f>IF(IF(G9=0,0,3),3,0)</f>
        <v>0</v>
      </c>
      <c r="H6" s="57">
        <f>IF(IF(H9=0,0,2),2,0)</f>
        <v>0</v>
      </c>
      <c r="I6" s="57">
        <f>IF(IF(I9=0,0,2),2,0)</f>
        <v>2</v>
      </c>
      <c r="J6" s="57">
        <f>IF(IF(J9=0,0,3),3,0)</f>
        <v>0</v>
      </c>
      <c r="K6" s="57">
        <f>IF(IF(K9=0,0,3),3,0)</f>
        <v>0</v>
      </c>
      <c r="L6" s="57">
        <f>IF(IF(L9=0,0,3),3,0)</f>
        <v>3</v>
      </c>
      <c r="M6" s="57">
        <f>IF(IF(M9=0,0,3),3,0)</f>
        <v>3</v>
      </c>
      <c r="N6" s="57">
        <f>SUM(F6:M6)</f>
        <v>8</v>
      </c>
      <c r="O6" s="58"/>
      <c r="P6" s="113"/>
      <c r="Q6" s="113"/>
      <c r="R6" s="127"/>
    </row>
    <row r="7" spans="2:18" ht="19.5" thickTop="1" thickBot="1" x14ac:dyDescent="0.3">
      <c r="B7" s="118"/>
      <c r="C7" s="107"/>
      <c r="D7" s="101"/>
      <c r="E7" s="5" t="s">
        <v>216</v>
      </c>
      <c r="F7" s="6"/>
      <c r="G7" s="6"/>
      <c r="H7" s="6"/>
      <c r="I7" s="7">
        <v>0</v>
      </c>
      <c r="J7" s="7"/>
      <c r="K7" s="92">
        <v>0</v>
      </c>
      <c r="L7" s="7">
        <v>0</v>
      </c>
      <c r="M7" s="7">
        <v>0</v>
      </c>
      <c r="N7" s="4"/>
      <c r="O7" s="15"/>
      <c r="P7" s="101"/>
      <c r="Q7" s="101"/>
      <c r="R7" s="128"/>
    </row>
    <row r="8" spans="2:18" ht="19.5" thickTop="1" thickBot="1" x14ac:dyDescent="0.3">
      <c r="B8" s="118"/>
      <c r="C8" s="107"/>
      <c r="D8" s="101"/>
      <c r="E8" s="1" t="s">
        <v>3</v>
      </c>
      <c r="F8" s="3"/>
      <c r="G8" s="3"/>
      <c r="H8" s="3"/>
      <c r="I8" s="3">
        <v>79</v>
      </c>
      <c r="J8" s="3"/>
      <c r="K8" s="93"/>
      <c r="L8" s="3">
        <v>83</v>
      </c>
      <c r="M8" s="3">
        <v>68</v>
      </c>
      <c r="N8" s="4"/>
      <c r="O8" s="15"/>
      <c r="P8" s="101"/>
      <c r="Q8" s="101"/>
      <c r="R8" s="128"/>
    </row>
    <row r="9" spans="2:18" ht="19.5" thickTop="1" thickBot="1" x14ac:dyDescent="0.3">
      <c r="B9" s="118"/>
      <c r="C9" s="107"/>
      <c r="D9" s="101"/>
      <c r="E9" s="17" t="s">
        <v>4</v>
      </c>
      <c r="F9" s="18">
        <f t="shared" ref="F9:M9" si="0">IF(F8&lt;30,F7,F7+F8)</f>
        <v>0</v>
      </c>
      <c r="G9" s="18">
        <f t="shared" si="0"/>
        <v>0</v>
      </c>
      <c r="H9" s="18">
        <f t="shared" si="0"/>
        <v>0</v>
      </c>
      <c r="I9" s="18">
        <f t="shared" si="0"/>
        <v>79</v>
      </c>
      <c r="J9" s="18">
        <f t="shared" si="0"/>
        <v>0</v>
      </c>
      <c r="K9" s="18">
        <f t="shared" si="0"/>
        <v>0</v>
      </c>
      <c r="L9" s="18">
        <f t="shared" si="0"/>
        <v>83</v>
      </c>
      <c r="M9" s="18">
        <f t="shared" si="0"/>
        <v>68</v>
      </c>
      <c r="N9" s="19"/>
      <c r="O9" s="20"/>
      <c r="P9" s="101"/>
      <c r="Q9" s="101"/>
      <c r="R9" s="128"/>
    </row>
    <row r="10" spans="2:18" ht="37.5" thickTop="1" thickBot="1" x14ac:dyDescent="0.3">
      <c r="B10" s="119"/>
      <c r="C10" s="108"/>
      <c r="D10" s="102"/>
      <c r="E10" s="11" t="s">
        <v>6</v>
      </c>
      <c r="F10" s="12">
        <f t="shared" ref="F10:M10" si="1">SUM(F6*F9)</f>
        <v>0</v>
      </c>
      <c r="G10" s="12">
        <f t="shared" si="1"/>
        <v>0</v>
      </c>
      <c r="H10" s="12">
        <f t="shared" si="1"/>
        <v>0</v>
      </c>
      <c r="I10" s="12">
        <f t="shared" si="1"/>
        <v>158</v>
      </c>
      <c r="J10" s="12">
        <f t="shared" si="1"/>
        <v>0</v>
      </c>
      <c r="K10" s="12">
        <f t="shared" si="1"/>
        <v>0</v>
      </c>
      <c r="L10" s="12">
        <f t="shared" si="1"/>
        <v>249</v>
      </c>
      <c r="M10" s="12">
        <f t="shared" si="1"/>
        <v>204</v>
      </c>
      <c r="N10" s="13">
        <f>SUM(F10:M10)</f>
        <v>611</v>
      </c>
      <c r="O10" s="16">
        <f>SUM(N10/N6)</f>
        <v>76.375</v>
      </c>
      <c r="P10" s="102"/>
      <c r="Q10" s="102"/>
      <c r="R10" s="129"/>
    </row>
    <row r="11" spans="2:18" ht="20.25" thickTop="1" thickBot="1" x14ac:dyDescent="0.35">
      <c r="B11" s="117">
        <v>-2</v>
      </c>
      <c r="C11" s="106" t="s">
        <v>71</v>
      </c>
      <c r="D11" s="101" t="s">
        <v>218</v>
      </c>
      <c r="E11" s="14" t="s">
        <v>5</v>
      </c>
      <c r="F11" s="57">
        <f>IF(IF(F14=0,0,3),3,0)</f>
        <v>0</v>
      </c>
      <c r="G11" s="57">
        <f>IF(IF(G14=0,0,3),3,0)</f>
        <v>0</v>
      </c>
      <c r="H11" s="57">
        <f>IF(IF(H14=0,0,2),2,0)</f>
        <v>0</v>
      </c>
      <c r="I11" s="57">
        <f>IF(IF(I14=0,0,2),2,0)</f>
        <v>2</v>
      </c>
      <c r="J11" s="57">
        <f>IF(IF(J14=0,0,3),3,0)</f>
        <v>0</v>
      </c>
      <c r="K11" s="57">
        <f>IF(IF(K14=0,0,3),3,0)</f>
        <v>0</v>
      </c>
      <c r="L11" s="57">
        <f>IF(IF(L14=0,0,3),3,0)</f>
        <v>3</v>
      </c>
      <c r="M11" s="57">
        <f>IF(IF(M14=0,0,3),3,0)</f>
        <v>3</v>
      </c>
      <c r="N11" s="57">
        <f>SUM(F11:M11)</f>
        <v>8</v>
      </c>
      <c r="O11" s="58"/>
      <c r="P11" s="113"/>
      <c r="Q11" s="113"/>
      <c r="R11" s="127"/>
    </row>
    <row r="12" spans="2:18" ht="19.5" thickTop="1" thickBot="1" x14ac:dyDescent="0.3">
      <c r="B12" s="118"/>
      <c r="C12" s="107"/>
      <c r="D12" s="101"/>
      <c r="E12" s="2" t="s">
        <v>216</v>
      </c>
      <c r="F12" s="6"/>
      <c r="G12" s="6"/>
      <c r="H12" s="6"/>
      <c r="I12" s="7">
        <v>0</v>
      </c>
      <c r="J12" s="7"/>
      <c r="K12" s="7"/>
      <c r="L12" s="7">
        <v>0</v>
      </c>
      <c r="M12" s="7">
        <v>0</v>
      </c>
      <c r="N12" s="4"/>
      <c r="O12" s="15"/>
      <c r="P12" s="101"/>
      <c r="Q12" s="101"/>
      <c r="R12" s="128"/>
    </row>
    <row r="13" spans="2:18" ht="19.5" thickTop="1" thickBot="1" x14ac:dyDescent="0.3">
      <c r="B13" s="118"/>
      <c r="C13" s="107"/>
      <c r="D13" s="101"/>
      <c r="E13" s="1" t="s">
        <v>3</v>
      </c>
      <c r="F13" s="3"/>
      <c r="G13" s="3"/>
      <c r="H13" s="3"/>
      <c r="I13" s="3">
        <v>57</v>
      </c>
      <c r="J13" s="3"/>
      <c r="K13" s="3"/>
      <c r="L13" s="3">
        <v>55</v>
      </c>
      <c r="M13" s="3">
        <v>57</v>
      </c>
      <c r="N13" s="4"/>
      <c r="O13" s="15"/>
      <c r="P13" s="101"/>
      <c r="Q13" s="101"/>
      <c r="R13" s="128"/>
    </row>
    <row r="14" spans="2:18" ht="19.5" thickTop="1" thickBot="1" x14ac:dyDescent="0.3">
      <c r="B14" s="118"/>
      <c r="C14" s="107"/>
      <c r="D14" s="101"/>
      <c r="E14" s="17" t="s">
        <v>4</v>
      </c>
      <c r="F14" s="18">
        <f t="shared" ref="F14:M14" si="2">IF(F13&lt;30,F12,F12+F13)</f>
        <v>0</v>
      </c>
      <c r="G14" s="18">
        <f t="shared" si="2"/>
        <v>0</v>
      </c>
      <c r="H14" s="18">
        <f t="shared" si="2"/>
        <v>0</v>
      </c>
      <c r="I14" s="18">
        <f t="shared" si="2"/>
        <v>57</v>
      </c>
      <c r="J14" s="18">
        <f t="shared" si="2"/>
        <v>0</v>
      </c>
      <c r="K14" s="18">
        <f t="shared" si="2"/>
        <v>0</v>
      </c>
      <c r="L14" s="18">
        <f t="shared" si="2"/>
        <v>55</v>
      </c>
      <c r="M14" s="18">
        <f t="shared" si="2"/>
        <v>57</v>
      </c>
      <c r="N14" s="19"/>
      <c r="O14" s="20"/>
      <c r="P14" s="101"/>
      <c r="Q14" s="101"/>
      <c r="R14" s="128"/>
    </row>
    <row r="15" spans="2:18" ht="37.5" thickTop="1" thickBot="1" x14ac:dyDescent="0.3">
      <c r="B15" s="119"/>
      <c r="C15" s="108"/>
      <c r="D15" s="102"/>
      <c r="E15" s="11" t="s">
        <v>6</v>
      </c>
      <c r="F15" s="12">
        <f t="shared" ref="F15:M15" si="3">SUM(F11*F14)</f>
        <v>0</v>
      </c>
      <c r="G15" s="12">
        <f t="shared" si="3"/>
        <v>0</v>
      </c>
      <c r="H15" s="12">
        <f t="shared" si="3"/>
        <v>0</v>
      </c>
      <c r="I15" s="12">
        <f t="shared" si="3"/>
        <v>114</v>
      </c>
      <c r="J15" s="12">
        <f t="shared" si="3"/>
        <v>0</v>
      </c>
      <c r="K15" s="12">
        <f t="shared" si="3"/>
        <v>0</v>
      </c>
      <c r="L15" s="12">
        <f t="shared" si="3"/>
        <v>165</v>
      </c>
      <c r="M15" s="12">
        <f t="shared" si="3"/>
        <v>171</v>
      </c>
      <c r="N15" s="13">
        <f>SUM(F15:M15)</f>
        <v>450</v>
      </c>
      <c r="O15" s="16">
        <f>SUM(N15/N11)</f>
        <v>56.25</v>
      </c>
      <c r="P15" s="102"/>
      <c r="Q15" s="102"/>
      <c r="R15" s="129"/>
    </row>
    <row r="16" spans="2:18" ht="20.25" thickTop="1" thickBot="1" x14ac:dyDescent="0.35">
      <c r="B16" s="117">
        <v>-3</v>
      </c>
      <c r="C16" s="106" t="s">
        <v>70</v>
      </c>
      <c r="D16" s="101" t="s">
        <v>219</v>
      </c>
      <c r="E16" s="14" t="s">
        <v>5</v>
      </c>
      <c r="F16" s="57">
        <f>IF(IF(F19=0,0,3),3,0)</f>
        <v>0</v>
      </c>
      <c r="G16" s="57">
        <f>IF(IF(G19=0,0,3),3,0)</f>
        <v>3</v>
      </c>
      <c r="H16" s="57">
        <f>IF(IF(H19=0,0,2),2,0)</f>
        <v>2</v>
      </c>
      <c r="I16" s="57">
        <f>IF(IF(I19=0,0,2),2,0)</f>
        <v>2</v>
      </c>
      <c r="J16" s="57">
        <f>IF(IF(J19=0,0,3),3,0)</f>
        <v>3</v>
      </c>
      <c r="K16" s="57">
        <f>IF(IF(K19=0,0,3),3,0)</f>
        <v>3</v>
      </c>
      <c r="L16" s="57">
        <f>IF(IF(L19=0,0,3),3,0)</f>
        <v>3</v>
      </c>
      <c r="M16" s="57">
        <f>IF(IF(M19=0,0,3),3,0)</f>
        <v>3</v>
      </c>
      <c r="N16" s="57">
        <f>SUM(F16:M16)</f>
        <v>19</v>
      </c>
      <c r="O16" s="58"/>
      <c r="P16" s="113"/>
      <c r="Q16" s="113"/>
      <c r="R16" s="127"/>
    </row>
    <row r="17" spans="2:18" ht="19.5" thickTop="1" thickBot="1" x14ac:dyDescent="0.3">
      <c r="B17" s="118"/>
      <c r="C17" s="107"/>
      <c r="D17" s="101"/>
      <c r="E17" s="2" t="s">
        <v>216</v>
      </c>
      <c r="F17" s="6">
        <v>0</v>
      </c>
      <c r="G17" s="6">
        <v>20</v>
      </c>
      <c r="H17" s="6">
        <v>0</v>
      </c>
      <c r="I17" s="7">
        <v>0</v>
      </c>
      <c r="J17" s="7">
        <v>0</v>
      </c>
      <c r="K17" s="94">
        <v>20</v>
      </c>
      <c r="L17" s="7">
        <v>0</v>
      </c>
      <c r="M17" s="7">
        <v>40</v>
      </c>
      <c r="N17" s="4"/>
      <c r="O17" s="15"/>
      <c r="P17" s="101"/>
      <c r="Q17" s="101"/>
      <c r="R17" s="128"/>
    </row>
    <row r="18" spans="2:18" ht="19.5" thickTop="1" thickBot="1" x14ac:dyDescent="0.3">
      <c r="B18" s="118"/>
      <c r="C18" s="107"/>
      <c r="D18" s="101"/>
      <c r="E18" s="1" t="s">
        <v>3</v>
      </c>
      <c r="F18" s="3"/>
      <c r="G18" s="3"/>
      <c r="H18" s="3">
        <v>51</v>
      </c>
      <c r="I18" s="3">
        <v>63</v>
      </c>
      <c r="J18" s="3">
        <v>73</v>
      </c>
      <c r="K18" s="95">
        <v>0</v>
      </c>
      <c r="L18" s="3">
        <v>53</v>
      </c>
      <c r="M18" s="3"/>
      <c r="N18" s="4"/>
      <c r="O18" s="15"/>
      <c r="P18" s="101"/>
      <c r="Q18" s="101"/>
      <c r="R18" s="128"/>
    </row>
    <row r="19" spans="2:18" ht="19.5" thickTop="1" thickBot="1" x14ac:dyDescent="0.3">
      <c r="B19" s="118"/>
      <c r="C19" s="107"/>
      <c r="D19" s="101"/>
      <c r="E19" s="17" t="s">
        <v>4</v>
      </c>
      <c r="F19" s="18">
        <f t="shared" ref="F19:M19" si="4">IF(F18&lt;30,F17,F17+F18)</f>
        <v>0</v>
      </c>
      <c r="G19" s="18">
        <f t="shared" si="4"/>
        <v>20</v>
      </c>
      <c r="H19" s="18">
        <f t="shared" si="4"/>
        <v>51</v>
      </c>
      <c r="I19" s="18">
        <f t="shared" si="4"/>
        <v>63</v>
      </c>
      <c r="J19" s="18">
        <f t="shared" si="4"/>
        <v>73</v>
      </c>
      <c r="K19" s="95">
        <f t="shared" si="4"/>
        <v>20</v>
      </c>
      <c r="L19" s="18">
        <f t="shared" si="4"/>
        <v>53</v>
      </c>
      <c r="M19" s="18">
        <f t="shared" si="4"/>
        <v>40</v>
      </c>
      <c r="N19" s="19"/>
      <c r="O19" s="20"/>
      <c r="P19" s="101"/>
      <c r="Q19" s="101"/>
      <c r="R19" s="128"/>
    </row>
    <row r="20" spans="2:18" ht="37.5" thickTop="1" thickBot="1" x14ac:dyDescent="0.3">
      <c r="B20" s="119"/>
      <c r="C20" s="108"/>
      <c r="D20" s="102"/>
      <c r="E20" s="8" t="s">
        <v>6</v>
      </c>
      <c r="F20" s="12">
        <f t="shared" ref="F20:M20" si="5">SUM(F16*F19)</f>
        <v>0</v>
      </c>
      <c r="G20" s="12">
        <f t="shared" si="5"/>
        <v>60</v>
      </c>
      <c r="H20" s="12">
        <f t="shared" si="5"/>
        <v>102</v>
      </c>
      <c r="I20" s="12">
        <f t="shared" si="5"/>
        <v>126</v>
      </c>
      <c r="J20" s="12">
        <f t="shared" si="5"/>
        <v>219</v>
      </c>
      <c r="K20" s="12">
        <f t="shared" si="5"/>
        <v>60</v>
      </c>
      <c r="L20" s="12">
        <f t="shared" si="5"/>
        <v>159</v>
      </c>
      <c r="M20" s="12">
        <f t="shared" si="5"/>
        <v>120</v>
      </c>
      <c r="N20" s="13">
        <f>SUM(F20:M20)</f>
        <v>846</v>
      </c>
      <c r="O20" s="16">
        <f>SUM(N20/N16)</f>
        <v>44.526315789473685</v>
      </c>
      <c r="P20" s="102"/>
      <c r="Q20" s="102"/>
      <c r="R20" s="129"/>
    </row>
    <row r="21" spans="2:18" ht="20.25" thickTop="1" thickBot="1" x14ac:dyDescent="0.35">
      <c r="B21" s="117">
        <v>-4</v>
      </c>
      <c r="C21" s="106" t="s">
        <v>72</v>
      </c>
      <c r="D21" s="101" t="s">
        <v>220</v>
      </c>
      <c r="E21" s="10" t="s">
        <v>5</v>
      </c>
      <c r="F21" s="57">
        <f>IF(IF(F24=0,0,3),3,0)</f>
        <v>0</v>
      </c>
      <c r="G21" s="57">
        <f>IF(IF(G24=0,0,3),3,0)</f>
        <v>3</v>
      </c>
      <c r="H21" s="57">
        <f>IF(IF(H24=0,0,2),2,0)</f>
        <v>0</v>
      </c>
      <c r="I21" s="57">
        <f>IF(IF(I24=0,0,2),2,0)</f>
        <v>0</v>
      </c>
      <c r="J21" s="57">
        <f>IF(IF(J24=0,0,3),3,0)</f>
        <v>3</v>
      </c>
      <c r="K21" s="57">
        <f>IF(IF(K24=0,0,3),3,0)</f>
        <v>3</v>
      </c>
      <c r="L21" s="57">
        <f>IF(IF(L24=0,0,3),3,0)</f>
        <v>3</v>
      </c>
      <c r="M21" s="57">
        <f>IF(IF(M24=0,0,3),3,0)</f>
        <v>3</v>
      </c>
      <c r="N21" s="57">
        <f>SUM(F21:M21)</f>
        <v>15</v>
      </c>
      <c r="O21" s="58"/>
      <c r="P21" s="113"/>
      <c r="Q21" s="113"/>
      <c r="R21" s="127"/>
    </row>
    <row r="22" spans="2:18" ht="19.5" thickTop="1" thickBot="1" x14ac:dyDescent="0.3">
      <c r="B22" s="118"/>
      <c r="C22" s="107"/>
      <c r="D22" s="101"/>
      <c r="E22" s="2" t="s">
        <v>216</v>
      </c>
      <c r="F22" s="6">
        <v>0</v>
      </c>
      <c r="G22" s="6">
        <v>25</v>
      </c>
      <c r="H22" s="6"/>
      <c r="I22" s="7"/>
      <c r="J22" s="7">
        <v>31</v>
      </c>
      <c r="K22" s="94">
        <v>25</v>
      </c>
      <c r="L22" s="7">
        <v>34</v>
      </c>
      <c r="M22" s="7">
        <v>29</v>
      </c>
      <c r="N22" s="4"/>
      <c r="O22" s="15"/>
      <c r="P22" s="101"/>
      <c r="Q22" s="101"/>
      <c r="R22" s="128"/>
    </row>
    <row r="23" spans="2:18" ht="19.5" thickTop="1" thickBot="1" x14ac:dyDescent="0.3">
      <c r="B23" s="118"/>
      <c r="C23" s="107"/>
      <c r="D23" s="101"/>
      <c r="E23" s="1" t="s">
        <v>3</v>
      </c>
      <c r="F23" s="3"/>
      <c r="G23" s="3"/>
      <c r="H23" s="3"/>
      <c r="I23" s="3"/>
      <c r="J23" s="3"/>
      <c r="K23" s="95">
        <v>0</v>
      </c>
      <c r="L23" s="3"/>
      <c r="M23" s="3"/>
      <c r="N23" s="4"/>
      <c r="O23" s="15"/>
      <c r="P23" s="101"/>
      <c r="Q23" s="101"/>
      <c r="R23" s="128"/>
    </row>
    <row r="24" spans="2:18" ht="19.5" thickTop="1" thickBot="1" x14ac:dyDescent="0.3">
      <c r="B24" s="118"/>
      <c r="C24" s="107"/>
      <c r="D24" s="101"/>
      <c r="E24" s="17" t="s">
        <v>4</v>
      </c>
      <c r="F24" s="18">
        <f t="shared" ref="F24:M24" si="6">IF(F23&lt;30,F22,F22+F23)</f>
        <v>0</v>
      </c>
      <c r="G24" s="18">
        <f t="shared" si="6"/>
        <v>25</v>
      </c>
      <c r="H24" s="18">
        <f t="shared" si="6"/>
        <v>0</v>
      </c>
      <c r="I24" s="18">
        <f t="shared" si="6"/>
        <v>0</v>
      </c>
      <c r="J24" s="18">
        <f t="shared" si="6"/>
        <v>31</v>
      </c>
      <c r="K24" s="95">
        <f t="shared" si="6"/>
        <v>25</v>
      </c>
      <c r="L24" s="18">
        <f t="shared" si="6"/>
        <v>34</v>
      </c>
      <c r="M24" s="18">
        <f t="shared" si="6"/>
        <v>29</v>
      </c>
      <c r="N24" s="19"/>
      <c r="O24" s="20"/>
      <c r="P24" s="101"/>
      <c r="Q24" s="101"/>
      <c r="R24" s="128"/>
    </row>
    <row r="25" spans="2:18" ht="37.5" thickTop="1" thickBot="1" x14ac:dyDescent="0.3">
      <c r="B25" s="119"/>
      <c r="C25" s="108"/>
      <c r="D25" s="102"/>
      <c r="E25" s="11" t="s">
        <v>6</v>
      </c>
      <c r="F25" s="12">
        <f t="shared" ref="F25:M25" si="7">SUM(F21*F24)</f>
        <v>0</v>
      </c>
      <c r="G25" s="12">
        <f t="shared" si="7"/>
        <v>75</v>
      </c>
      <c r="H25" s="12">
        <f t="shared" si="7"/>
        <v>0</v>
      </c>
      <c r="I25" s="12">
        <f t="shared" si="7"/>
        <v>0</v>
      </c>
      <c r="J25" s="12">
        <f t="shared" si="7"/>
        <v>93</v>
      </c>
      <c r="K25" s="12">
        <f t="shared" si="7"/>
        <v>75</v>
      </c>
      <c r="L25" s="12">
        <f t="shared" si="7"/>
        <v>102</v>
      </c>
      <c r="M25" s="12">
        <f t="shared" si="7"/>
        <v>87</v>
      </c>
      <c r="N25" s="13">
        <f>SUM(F25:M25)</f>
        <v>432</v>
      </c>
      <c r="O25" s="16">
        <f>SUM(N25/N21)</f>
        <v>28.8</v>
      </c>
      <c r="P25" s="102"/>
      <c r="Q25" s="102"/>
      <c r="R25" s="129"/>
    </row>
    <row r="26" spans="2:18" ht="20.25" thickTop="1" thickBot="1" x14ac:dyDescent="0.35">
      <c r="B26" s="117">
        <v>-5</v>
      </c>
      <c r="C26" s="106" t="s">
        <v>73</v>
      </c>
      <c r="D26" s="112" t="s">
        <v>221</v>
      </c>
      <c r="E26" s="100" t="s">
        <v>5</v>
      </c>
      <c r="F26" s="57">
        <f>IF(IF(F29=0,0,3),3,0)</f>
        <v>0</v>
      </c>
      <c r="G26" s="57">
        <f>IF(IF(G29=0,0,3),3,0)</f>
        <v>3</v>
      </c>
      <c r="H26" s="57">
        <f>IF(IF(H29=0,0,2),2,0)</f>
        <v>0</v>
      </c>
      <c r="I26" s="57">
        <f>IF(IF(I29=0,0,2),2,0)</f>
        <v>0</v>
      </c>
      <c r="J26" s="57">
        <f>IF(IF(J29=0,0,3),3,0)</f>
        <v>3</v>
      </c>
      <c r="K26" s="57">
        <f>IF(IF(K29=0,0,3),3,0)</f>
        <v>3</v>
      </c>
      <c r="L26" s="57">
        <f>IF(IF(L29=0,0,3),3,0)</f>
        <v>3</v>
      </c>
      <c r="M26" s="57">
        <f>IF(IF(M29=0,0,3),3,0)</f>
        <v>3</v>
      </c>
      <c r="N26" s="57">
        <f>SUM(F26:M26)</f>
        <v>15</v>
      </c>
      <c r="O26" s="58"/>
      <c r="P26" s="113"/>
      <c r="Q26" s="113"/>
      <c r="R26" s="127"/>
    </row>
    <row r="27" spans="2:18" ht="19.5" thickTop="1" thickBot="1" x14ac:dyDescent="0.3">
      <c r="B27" s="118"/>
      <c r="C27" s="107"/>
      <c r="D27" s="101"/>
      <c r="E27" s="2" t="s">
        <v>216</v>
      </c>
      <c r="F27" s="6">
        <v>0</v>
      </c>
      <c r="G27" s="6">
        <v>23</v>
      </c>
      <c r="H27" s="6"/>
      <c r="I27" s="7"/>
      <c r="J27" s="7">
        <v>30</v>
      </c>
      <c r="K27" s="7">
        <v>22</v>
      </c>
      <c r="L27" s="7">
        <v>35</v>
      </c>
      <c r="M27" s="7">
        <v>30</v>
      </c>
      <c r="N27" s="4"/>
      <c r="O27" s="15"/>
      <c r="P27" s="101"/>
      <c r="Q27" s="101"/>
      <c r="R27" s="128"/>
    </row>
    <row r="28" spans="2:18" ht="19.5" thickTop="1" thickBot="1" x14ac:dyDescent="0.3">
      <c r="B28" s="118"/>
      <c r="C28" s="107"/>
      <c r="D28" s="101"/>
      <c r="E28" s="1" t="s">
        <v>3</v>
      </c>
      <c r="F28" s="3"/>
      <c r="G28" s="3"/>
      <c r="H28" s="3"/>
      <c r="I28" s="3"/>
      <c r="J28" s="3"/>
      <c r="K28" s="3">
        <v>41</v>
      </c>
      <c r="L28" s="3"/>
      <c r="M28" s="3"/>
      <c r="N28" s="4"/>
      <c r="O28" s="15"/>
      <c r="P28" s="101"/>
      <c r="Q28" s="101"/>
      <c r="R28" s="128"/>
    </row>
    <row r="29" spans="2:18" ht="19.5" thickTop="1" thickBot="1" x14ac:dyDescent="0.3">
      <c r="B29" s="118"/>
      <c r="C29" s="107"/>
      <c r="D29" s="101"/>
      <c r="E29" s="17" t="s">
        <v>4</v>
      </c>
      <c r="F29" s="18">
        <f t="shared" ref="F29:M29" si="8">IF(F28&lt;30,F27,F27+F28)</f>
        <v>0</v>
      </c>
      <c r="G29" s="18">
        <f t="shared" si="8"/>
        <v>23</v>
      </c>
      <c r="H29" s="18">
        <f t="shared" si="8"/>
        <v>0</v>
      </c>
      <c r="I29" s="18">
        <f t="shared" si="8"/>
        <v>0</v>
      </c>
      <c r="J29" s="18">
        <f t="shared" si="8"/>
        <v>30</v>
      </c>
      <c r="K29" s="18">
        <f t="shared" si="8"/>
        <v>63</v>
      </c>
      <c r="L29" s="18">
        <f t="shared" si="8"/>
        <v>35</v>
      </c>
      <c r="M29" s="18">
        <f t="shared" si="8"/>
        <v>30</v>
      </c>
      <c r="N29" s="19"/>
      <c r="O29" s="20"/>
      <c r="P29" s="101"/>
      <c r="Q29" s="101"/>
      <c r="R29" s="128"/>
    </row>
    <row r="30" spans="2:18" ht="37.5" thickTop="1" thickBot="1" x14ac:dyDescent="0.3">
      <c r="B30" s="119"/>
      <c r="C30" s="108"/>
      <c r="D30" s="102"/>
      <c r="E30" s="8" t="s">
        <v>6</v>
      </c>
      <c r="F30" s="12">
        <f t="shared" ref="F30:M30" si="9">SUM(F26*F29)</f>
        <v>0</v>
      </c>
      <c r="G30" s="12">
        <f t="shared" si="9"/>
        <v>69</v>
      </c>
      <c r="H30" s="12">
        <f t="shared" si="9"/>
        <v>0</v>
      </c>
      <c r="I30" s="12">
        <f t="shared" si="9"/>
        <v>0</v>
      </c>
      <c r="J30" s="12">
        <f t="shared" si="9"/>
        <v>90</v>
      </c>
      <c r="K30" s="12">
        <f t="shared" si="9"/>
        <v>189</v>
      </c>
      <c r="L30" s="12">
        <f t="shared" si="9"/>
        <v>105</v>
      </c>
      <c r="M30" s="12">
        <f t="shared" si="9"/>
        <v>90</v>
      </c>
      <c r="N30" s="13">
        <f>SUM(F30:M30)</f>
        <v>543</v>
      </c>
      <c r="O30" s="16">
        <f>SUM(N30/N26)</f>
        <v>36.200000000000003</v>
      </c>
      <c r="P30" s="102"/>
      <c r="Q30" s="102"/>
      <c r="R30" s="129"/>
    </row>
    <row r="31" spans="2:18" ht="20.25" thickTop="1" thickBot="1" x14ac:dyDescent="0.35">
      <c r="B31" s="117">
        <v>-6</v>
      </c>
      <c r="C31" s="106" t="s">
        <v>74</v>
      </c>
      <c r="D31" s="112" t="s">
        <v>222</v>
      </c>
      <c r="E31" s="10" t="s">
        <v>5</v>
      </c>
      <c r="F31" s="57">
        <f>IF(IF(F34=0,0,3),3,0)</f>
        <v>0</v>
      </c>
      <c r="G31" s="57">
        <f>IF(IF(G34=0,0,3),3,0)</f>
        <v>3</v>
      </c>
      <c r="H31" s="57">
        <f>IF(IF(H34=0,0,2),2,0)</f>
        <v>0</v>
      </c>
      <c r="I31" s="57">
        <f>IF(IF(I34=0,0,2),2,0)</f>
        <v>0</v>
      </c>
      <c r="J31" s="57">
        <f>IF(IF(J34=0,0,3),3,0)</f>
        <v>3</v>
      </c>
      <c r="K31" s="57">
        <f>IF(IF(K34=0,0,3),3,0)</f>
        <v>3</v>
      </c>
      <c r="L31" s="57">
        <f>IF(IF(L34=0,0,3),3,0)</f>
        <v>3</v>
      </c>
      <c r="M31" s="57">
        <f>IF(IF(M34=0,0,3),3,0)</f>
        <v>3</v>
      </c>
      <c r="N31" s="57">
        <f>SUM(F31:M31)</f>
        <v>15</v>
      </c>
      <c r="O31" s="58"/>
      <c r="P31" s="113"/>
      <c r="Q31" s="113"/>
      <c r="R31" s="127"/>
    </row>
    <row r="32" spans="2:18" ht="19.5" thickTop="1" thickBot="1" x14ac:dyDescent="0.3">
      <c r="B32" s="118"/>
      <c r="C32" s="107"/>
      <c r="D32" s="101"/>
      <c r="E32" s="2" t="s">
        <v>216</v>
      </c>
      <c r="F32" s="6">
        <v>0</v>
      </c>
      <c r="G32" s="6">
        <v>34</v>
      </c>
      <c r="H32" s="6"/>
      <c r="I32" s="7"/>
      <c r="J32" s="7">
        <v>37</v>
      </c>
      <c r="K32" s="7">
        <v>25</v>
      </c>
      <c r="L32" s="7">
        <v>40</v>
      </c>
      <c r="M32" s="7">
        <v>32</v>
      </c>
      <c r="N32" s="4"/>
      <c r="O32" s="15"/>
      <c r="P32" s="101"/>
      <c r="Q32" s="101"/>
      <c r="R32" s="128"/>
    </row>
    <row r="33" spans="2:18" ht="19.5" thickTop="1" thickBot="1" x14ac:dyDescent="0.3">
      <c r="B33" s="118"/>
      <c r="C33" s="107"/>
      <c r="D33" s="101"/>
      <c r="E33" s="1" t="s">
        <v>3</v>
      </c>
      <c r="F33" s="3"/>
      <c r="G33" s="3"/>
      <c r="H33" s="3"/>
      <c r="I33" s="3"/>
      <c r="J33" s="3"/>
      <c r="K33" s="3">
        <v>49</v>
      </c>
      <c r="L33" s="3"/>
      <c r="M33" s="3"/>
      <c r="N33" s="4"/>
      <c r="O33" s="15"/>
      <c r="P33" s="101"/>
      <c r="Q33" s="101"/>
      <c r="R33" s="128"/>
    </row>
    <row r="34" spans="2:18" ht="19.5" thickTop="1" thickBot="1" x14ac:dyDescent="0.3">
      <c r="B34" s="118"/>
      <c r="C34" s="107"/>
      <c r="D34" s="101"/>
      <c r="E34" s="17" t="s">
        <v>4</v>
      </c>
      <c r="F34" s="18">
        <f t="shared" ref="F34:M34" si="10">IF(F33&lt;30,F32,F32+F33)</f>
        <v>0</v>
      </c>
      <c r="G34" s="18">
        <f t="shared" si="10"/>
        <v>34</v>
      </c>
      <c r="H34" s="18">
        <f t="shared" si="10"/>
        <v>0</v>
      </c>
      <c r="I34" s="18">
        <f t="shared" si="10"/>
        <v>0</v>
      </c>
      <c r="J34" s="18">
        <f t="shared" si="10"/>
        <v>37</v>
      </c>
      <c r="K34" s="18">
        <f t="shared" si="10"/>
        <v>74</v>
      </c>
      <c r="L34" s="18">
        <f t="shared" si="10"/>
        <v>40</v>
      </c>
      <c r="M34" s="18">
        <f t="shared" si="10"/>
        <v>32</v>
      </c>
      <c r="N34" s="19"/>
      <c r="O34" s="20"/>
      <c r="P34" s="101"/>
      <c r="Q34" s="101"/>
      <c r="R34" s="128"/>
    </row>
    <row r="35" spans="2:18" ht="37.5" thickTop="1" thickBot="1" x14ac:dyDescent="0.3">
      <c r="B35" s="119"/>
      <c r="C35" s="108"/>
      <c r="D35" s="102"/>
      <c r="E35" s="11" t="s">
        <v>6</v>
      </c>
      <c r="F35" s="12">
        <f t="shared" ref="F35:M35" si="11">SUM(F31*F34)</f>
        <v>0</v>
      </c>
      <c r="G35" s="12">
        <f t="shared" si="11"/>
        <v>102</v>
      </c>
      <c r="H35" s="12">
        <f t="shared" si="11"/>
        <v>0</v>
      </c>
      <c r="I35" s="12">
        <f t="shared" si="11"/>
        <v>0</v>
      </c>
      <c r="J35" s="12">
        <f t="shared" si="11"/>
        <v>111</v>
      </c>
      <c r="K35" s="12">
        <f t="shared" si="11"/>
        <v>222</v>
      </c>
      <c r="L35" s="12">
        <f t="shared" si="11"/>
        <v>120</v>
      </c>
      <c r="M35" s="12">
        <f t="shared" si="11"/>
        <v>96</v>
      </c>
      <c r="N35" s="13">
        <f>SUM(F35:M35)</f>
        <v>651</v>
      </c>
      <c r="O35" s="16">
        <f>SUM(N35/N31)</f>
        <v>43.4</v>
      </c>
      <c r="P35" s="102"/>
      <c r="Q35" s="102"/>
      <c r="R35" s="129"/>
    </row>
    <row r="36" spans="2:18" ht="20.25" thickTop="1" thickBot="1" x14ac:dyDescent="0.35">
      <c r="B36" s="117">
        <v>-7</v>
      </c>
      <c r="C36" s="106" t="s">
        <v>75</v>
      </c>
      <c r="D36" s="112" t="s">
        <v>223</v>
      </c>
      <c r="E36" s="10" t="s">
        <v>5</v>
      </c>
      <c r="F36" s="57">
        <f>IF(IF(F39=0,0,3),3,0)</f>
        <v>0</v>
      </c>
      <c r="G36" s="57">
        <f>IF(IF(G39=0,0,3),3,0)</f>
        <v>3</v>
      </c>
      <c r="H36" s="57">
        <f>IF(IF(H39=0,0,2),2,0)</f>
        <v>0</v>
      </c>
      <c r="I36" s="57">
        <f>IF(IF(I39=0,0,2),2,0)</f>
        <v>0</v>
      </c>
      <c r="J36" s="57">
        <f>IF(IF(J39=0,0,3),3,0)</f>
        <v>3</v>
      </c>
      <c r="K36" s="57">
        <f>IF(IF(K39=0,0,3),3,0)</f>
        <v>3</v>
      </c>
      <c r="L36" s="57">
        <f>IF(IF(L39=0,0,3),3,0)</f>
        <v>3</v>
      </c>
      <c r="M36" s="57">
        <f>IF(IF(M39=0,0,3),3,0)</f>
        <v>3</v>
      </c>
      <c r="N36" s="57">
        <f>SUM(F36:M36)</f>
        <v>15</v>
      </c>
      <c r="O36" s="58"/>
      <c r="P36" s="113"/>
      <c r="Q36" s="113"/>
      <c r="R36" s="127"/>
    </row>
    <row r="37" spans="2:18" ht="19.5" thickTop="1" thickBot="1" x14ac:dyDescent="0.3">
      <c r="B37" s="118"/>
      <c r="C37" s="107"/>
      <c r="D37" s="101"/>
      <c r="E37" s="2" t="s">
        <v>216</v>
      </c>
      <c r="F37" s="6">
        <v>0</v>
      </c>
      <c r="G37" s="6">
        <v>25</v>
      </c>
      <c r="H37" s="6"/>
      <c r="I37" s="7"/>
      <c r="J37" s="7">
        <v>13</v>
      </c>
      <c r="K37" s="94">
        <v>10</v>
      </c>
      <c r="L37" s="7">
        <v>38</v>
      </c>
      <c r="M37" s="7">
        <v>20</v>
      </c>
      <c r="N37" s="4"/>
      <c r="O37" s="15"/>
      <c r="P37" s="101"/>
      <c r="Q37" s="101"/>
      <c r="R37" s="128"/>
    </row>
    <row r="38" spans="2:18" ht="19.5" thickTop="1" thickBot="1" x14ac:dyDescent="0.3">
      <c r="B38" s="118"/>
      <c r="C38" s="107"/>
      <c r="D38" s="101"/>
      <c r="E38" s="1" t="s">
        <v>3</v>
      </c>
      <c r="F38" s="3"/>
      <c r="G38" s="3"/>
      <c r="H38" s="3"/>
      <c r="I38" s="3"/>
      <c r="J38" s="3"/>
      <c r="K38" s="95">
        <v>15</v>
      </c>
      <c r="L38" s="3"/>
      <c r="M38" s="3"/>
      <c r="N38" s="4"/>
      <c r="O38" s="15"/>
      <c r="P38" s="101"/>
      <c r="Q38" s="101"/>
      <c r="R38" s="128"/>
    </row>
    <row r="39" spans="2:18" ht="19.5" thickTop="1" thickBot="1" x14ac:dyDescent="0.3">
      <c r="B39" s="118"/>
      <c r="C39" s="107"/>
      <c r="D39" s="101"/>
      <c r="E39" s="17" t="s">
        <v>4</v>
      </c>
      <c r="F39" s="18">
        <f t="shared" ref="F39:M39" si="12">IF(F38&lt;30,F37,F37+F38)</f>
        <v>0</v>
      </c>
      <c r="G39" s="18">
        <f t="shared" si="12"/>
        <v>25</v>
      </c>
      <c r="H39" s="18">
        <f t="shared" si="12"/>
        <v>0</v>
      </c>
      <c r="I39" s="18">
        <f t="shared" si="12"/>
        <v>0</v>
      </c>
      <c r="J39" s="18">
        <f t="shared" si="12"/>
        <v>13</v>
      </c>
      <c r="K39" s="95">
        <f t="shared" si="12"/>
        <v>10</v>
      </c>
      <c r="L39" s="18">
        <f t="shared" si="12"/>
        <v>38</v>
      </c>
      <c r="M39" s="18">
        <f t="shared" si="12"/>
        <v>20</v>
      </c>
      <c r="N39" s="19"/>
      <c r="O39" s="20"/>
      <c r="P39" s="101"/>
      <c r="Q39" s="101"/>
      <c r="R39" s="128"/>
    </row>
    <row r="40" spans="2:18" ht="37.5" thickTop="1" thickBot="1" x14ac:dyDescent="0.3">
      <c r="B40" s="121"/>
      <c r="C40" s="122"/>
      <c r="D40" s="101"/>
      <c r="E40" s="11" t="s">
        <v>6</v>
      </c>
      <c r="F40" s="12">
        <f t="shared" ref="F40:M40" si="13">SUM(F36*F39)</f>
        <v>0</v>
      </c>
      <c r="G40" s="12">
        <f t="shared" si="13"/>
        <v>75</v>
      </c>
      <c r="H40" s="12">
        <f t="shared" si="13"/>
        <v>0</v>
      </c>
      <c r="I40" s="12">
        <f t="shared" si="13"/>
        <v>0</v>
      </c>
      <c r="J40" s="12">
        <f t="shared" si="13"/>
        <v>39</v>
      </c>
      <c r="K40" s="12">
        <f t="shared" si="13"/>
        <v>30</v>
      </c>
      <c r="L40" s="12">
        <f t="shared" si="13"/>
        <v>114</v>
      </c>
      <c r="M40" s="12">
        <f t="shared" si="13"/>
        <v>60</v>
      </c>
      <c r="N40" s="13">
        <f>SUM(F40:M40)</f>
        <v>318</v>
      </c>
      <c r="O40" s="16">
        <f>SUM(N40/N36)</f>
        <v>21.2</v>
      </c>
      <c r="P40" s="102"/>
      <c r="Q40" s="102"/>
      <c r="R40" s="129"/>
    </row>
    <row r="41" spans="2:18" ht="20.25" thickTop="1" thickBot="1" x14ac:dyDescent="0.35">
      <c r="B41" s="120">
        <v>-8</v>
      </c>
      <c r="C41" s="123" t="s">
        <v>76</v>
      </c>
      <c r="D41" s="113" t="s">
        <v>224</v>
      </c>
      <c r="E41" s="56" t="s">
        <v>5</v>
      </c>
      <c r="F41" s="57">
        <f>IF(IF(F44=0,0,3),3,0)</f>
        <v>0</v>
      </c>
      <c r="G41" s="57">
        <f>IF(IF(G44=0,0,3),3,0)</f>
        <v>3</v>
      </c>
      <c r="H41" s="57">
        <f>IF(IF(H44=0,0,2),2,0)</f>
        <v>0</v>
      </c>
      <c r="I41" s="57">
        <f>IF(IF(I44=0,0,2),2,0)</f>
        <v>0</v>
      </c>
      <c r="J41" s="57">
        <f>IF(IF(J44=0,0,3),3,0)</f>
        <v>3</v>
      </c>
      <c r="K41" s="57">
        <f>IF(IF(K44=0,0,3),3,0)</f>
        <v>3</v>
      </c>
      <c r="L41" s="57">
        <f>IF(IF(L44=0,0,3),3,0)</f>
        <v>3</v>
      </c>
      <c r="M41" s="57">
        <f>IF(IF(M44=0,0,3),3,0)</f>
        <v>3</v>
      </c>
      <c r="N41" s="57">
        <f>SUM(F41:M41)</f>
        <v>15</v>
      </c>
      <c r="O41" s="58"/>
      <c r="P41" s="113"/>
      <c r="Q41" s="113"/>
      <c r="R41" s="127"/>
    </row>
    <row r="42" spans="2:18" ht="19.5" thickTop="1" thickBot="1" x14ac:dyDescent="0.3">
      <c r="B42" s="118"/>
      <c r="C42" s="107"/>
      <c r="D42" s="101"/>
      <c r="E42" s="5" t="s">
        <v>216</v>
      </c>
      <c r="F42" s="6"/>
      <c r="G42" s="6">
        <v>35</v>
      </c>
      <c r="H42" s="6"/>
      <c r="I42" s="7"/>
      <c r="J42" s="7">
        <v>34</v>
      </c>
      <c r="K42" s="7">
        <v>18</v>
      </c>
      <c r="L42" s="7">
        <v>39</v>
      </c>
      <c r="M42" s="7">
        <v>30</v>
      </c>
      <c r="N42" s="4"/>
      <c r="O42" s="15"/>
      <c r="P42" s="101"/>
      <c r="Q42" s="101"/>
      <c r="R42" s="128"/>
    </row>
    <row r="43" spans="2:18" ht="19.5" thickTop="1" thickBot="1" x14ac:dyDescent="0.3">
      <c r="B43" s="118"/>
      <c r="C43" s="107"/>
      <c r="D43" s="101"/>
      <c r="E43" s="1" t="s">
        <v>3</v>
      </c>
      <c r="F43" s="3"/>
      <c r="G43" s="3"/>
      <c r="H43" s="3"/>
      <c r="I43" s="3"/>
      <c r="J43" s="3"/>
      <c r="K43" s="93"/>
      <c r="L43" s="3"/>
      <c r="M43" s="3"/>
      <c r="N43" s="4"/>
      <c r="O43" s="15"/>
      <c r="P43" s="101"/>
      <c r="Q43" s="101"/>
      <c r="R43" s="128"/>
    </row>
    <row r="44" spans="2:18" ht="19.5" thickTop="1" thickBot="1" x14ac:dyDescent="0.3">
      <c r="B44" s="118"/>
      <c r="C44" s="107"/>
      <c r="D44" s="101"/>
      <c r="E44" s="17" t="s">
        <v>4</v>
      </c>
      <c r="F44" s="18">
        <f t="shared" ref="F44:M44" si="14">IF(F43&lt;30,F42,F42+F43)</f>
        <v>0</v>
      </c>
      <c r="G44" s="18">
        <f t="shared" si="14"/>
        <v>35</v>
      </c>
      <c r="H44" s="18">
        <f t="shared" si="14"/>
        <v>0</v>
      </c>
      <c r="I44" s="18">
        <f t="shared" si="14"/>
        <v>0</v>
      </c>
      <c r="J44" s="18">
        <f t="shared" si="14"/>
        <v>34</v>
      </c>
      <c r="K44" s="18">
        <f t="shared" si="14"/>
        <v>18</v>
      </c>
      <c r="L44" s="18">
        <f t="shared" si="14"/>
        <v>39</v>
      </c>
      <c r="M44" s="18">
        <f t="shared" si="14"/>
        <v>30</v>
      </c>
      <c r="N44" s="19"/>
      <c r="O44" s="20"/>
      <c r="P44" s="101"/>
      <c r="Q44" s="101"/>
      <c r="R44" s="128"/>
    </row>
    <row r="45" spans="2:18" ht="37.5" thickTop="1" thickBot="1" x14ac:dyDescent="0.3">
      <c r="B45" s="119"/>
      <c r="C45" s="108"/>
      <c r="D45" s="102"/>
      <c r="E45" s="11" t="s">
        <v>6</v>
      </c>
      <c r="F45" s="12">
        <f t="shared" ref="F45:M45" si="15">SUM(F41*F44)</f>
        <v>0</v>
      </c>
      <c r="G45" s="12">
        <f t="shared" si="15"/>
        <v>105</v>
      </c>
      <c r="H45" s="12">
        <f t="shared" si="15"/>
        <v>0</v>
      </c>
      <c r="I45" s="12">
        <f t="shared" si="15"/>
        <v>0</v>
      </c>
      <c r="J45" s="12">
        <f t="shared" si="15"/>
        <v>102</v>
      </c>
      <c r="K45" s="12">
        <f t="shared" si="15"/>
        <v>54</v>
      </c>
      <c r="L45" s="12">
        <f t="shared" si="15"/>
        <v>117</v>
      </c>
      <c r="M45" s="12">
        <f t="shared" si="15"/>
        <v>90</v>
      </c>
      <c r="N45" s="13">
        <f>SUM(F45:M45)</f>
        <v>468</v>
      </c>
      <c r="O45" s="16">
        <f>SUM(N45/N41)</f>
        <v>31.2</v>
      </c>
      <c r="P45" s="102"/>
      <c r="Q45" s="102"/>
      <c r="R45" s="129"/>
    </row>
    <row r="46" spans="2:18" ht="20.25" thickTop="1" thickBot="1" x14ac:dyDescent="0.35">
      <c r="B46" s="117">
        <v>-9</v>
      </c>
      <c r="C46" s="106" t="s">
        <v>77</v>
      </c>
      <c r="D46" s="101" t="s">
        <v>225</v>
      </c>
      <c r="E46" s="14" t="s">
        <v>5</v>
      </c>
      <c r="F46" s="57">
        <f>IF(IF(F49=0,0,3),3,0)</f>
        <v>0</v>
      </c>
      <c r="G46" s="57">
        <f>IF(IF(G49=0,0,3),3,0)</f>
        <v>3</v>
      </c>
      <c r="H46" s="57">
        <f>IF(IF(H49=0,0,2),2,0)</f>
        <v>0</v>
      </c>
      <c r="I46" s="57">
        <f>IF(IF(I49=0,0,2),2,0)</f>
        <v>0</v>
      </c>
      <c r="J46" s="57">
        <f>IF(IF(J49=0,0,3),3,0)</f>
        <v>3</v>
      </c>
      <c r="K46" s="57">
        <f>IF(IF(K49=0,0,3),3,0)</f>
        <v>3</v>
      </c>
      <c r="L46" s="57">
        <f>IF(IF(G49=0,0,3),3,0)</f>
        <v>3</v>
      </c>
      <c r="M46" s="57">
        <f>IF(IF(G49=0,0,3),3,0)</f>
        <v>3</v>
      </c>
      <c r="N46" s="57">
        <f>SUM(F46:M46)</f>
        <v>15</v>
      </c>
      <c r="O46" s="58"/>
      <c r="P46" s="113"/>
      <c r="Q46" s="113"/>
      <c r="R46" s="127"/>
    </row>
    <row r="47" spans="2:18" ht="19.5" thickTop="1" thickBot="1" x14ac:dyDescent="0.3">
      <c r="B47" s="118"/>
      <c r="C47" s="107"/>
      <c r="D47" s="101"/>
      <c r="E47" s="2" t="s">
        <v>216</v>
      </c>
      <c r="F47" s="6">
        <v>0</v>
      </c>
      <c r="G47" s="6">
        <v>27</v>
      </c>
      <c r="H47" s="6">
        <v>0</v>
      </c>
      <c r="I47" s="7">
        <v>0</v>
      </c>
      <c r="J47" s="7">
        <v>40</v>
      </c>
      <c r="K47" s="7">
        <v>40</v>
      </c>
      <c r="L47" s="7">
        <v>38</v>
      </c>
      <c r="M47" s="7">
        <v>38</v>
      </c>
      <c r="N47" s="4"/>
      <c r="O47" s="15"/>
      <c r="P47" s="101"/>
      <c r="Q47" s="101"/>
      <c r="R47" s="128"/>
    </row>
    <row r="48" spans="2:18" ht="19.5" thickTop="1" thickBot="1" x14ac:dyDescent="0.3">
      <c r="B48" s="118"/>
      <c r="C48" s="107"/>
      <c r="D48" s="101"/>
      <c r="E48" s="1" t="s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55</v>
      </c>
      <c r="L48" s="3">
        <v>0</v>
      </c>
      <c r="M48" s="3">
        <v>0</v>
      </c>
      <c r="N48" s="4"/>
      <c r="O48" s="15"/>
      <c r="P48" s="101"/>
      <c r="Q48" s="101"/>
      <c r="R48" s="128"/>
    </row>
    <row r="49" spans="2:18" ht="19.5" thickTop="1" thickBot="1" x14ac:dyDescent="0.3">
      <c r="B49" s="118"/>
      <c r="C49" s="107"/>
      <c r="D49" s="101"/>
      <c r="E49" s="17" t="s">
        <v>4</v>
      </c>
      <c r="F49" s="18">
        <f t="shared" ref="F49:M49" si="16">IF(F48&lt;30,F47,F47+F48)</f>
        <v>0</v>
      </c>
      <c r="G49" s="18">
        <f t="shared" si="16"/>
        <v>27</v>
      </c>
      <c r="H49" s="18">
        <f t="shared" si="16"/>
        <v>0</v>
      </c>
      <c r="I49" s="18">
        <f t="shared" si="16"/>
        <v>0</v>
      </c>
      <c r="J49" s="18">
        <f t="shared" si="16"/>
        <v>40</v>
      </c>
      <c r="K49" s="18">
        <f t="shared" si="16"/>
        <v>95</v>
      </c>
      <c r="L49" s="18">
        <f t="shared" si="16"/>
        <v>38</v>
      </c>
      <c r="M49" s="18">
        <f t="shared" si="16"/>
        <v>38</v>
      </c>
      <c r="N49" s="19"/>
      <c r="O49" s="20"/>
      <c r="P49" s="101"/>
      <c r="Q49" s="101"/>
      <c r="R49" s="128"/>
    </row>
    <row r="50" spans="2:18" ht="37.5" thickTop="1" thickBot="1" x14ac:dyDescent="0.3">
      <c r="B50" s="119"/>
      <c r="C50" s="108"/>
      <c r="D50" s="102"/>
      <c r="E50" s="11" t="s">
        <v>6</v>
      </c>
      <c r="F50" s="12">
        <f t="shared" ref="F50:M50" si="17">SUM(F46*F49)</f>
        <v>0</v>
      </c>
      <c r="G50" s="12">
        <f t="shared" si="17"/>
        <v>81</v>
      </c>
      <c r="H50" s="12">
        <f t="shared" si="17"/>
        <v>0</v>
      </c>
      <c r="I50" s="12">
        <f t="shared" si="17"/>
        <v>0</v>
      </c>
      <c r="J50" s="12">
        <f t="shared" si="17"/>
        <v>120</v>
      </c>
      <c r="K50" s="12">
        <f t="shared" si="17"/>
        <v>285</v>
      </c>
      <c r="L50" s="12">
        <f t="shared" si="17"/>
        <v>114</v>
      </c>
      <c r="M50" s="12">
        <f t="shared" si="17"/>
        <v>114</v>
      </c>
      <c r="N50" s="13">
        <f>SUM(F50:M50)</f>
        <v>714</v>
      </c>
      <c r="O50" s="16">
        <f>SUM(N50/N46)</f>
        <v>47.6</v>
      </c>
      <c r="P50" s="102"/>
      <c r="Q50" s="102"/>
      <c r="R50" s="129"/>
    </row>
    <row r="51" spans="2:18" ht="20.25" thickTop="1" thickBot="1" x14ac:dyDescent="0.35">
      <c r="B51" s="117">
        <v>-10</v>
      </c>
      <c r="C51" s="106" t="s">
        <v>78</v>
      </c>
      <c r="D51" s="101" t="s">
        <v>226</v>
      </c>
      <c r="E51" s="14" t="s">
        <v>5</v>
      </c>
      <c r="F51" s="57">
        <f>IF(IF(F54=0,0,3),3,0)</f>
        <v>0</v>
      </c>
      <c r="G51" s="57">
        <f>IF(IF(G54=0,0,3),3,0)</f>
        <v>3</v>
      </c>
      <c r="H51" s="57">
        <f>IF(IF(H54=0,0,2),2,0)</f>
        <v>0</v>
      </c>
      <c r="I51" s="57">
        <f>IF(IF(I54=0,0,2),2,0)</f>
        <v>0</v>
      </c>
      <c r="J51" s="57">
        <f>IF(IF(J54=0,0,3),3,0)</f>
        <v>3</v>
      </c>
      <c r="K51" s="57">
        <f>IF(IF(K54=0,0,3),3,0)</f>
        <v>3</v>
      </c>
      <c r="L51" s="57">
        <f>IF(IF(L54=0,0,3),3,0)</f>
        <v>3</v>
      </c>
      <c r="M51" s="57">
        <f>IF(IF(M54=0,0,3),3,0)</f>
        <v>3</v>
      </c>
      <c r="N51" s="57">
        <f>SUM(F51:M51)</f>
        <v>15</v>
      </c>
      <c r="O51" s="58"/>
      <c r="P51" s="113"/>
      <c r="Q51" s="113"/>
      <c r="R51" s="127"/>
    </row>
    <row r="52" spans="2:18" ht="19.5" thickTop="1" thickBot="1" x14ac:dyDescent="0.3">
      <c r="B52" s="118"/>
      <c r="C52" s="107"/>
      <c r="D52" s="101"/>
      <c r="E52" s="2" t="s">
        <v>216</v>
      </c>
      <c r="F52" s="6">
        <v>0</v>
      </c>
      <c r="G52" s="6">
        <v>22</v>
      </c>
      <c r="H52" s="6"/>
      <c r="I52" s="7"/>
      <c r="J52" s="7">
        <v>30</v>
      </c>
      <c r="K52" s="94">
        <v>16</v>
      </c>
      <c r="L52" s="7">
        <v>36</v>
      </c>
      <c r="M52" s="7">
        <v>22</v>
      </c>
      <c r="N52" s="4"/>
      <c r="O52" s="15"/>
      <c r="P52" s="101"/>
      <c r="Q52" s="101"/>
      <c r="R52" s="128"/>
    </row>
    <row r="53" spans="2:18" ht="19.5" thickTop="1" thickBot="1" x14ac:dyDescent="0.3">
      <c r="B53" s="118"/>
      <c r="C53" s="107"/>
      <c r="D53" s="101"/>
      <c r="E53" s="1" t="s">
        <v>3</v>
      </c>
      <c r="F53" s="3"/>
      <c r="G53" s="3"/>
      <c r="H53" s="3"/>
      <c r="I53" s="3"/>
      <c r="J53" s="3"/>
      <c r="K53" s="95">
        <v>0</v>
      </c>
      <c r="L53" s="3"/>
      <c r="M53" s="3"/>
      <c r="N53" s="4"/>
      <c r="O53" s="15"/>
      <c r="P53" s="101"/>
      <c r="Q53" s="101"/>
      <c r="R53" s="128"/>
    </row>
    <row r="54" spans="2:18" ht="19.5" thickTop="1" thickBot="1" x14ac:dyDescent="0.3">
      <c r="B54" s="118"/>
      <c r="C54" s="107"/>
      <c r="D54" s="101"/>
      <c r="E54" s="17" t="s">
        <v>4</v>
      </c>
      <c r="F54" s="18">
        <f t="shared" ref="F54:M54" si="18">IF(F53&lt;30,F52,F52+F53)</f>
        <v>0</v>
      </c>
      <c r="G54" s="18">
        <f t="shared" si="18"/>
        <v>22</v>
      </c>
      <c r="H54" s="18">
        <f t="shared" si="18"/>
        <v>0</v>
      </c>
      <c r="I54" s="18">
        <f t="shared" si="18"/>
        <v>0</v>
      </c>
      <c r="J54" s="18">
        <f t="shared" si="18"/>
        <v>30</v>
      </c>
      <c r="K54" s="95">
        <f t="shared" si="18"/>
        <v>16</v>
      </c>
      <c r="L54" s="18">
        <f t="shared" si="18"/>
        <v>36</v>
      </c>
      <c r="M54" s="18">
        <f t="shared" si="18"/>
        <v>22</v>
      </c>
      <c r="N54" s="19"/>
      <c r="O54" s="20"/>
      <c r="P54" s="101"/>
      <c r="Q54" s="101"/>
      <c r="R54" s="128"/>
    </row>
    <row r="55" spans="2:18" ht="37.5" thickTop="1" thickBot="1" x14ac:dyDescent="0.3">
      <c r="B55" s="119"/>
      <c r="C55" s="108"/>
      <c r="D55" s="102"/>
      <c r="E55" s="8" t="s">
        <v>6</v>
      </c>
      <c r="F55" s="12">
        <f t="shared" ref="F55:M55" si="19">SUM(F51*F54)</f>
        <v>0</v>
      </c>
      <c r="G55" s="12">
        <f t="shared" si="19"/>
        <v>66</v>
      </c>
      <c r="H55" s="12">
        <f t="shared" si="19"/>
        <v>0</v>
      </c>
      <c r="I55" s="12">
        <f t="shared" si="19"/>
        <v>0</v>
      </c>
      <c r="J55" s="12">
        <f t="shared" si="19"/>
        <v>90</v>
      </c>
      <c r="K55" s="12">
        <f t="shared" si="19"/>
        <v>48</v>
      </c>
      <c r="L55" s="12">
        <f t="shared" si="19"/>
        <v>108</v>
      </c>
      <c r="M55" s="12">
        <f t="shared" si="19"/>
        <v>66</v>
      </c>
      <c r="N55" s="13">
        <f>SUM(F55:M55)</f>
        <v>378</v>
      </c>
      <c r="O55" s="16">
        <f>SUM(N55/N51)</f>
        <v>25.2</v>
      </c>
      <c r="P55" s="102"/>
      <c r="Q55" s="102"/>
      <c r="R55" s="129"/>
    </row>
    <row r="56" spans="2:18" ht="20.25" thickTop="1" thickBot="1" x14ac:dyDescent="0.35">
      <c r="B56" s="117">
        <v>-11</v>
      </c>
      <c r="C56" s="106" t="s">
        <v>80</v>
      </c>
      <c r="D56" s="101" t="s">
        <v>227</v>
      </c>
      <c r="E56" s="10" t="s">
        <v>5</v>
      </c>
      <c r="F56" s="57">
        <f>IF(IF(F59=0,0,3),3,0)</f>
        <v>0</v>
      </c>
      <c r="G56" s="57">
        <f>IF(IF(G59=0,0,3),3,0)</f>
        <v>3</v>
      </c>
      <c r="H56" s="57">
        <f>IF(IF(H59=0,0,2),2,0)</f>
        <v>0</v>
      </c>
      <c r="I56" s="57">
        <f>IF(IF(I59=0,0,2),2,0)</f>
        <v>0</v>
      </c>
      <c r="J56" s="57">
        <f>IF(IF(J59=0,0,3),3,0)</f>
        <v>3</v>
      </c>
      <c r="K56" s="57">
        <f>IF(IF(K59=0,0,3),3,0)</f>
        <v>3</v>
      </c>
      <c r="L56" s="57">
        <f>IF(IF(L59=0,0,3),3,0)</f>
        <v>3</v>
      </c>
      <c r="M56" s="57">
        <f>IF(IF(M59=0,0,3),3,0)</f>
        <v>3</v>
      </c>
      <c r="N56" s="57">
        <f>SUM(F56:M56)</f>
        <v>15</v>
      </c>
      <c r="O56" s="58"/>
      <c r="P56" s="113"/>
      <c r="Q56" s="113"/>
      <c r="R56" s="127"/>
    </row>
    <row r="57" spans="2:18" ht="19.5" thickTop="1" thickBot="1" x14ac:dyDescent="0.3">
      <c r="B57" s="118"/>
      <c r="C57" s="107"/>
      <c r="D57" s="101"/>
      <c r="E57" s="2" t="s">
        <v>216</v>
      </c>
      <c r="F57" s="6"/>
      <c r="G57" s="6">
        <v>29</v>
      </c>
      <c r="H57" s="6"/>
      <c r="I57" s="7"/>
      <c r="J57" s="7">
        <v>27</v>
      </c>
      <c r="K57" s="7">
        <v>40</v>
      </c>
      <c r="L57" s="7">
        <v>33</v>
      </c>
      <c r="M57" s="7">
        <v>26</v>
      </c>
      <c r="N57" s="4"/>
      <c r="O57" s="15"/>
      <c r="P57" s="101"/>
      <c r="Q57" s="101"/>
      <c r="R57" s="128"/>
    </row>
    <row r="58" spans="2:18" ht="19.5" thickTop="1" thickBot="1" x14ac:dyDescent="0.3">
      <c r="B58" s="118"/>
      <c r="C58" s="107"/>
      <c r="D58" s="101"/>
      <c r="E58" s="1" t="s">
        <v>3</v>
      </c>
      <c r="F58" s="3"/>
      <c r="G58" s="3"/>
      <c r="H58" s="3"/>
      <c r="I58" s="3"/>
      <c r="J58" s="3"/>
      <c r="K58" s="3">
        <v>44</v>
      </c>
      <c r="L58" s="3"/>
      <c r="M58" s="3"/>
      <c r="N58" s="4"/>
      <c r="O58" s="15"/>
      <c r="P58" s="101"/>
      <c r="Q58" s="101"/>
      <c r="R58" s="128"/>
    </row>
    <row r="59" spans="2:18" ht="19.5" thickTop="1" thickBot="1" x14ac:dyDescent="0.3">
      <c r="B59" s="118"/>
      <c r="C59" s="107"/>
      <c r="D59" s="101"/>
      <c r="E59" s="17" t="s">
        <v>4</v>
      </c>
      <c r="F59" s="18">
        <f t="shared" ref="F59:M59" si="20">IF(F58&lt;30,F57,F57+F58)</f>
        <v>0</v>
      </c>
      <c r="G59" s="18">
        <f t="shared" si="20"/>
        <v>29</v>
      </c>
      <c r="H59" s="18">
        <f t="shared" si="20"/>
        <v>0</v>
      </c>
      <c r="I59" s="18">
        <f t="shared" si="20"/>
        <v>0</v>
      </c>
      <c r="J59" s="18">
        <f t="shared" si="20"/>
        <v>27</v>
      </c>
      <c r="K59" s="18">
        <f t="shared" si="20"/>
        <v>84</v>
      </c>
      <c r="L59" s="18">
        <f t="shared" si="20"/>
        <v>33</v>
      </c>
      <c r="M59" s="18">
        <f t="shared" si="20"/>
        <v>26</v>
      </c>
      <c r="N59" s="19"/>
      <c r="O59" s="20"/>
      <c r="P59" s="101"/>
      <c r="Q59" s="101"/>
      <c r="R59" s="128"/>
    </row>
    <row r="60" spans="2:18" ht="37.5" thickTop="1" thickBot="1" x14ac:dyDescent="0.3">
      <c r="B60" s="119"/>
      <c r="C60" s="108"/>
      <c r="D60" s="102"/>
      <c r="E60" s="8" t="s">
        <v>6</v>
      </c>
      <c r="F60" s="12">
        <f t="shared" ref="F60:M60" si="21">SUM(F56*F59)</f>
        <v>0</v>
      </c>
      <c r="G60" s="12">
        <f t="shared" si="21"/>
        <v>87</v>
      </c>
      <c r="H60" s="12">
        <f t="shared" si="21"/>
        <v>0</v>
      </c>
      <c r="I60" s="12">
        <f t="shared" si="21"/>
        <v>0</v>
      </c>
      <c r="J60" s="12">
        <f t="shared" si="21"/>
        <v>81</v>
      </c>
      <c r="K60" s="12">
        <f t="shared" si="21"/>
        <v>252</v>
      </c>
      <c r="L60" s="12">
        <f t="shared" si="21"/>
        <v>99</v>
      </c>
      <c r="M60" s="12">
        <f t="shared" si="21"/>
        <v>78</v>
      </c>
      <c r="N60" s="13">
        <f>SUM(F60:M60)</f>
        <v>597</v>
      </c>
      <c r="O60" s="16">
        <f>SUM(N60/N56)</f>
        <v>39.799999999999997</v>
      </c>
      <c r="P60" s="102"/>
      <c r="Q60" s="102"/>
      <c r="R60" s="129"/>
    </row>
    <row r="61" spans="2:18" ht="20.25" thickTop="1" thickBot="1" x14ac:dyDescent="0.35">
      <c r="B61" s="117">
        <v>-12</v>
      </c>
      <c r="C61" s="106" t="s">
        <v>79</v>
      </c>
      <c r="D61" s="101" t="s">
        <v>228</v>
      </c>
      <c r="E61" s="10" t="s">
        <v>5</v>
      </c>
      <c r="F61" s="57">
        <f>IF(IF(F64=0,0,3),3,0)</f>
        <v>0</v>
      </c>
      <c r="G61" s="57">
        <f>IF(IF(G64=0,0,3),3,0)</f>
        <v>3</v>
      </c>
      <c r="H61" s="57">
        <f>IF(IF(H64=0,0,2),2,0)</f>
        <v>0</v>
      </c>
      <c r="I61" s="57">
        <f>IF(IF(I64=0,0,2),2,0)</f>
        <v>0</v>
      </c>
      <c r="J61" s="57">
        <f>IF(IF(J64=0,0,3),3,0)</f>
        <v>3</v>
      </c>
      <c r="K61" s="57">
        <f>IF(IF(K64=0,0,3),3,0)</f>
        <v>3</v>
      </c>
      <c r="L61" s="57">
        <f>IF(IF(L64=0,0,3),3,0)</f>
        <v>3</v>
      </c>
      <c r="M61" s="57">
        <f>IF(IF(M64=0,0,3),3,0)</f>
        <v>3</v>
      </c>
      <c r="N61" s="57">
        <f>SUM(F61:M61)</f>
        <v>15</v>
      </c>
      <c r="O61" s="58"/>
      <c r="P61" s="113"/>
      <c r="Q61" s="113"/>
      <c r="R61" s="127"/>
    </row>
    <row r="62" spans="2:18" ht="19.5" thickTop="1" thickBot="1" x14ac:dyDescent="0.3">
      <c r="B62" s="118"/>
      <c r="C62" s="107"/>
      <c r="D62" s="101"/>
      <c r="E62" s="2" t="s">
        <v>216</v>
      </c>
      <c r="F62" s="6"/>
      <c r="G62" s="6">
        <v>20</v>
      </c>
      <c r="H62" s="6"/>
      <c r="I62" s="7"/>
      <c r="J62" s="7">
        <v>14</v>
      </c>
      <c r="K62" s="94">
        <v>10</v>
      </c>
      <c r="L62" s="7">
        <v>30</v>
      </c>
      <c r="M62" s="7">
        <v>23</v>
      </c>
      <c r="N62" s="4"/>
      <c r="O62" s="15"/>
      <c r="P62" s="101"/>
      <c r="Q62" s="101"/>
      <c r="R62" s="128"/>
    </row>
    <row r="63" spans="2:18" ht="19.5" thickTop="1" thickBot="1" x14ac:dyDescent="0.3">
      <c r="B63" s="118"/>
      <c r="C63" s="107"/>
      <c r="D63" s="101"/>
      <c r="E63" s="1" t="s">
        <v>3</v>
      </c>
      <c r="F63" s="3"/>
      <c r="G63" s="3"/>
      <c r="H63" s="3"/>
      <c r="I63" s="3"/>
      <c r="J63" s="3"/>
      <c r="K63" s="95">
        <v>5</v>
      </c>
      <c r="L63" s="3"/>
      <c r="M63" s="3"/>
      <c r="N63" s="4"/>
      <c r="O63" s="15"/>
      <c r="P63" s="101"/>
      <c r="Q63" s="101"/>
      <c r="R63" s="128"/>
    </row>
    <row r="64" spans="2:18" ht="19.5" thickTop="1" thickBot="1" x14ac:dyDescent="0.3">
      <c r="B64" s="118"/>
      <c r="C64" s="107"/>
      <c r="D64" s="101"/>
      <c r="E64" s="17" t="s">
        <v>4</v>
      </c>
      <c r="F64" s="18">
        <f t="shared" ref="F64:M64" si="22">IF(F63&lt;30,F62,F62+F63)</f>
        <v>0</v>
      </c>
      <c r="G64" s="18">
        <f t="shared" si="22"/>
        <v>20</v>
      </c>
      <c r="H64" s="18">
        <f t="shared" si="22"/>
        <v>0</v>
      </c>
      <c r="I64" s="18">
        <f t="shared" si="22"/>
        <v>0</v>
      </c>
      <c r="J64" s="18">
        <f t="shared" si="22"/>
        <v>14</v>
      </c>
      <c r="K64" s="95">
        <f t="shared" si="22"/>
        <v>10</v>
      </c>
      <c r="L64" s="18">
        <f t="shared" si="22"/>
        <v>30</v>
      </c>
      <c r="M64" s="18">
        <f t="shared" si="22"/>
        <v>23</v>
      </c>
      <c r="N64" s="19"/>
      <c r="O64" s="20"/>
      <c r="P64" s="101"/>
      <c r="Q64" s="101"/>
      <c r="R64" s="128"/>
    </row>
    <row r="65" spans="2:18" ht="37.5" thickTop="1" thickBot="1" x14ac:dyDescent="0.3">
      <c r="B65" s="119"/>
      <c r="C65" s="108"/>
      <c r="D65" s="102"/>
      <c r="E65" s="8" t="s">
        <v>6</v>
      </c>
      <c r="F65" s="12">
        <f t="shared" ref="F65:M65" si="23">SUM(F61*F64)</f>
        <v>0</v>
      </c>
      <c r="G65" s="12">
        <f t="shared" si="23"/>
        <v>60</v>
      </c>
      <c r="H65" s="12">
        <f t="shared" si="23"/>
        <v>0</v>
      </c>
      <c r="I65" s="12">
        <f t="shared" si="23"/>
        <v>0</v>
      </c>
      <c r="J65" s="12">
        <f t="shared" si="23"/>
        <v>42</v>
      </c>
      <c r="K65" s="12">
        <f t="shared" si="23"/>
        <v>30</v>
      </c>
      <c r="L65" s="12">
        <f t="shared" si="23"/>
        <v>90</v>
      </c>
      <c r="M65" s="12">
        <f t="shared" si="23"/>
        <v>69</v>
      </c>
      <c r="N65" s="13">
        <f>SUM(F65:M65)</f>
        <v>291</v>
      </c>
      <c r="O65" s="16">
        <f>SUM(N65/N61)</f>
        <v>19.399999999999999</v>
      </c>
      <c r="P65" s="102"/>
      <c r="Q65" s="102"/>
      <c r="R65" s="129"/>
    </row>
    <row r="66" spans="2:18" ht="20.25" thickTop="1" thickBot="1" x14ac:dyDescent="0.35">
      <c r="B66" s="117">
        <v>-13</v>
      </c>
      <c r="C66" s="106" t="s">
        <v>81</v>
      </c>
      <c r="D66" s="112" t="s">
        <v>229</v>
      </c>
      <c r="E66" s="10" t="s">
        <v>5</v>
      </c>
      <c r="F66" s="57">
        <f>IF(IF(F69=0,0,3),3,0)</f>
        <v>0</v>
      </c>
      <c r="G66" s="57">
        <f>IF(IF(G69=0,0,3),3,0)</f>
        <v>3</v>
      </c>
      <c r="H66" s="57">
        <f>IF(IF(H69=0,0,2),2,0)</f>
        <v>0</v>
      </c>
      <c r="I66" s="57">
        <f>IF(IF(I69=0,0,2),2,0)</f>
        <v>0</v>
      </c>
      <c r="J66" s="57">
        <f>IF(IF(J69=0,0,3),3,0)</f>
        <v>3</v>
      </c>
      <c r="K66" s="57">
        <f>IF(IF(K69=0,0,3),3,0)</f>
        <v>3</v>
      </c>
      <c r="L66" s="57">
        <f>IF(IF(L69=0,0,3),3,0)</f>
        <v>3</v>
      </c>
      <c r="M66" s="57">
        <f>IF(IF(M69=0,0,3),3,0)</f>
        <v>3</v>
      </c>
      <c r="N66" s="57">
        <f>SUM(F66:M66)</f>
        <v>15</v>
      </c>
      <c r="O66" s="58"/>
      <c r="P66" s="113"/>
      <c r="Q66" s="113"/>
      <c r="R66" s="127"/>
    </row>
    <row r="67" spans="2:18" ht="19.5" thickTop="1" thickBot="1" x14ac:dyDescent="0.3">
      <c r="B67" s="118"/>
      <c r="C67" s="107"/>
      <c r="D67" s="101"/>
      <c r="E67" s="2" t="s">
        <v>216</v>
      </c>
      <c r="F67" s="6"/>
      <c r="G67" s="6">
        <v>27</v>
      </c>
      <c r="H67" s="6"/>
      <c r="I67" s="7"/>
      <c r="J67" s="7">
        <v>29</v>
      </c>
      <c r="K67" s="94">
        <v>10</v>
      </c>
      <c r="L67" s="7">
        <v>35</v>
      </c>
      <c r="M67" s="7">
        <v>37</v>
      </c>
      <c r="N67" s="4"/>
      <c r="O67" s="15"/>
      <c r="P67" s="101"/>
      <c r="Q67" s="101"/>
      <c r="R67" s="128"/>
    </row>
    <row r="68" spans="2:18" ht="19.5" thickTop="1" thickBot="1" x14ac:dyDescent="0.3">
      <c r="B68" s="118"/>
      <c r="C68" s="107"/>
      <c r="D68" s="101"/>
      <c r="E68" s="1" t="s">
        <v>3</v>
      </c>
      <c r="F68" s="3"/>
      <c r="G68" s="3"/>
      <c r="H68" s="3"/>
      <c r="I68" s="3"/>
      <c r="J68" s="3"/>
      <c r="K68" s="95">
        <v>25</v>
      </c>
      <c r="L68" s="3"/>
      <c r="M68" s="3"/>
      <c r="N68" s="4"/>
      <c r="O68" s="15"/>
      <c r="P68" s="101"/>
      <c r="Q68" s="101"/>
      <c r="R68" s="128"/>
    </row>
    <row r="69" spans="2:18" ht="19.5" thickTop="1" thickBot="1" x14ac:dyDescent="0.3">
      <c r="B69" s="118"/>
      <c r="C69" s="107"/>
      <c r="D69" s="101"/>
      <c r="E69" s="17" t="s">
        <v>4</v>
      </c>
      <c r="F69" s="18">
        <f t="shared" ref="F69:M69" si="24">IF(F68&lt;30,F67,F67+F68)</f>
        <v>0</v>
      </c>
      <c r="G69" s="18">
        <f t="shared" si="24"/>
        <v>27</v>
      </c>
      <c r="H69" s="18">
        <f t="shared" si="24"/>
        <v>0</v>
      </c>
      <c r="I69" s="18">
        <f t="shared" si="24"/>
        <v>0</v>
      </c>
      <c r="J69" s="18">
        <f t="shared" si="24"/>
        <v>29</v>
      </c>
      <c r="K69" s="95">
        <f t="shared" si="24"/>
        <v>10</v>
      </c>
      <c r="L69" s="18">
        <f t="shared" si="24"/>
        <v>35</v>
      </c>
      <c r="M69" s="18">
        <f t="shared" si="24"/>
        <v>37</v>
      </c>
      <c r="N69" s="19"/>
      <c r="O69" s="20"/>
      <c r="P69" s="101"/>
      <c r="Q69" s="101"/>
      <c r="R69" s="128"/>
    </row>
    <row r="70" spans="2:18" ht="37.5" thickTop="1" thickBot="1" x14ac:dyDescent="0.3">
      <c r="B70" s="119"/>
      <c r="C70" s="108"/>
      <c r="D70" s="102"/>
      <c r="E70" s="11" t="s">
        <v>6</v>
      </c>
      <c r="F70" s="12">
        <f t="shared" ref="F70:M70" si="25">SUM(F66*F69)</f>
        <v>0</v>
      </c>
      <c r="G70" s="12">
        <f t="shared" si="25"/>
        <v>81</v>
      </c>
      <c r="H70" s="12">
        <f t="shared" si="25"/>
        <v>0</v>
      </c>
      <c r="I70" s="12">
        <f t="shared" si="25"/>
        <v>0</v>
      </c>
      <c r="J70" s="12">
        <f t="shared" si="25"/>
        <v>87</v>
      </c>
      <c r="K70" s="12">
        <f t="shared" si="25"/>
        <v>30</v>
      </c>
      <c r="L70" s="12">
        <f t="shared" si="25"/>
        <v>105</v>
      </c>
      <c r="M70" s="12">
        <f t="shared" si="25"/>
        <v>111</v>
      </c>
      <c r="N70" s="13">
        <f>SUM(F70:M70)</f>
        <v>414</v>
      </c>
      <c r="O70" s="16">
        <f>SUM(N70/N66)</f>
        <v>27.6</v>
      </c>
      <c r="P70" s="102"/>
      <c r="Q70" s="102"/>
      <c r="R70" s="129"/>
    </row>
    <row r="71" spans="2:18" ht="20.25" thickTop="1" thickBot="1" x14ac:dyDescent="0.35">
      <c r="B71" s="117">
        <v>-14</v>
      </c>
      <c r="C71" s="106" t="s">
        <v>82</v>
      </c>
      <c r="D71" s="112" t="s">
        <v>230</v>
      </c>
      <c r="E71" s="10" t="s">
        <v>5</v>
      </c>
      <c r="F71" s="57">
        <f>IF(IF(F74=0,0,3),3,0)</f>
        <v>0</v>
      </c>
      <c r="G71" s="57">
        <f>IF(IF(G74=0,0,3),3,0)</f>
        <v>0</v>
      </c>
      <c r="H71" s="57">
        <f>IF(IF(H74=0,0,2),2,0)</f>
        <v>0</v>
      </c>
      <c r="I71" s="57">
        <f>IF(IF(I74=0,0,2),2,0)</f>
        <v>0</v>
      </c>
      <c r="J71" s="57">
        <f>IF(IF(J74=0,0,3),3,0)</f>
        <v>3</v>
      </c>
      <c r="K71" s="57">
        <f>IF(IF(K74=0,0,3),3,0)</f>
        <v>0</v>
      </c>
      <c r="L71" s="57">
        <f>IF(IF(L74=0,0,3),3,0)</f>
        <v>0</v>
      </c>
      <c r="M71" s="57">
        <f>IF(IF(M74=0,0,3),3,0)</f>
        <v>0</v>
      </c>
      <c r="N71" s="57">
        <f>SUM(F71:M71)</f>
        <v>3</v>
      </c>
      <c r="O71" s="58"/>
      <c r="P71" s="113"/>
      <c r="Q71" s="113"/>
      <c r="R71" s="127"/>
    </row>
    <row r="72" spans="2:18" ht="19.5" thickTop="1" thickBot="1" x14ac:dyDescent="0.3">
      <c r="B72" s="118"/>
      <c r="C72" s="107"/>
      <c r="D72" s="101"/>
      <c r="E72" s="2" t="s">
        <v>216</v>
      </c>
      <c r="F72" s="6"/>
      <c r="G72" s="99"/>
      <c r="H72" s="6"/>
      <c r="I72" s="7"/>
      <c r="J72" s="7">
        <v>17</v>
      </c>
      <c r="K72" s="92"/>
      <c r="L72" s="92"/>
      <c r="M72" s="92"/>
      <c r="N72" s="4"/>
      <c r="O72" s="15"/>
      <c r="P72" s="101"/>
      <c r="Q72" s="101"/>
      <c r="R72" s="128"/>
    </row>
    <row r="73" spans="2:18" ht="19.5" thickTop="1" thickBot="1" x14ac:dyDescent="0.3">
      <c r="B73" s="118"/>
      <c r="C73" s="107"/>
      <c r="D73" s="101"/>
      <c r="E73" s="1" t="s">
        <v>3</v>
      </c>
      <c r="F73" s="3"/>
      <c r="G73" s="3"/>
      <c r="H73" s="3"/>
      <c r="I73" s="3"/>
      <c r="J73" s="3"/>
      <c r="K73" s="3"/>
      <c r="L73" s="3"/>
      <c r="M73" s="3"/>
      <c r="N73" s="4"/>
      <c r="O73" s="15"/>
      <c r="P73" s="101"/>
      <c r="Q73" s="101"/>
      <c r="R73" s="128"/>
    </row>
    <row r="74" spans="2:18" ht="19.5" thickTop="1" thickBot="1" x14ac:dyDescent="0.3">
      <c r="B74" s="118"/>
      <c r="C74" s="107"/>
      <c r="D74" s="101"/>
      <c r="E74" s="17" t="s">
        <v>4</v>
      </c>
      <c r="F74" s="18">
        <f t="shared" ref="F74:M74" si="26">IF(F73&lt;30,F72,F72+F73)</f>
        <v>0</v>
      </c>
      <c r="G74" s="18">
        <f t="shared" si="26"/>
        <v>0</v>
      </c>
      <c r="H74" s="18">
        <f t="shared" si="26"/>
        <v>0</v>
      </c>
      <c r="I74" s="18">
        <f t="shared" si="26"/>
        <v>0</v>
      </c>
      <c r="J74" s="18">
        <f t="shared" si="26"/>
        <v>17</v>
      </c>
      <c r="K74" s="18">
        <f t="shared" si="26"/>
        <v>0</v>
      </c>
      <c r="L74" s="18">
        <f t="shared" si="26"/>
        <v>0</v>
      </c>
      <c r="M74" s="18">
        <f t="shared" si="26"/>
        <v>0</v>
      </c>
      <c r="N74" s="19"/>
      <c r="O74" s="20"/>
      <c r="P74" s="101"/>
      <c r="Q74" s="101"/>
      <c r="R74" s="128"/>
    </row>
    <row r="75" spans="2:18" ht="37.5" thickTop="1" thickBot="1" x14ac:dyDescent="0.3">
      <c r="B75" s="119"/>
      <c r="C75" s="108"/>
      <c r="D75" s="102"/>
      <c r="E75" s="68" t="s">
        <v>6</v>
      </c>
      <c r="F75" s="12">
        <f t="shared" ref="F75:M75" si="27">SUM(F71*F74)</f>
        <v>0</v>
      </c>
      <c r="G75" s="12">
        <f t="shared" si="27"/>
        <v>0</v>
      </c>
      <c r="H75" s="12">
        <f t="shared" si="27"/>
        <v>0</v>
      </c>
      <c r="I75" s="12">
        <f t="shared" si="27"/>
        <v>0</v>
      </c>
      <c r="J75" s="12">
        <f t="shared" si="27"/>
        <v>51</v>
      </c>
      <c r="K75" s="12">
        <f t="shared" si="27"/>
        <v>0</v>
      </c>
      <c r="L75" s="12">
        <f t="shared" si="27"/>
        <v>0</v>
      </c>
      <c r="M75" s="12">
        <f t="shared" si="27"/>
        <v>0</v>
      </c>
      <c r="N75" s="13">
        <f>SUM(F75:M75)</f>
        <v>51</v>
      </c>
      <c r="O75" s="16">
        <f>SUM(N75/N71)</f>
        <v>17</v>
      </c>
      <c r="P75" s="102"/>
      <c r="Q75" s="102"/>
      <c r="R75" s="129"/>
    </row>
    <row r="76" spans="2:18" ht="20.25" thickTop="1" thickBot="1" x14ac:dyDescent="0.35">
      <c r="B76" s="117">
        <v>-15</v>
      </c>
      <c r="C76" s="106" t="s">
        <v>83</v>
      </c>
      <c r="D76" s="101" t="s">
        <v>231</v>
      </c>
      <c r="E76" s="56" t="s">
        <v>5</v>
      </c>
      <c r="F76" s="57">
        <f>IF(IF(F79=0,0,3),3,0)</f>
        <v>0</v>
      </c>
      <c r="G76" s="57">
        <f>IF(IF(G79=0,0,3),3,0)</f>
        <v>3</v>
      </c>
      <c r="H76" s="57">
        <f>IF(IF(H79=0,0,2),2,0)</f>
        <v>0</v>
      </c>
      <c r="I76" s="57">
        <f>IF(IF(I79=0,0,2),2,0)</f>
        <v>0</v>
      </c>
      <c r="J76" s="57">
        <f>IF(IF(J79=0,0,3),3,0)</f>
        <v>3</v>
      </c>
      <c r="K76" s="57">
        <f>IF(IF(K79=0,0,3),3,0)</f>
        <v>3</v>
      </c>
      <c r="L76" s="57">
        <f>IF(IF(L79=0,0,3),3,0)</f>
        <v>3</v>
      </c>
      <c r="M76" s="57">
        <f>IF(IF(M79=0,0,3),3,0)</f>
        <v>3</v>
      </c>
      <c r="N76" s="57">
        <f>SUM(F76:M76)</f>
        <v>15</v>
      </c>
      <c r="O76" s="58"/>
      <c r="P76" s="113"/>
      <c r="Q76" s="113"/>
      <c r="R76" s="127"/>
    </row>
    <row r="77" spans="2:18" ht="19.5" thickTop="1" thickBot="1" x14ac:dyDescent="0.3">
      <c r="B77" s="118"/>
      <c r="C77" s="107"/>
      <c r="D77" s="101"/>
      <c r="E77" s="5" t="s">
        <v>216</v>
      </c>
      <c r="F77" s="6"/>
      <c r="G77" s="6">
        <v>24</v>
      </c>
      <c r="H77" s="6"/>
      <c r="I77" s="7"/>
      <c r="J77" s="7">
        <v>16</v>
      </c>
      <c r="K77" s="7">
        <v>14</v>
      </c>
      <c r="L77" s="7">
        <v>30</v>
      </c>
      <c r="M77" s="7">
        <v>25</v>
      </c>
      <c r="N77" s="4"/>
      <c r="O77" s="15"/>
      <c r="P77" s="101"/>
      <c r="Q77" s="101"/>
      <c r="R77" s="128"/>
    </row>
    <row r="78" spans="2:18" ht="19.5" thickTop="1" thickBot="1" x14ac:dyDescent="0.3">
      <c r="B78" s="118"/>
      <c r="C78" s="107"/>
      <c r="D78" s="101"/>
      <c r="E78" s="1" t="s">
        <v>3</v>
      </c>
      <c r="F78" s="3"/>
      <c r="G78" s="3"/>
      <c r="H78" s="3"/>
      <c r="I78" s="3"/>
      <c r="J78" s="3"/>
      <c r="K78" s="93">
        <v>30</v>
      </c>
      <c r="L78" s="3"/>
      <c r="M78" s="3"/>
      <c r="N78" s="4"/>
      <c r="O78" s="15"/>
      <c r="P78" s="101"/>
      <c r="Q78" s="101"/>
      <c r="R78" s="128"/>
    </row>
    <row r="79" spans="2:18" ht="19.5" thickTop="1" thickBot="1" x14ac:dyDescent="0.3">
      <c r="B79" s="118"/>
      <c r="C79" s="107"/>
      <c r="D79" s="101"/>
      <c r="E79" s="17" t="s">
        <v>4</v>
      </c>
      <c r="F79" s="18">
        <f t="shared" ref="F79:M79" si="28">IF(F78&lt;30,F77,F77+F78)</f>
        <v>0</v>
      </c>
      <c r="G79" s="18">
        <f t="shared" si="28"/>
        <v>24</v>
      </c>
      <c r="H79" s="18">
        <f t="shared" si="28"/>
        <v>0</v>
      </c>
      <c r="I79" s="18">
        <f t="shared" si="28"/>
        <v>0</v>
      </c>
      <c r="J79" s="18">
        <f t="shared" si="28"/>
        <v>16</v>
      </c>
      <c r="K79" s="18">
        <f t="shared" si="28"/>
        <v>44</v>
      </c>
      <c r="L79" s="18">
        <f t="shared" si="28"/>
        <v>30</v>
      </c>
      <c r="M79" s="18">
        <f t="shared" si="28"/>
        <v>25</v>
      </c>
      <c r="N79" s="19"/>
      <c r="O79" s="20"/>
      <c r="P79" s="101"/>
      <c r="Q79" s="101"/>
      <c r="R79" s="128"/>
    </row>
    <row r="80" spans="2:18" ht="37.5" thickTop="1" thickBot="1" x14ac:dyDescent="0.3">
      <c r="B80" s="124"/>
      <c r="C80" s="108"/>
      <c r="D80" s="102"/>
      <c r="E80" s="11" t="s">
        <v>6</v>
      </c>
      <c r="F80" s="12">
        <f t="shared" ref="F80:M80" si="29">SUM(F76*F79)</f>
        <v>0</v>
      </c>
      <c r="G80" s="12">
        <f t="shared" si="29"/>
        <v>72</v>
      </c>
      <c r="H80" s="12">
        <f t="shared" si="29"/>
        <v>0</v>
      </c>
      <c r="I80" s="12">
        <f t="shared" si="29"/>
        <v>0</v>
      </c>
      <c r="J80" s="12">
        <f t="shared" si="29"/>
        <v>48</v>
      </c>
      <c r="K80" s="12">
        <f t="shared" si="29"/>
        <v>132</v>
      </c>
      <c r="L80" s="12">
        <f t="shared" si="29"/>
        <v>90</v>
      </c>
      <c r="M80" s="12">
        <f t="shared" si="29"/>
        <v>75</v>
      </c>
      <c r="N80" s="13">
        <f>SUM(F80:M80)</f>
        <v>417</v>
      </c>
      <c r="O80" s="16">
        <f>SUM(N80/N76)</f>
        <v>27.8</v>
      </c>
      <c r="P80" s="102"/>
      <c r="Q80" s="102"/>
      <c r="R80" s="129"/>
    </row>
    <row r="81" spans="2:18" ht="20.25" thickTop="1" thickBot="1" x14ac:dyDescent="0.35">
      <c r="B81" s="118">
        <v>-16</v>
      </c>
      <c r="C81" s="106" t="s">
        <v>84</v>
      </c>
      <c r="D81" s="101" t="s">
        <v>232</v>
      </c>
      <c r="E81" s="14" t="s">
        <v>5</v>
      </c>
      <c r="F81" s="57">
        <f>IF(IF(F84=0,0,3),3,0)</f>
        <v>0</v>
      </c>
      <c r="G81" s="57">
        <f>IF(IF(G84=0,0,3),3,0)</f>
        <v>3</v>
      </c>
      <c r="H81" s="57">
        <f>IF(IF(H84=0,0,2),2,0)</f>
        <v>0</v>
      </c>
      <c r="I81" s="57">
        <f>IF(IF(I84=0,0,2),2,0)</f>
        <v>0</v>
      </c>
      <c r="J81" s="57">
        <f>IF(IF(J84=0,0,3),3,0)</f>
        <v>3</v>
      </c>
      <c r="K81" s="57">
        <f>IF(IF(K84=0,0,3),3,0)</f>
        <v>3</v>
      </c>
      <c r="L81" s="57">
        <f>IF(IF(L84=0,0,3),3,0)</f>
        <v>3</v>
      </c>
      <c r="M81" s="57">
        <f>IF(IF(M84=0,0,3),3,0)</f>
        <v>3</v>
      </c>
      <c r="N81" s="57">
        <f>SUM(F81:M81)</f>
        <v>15</v>
      </c>
      <c r="O81" s="58"/>
      <c r="P81" s="113"/>
      <c r="Q81" s="113"/>
      <c r="R81" s="127"/>
    </row>
    <row r="82" spans="2:18" ht="19.5" thickTop="1" thickBot="1" x14ac:dyDescent="0.3">
      <c r="B82" s="118"/>
      <c r="C82" s="107"/>
      <c r="D82" s="101"/>
      <c r="E82" s="2" t="s">
        <v>216</v>
      </c>
      <c r="F82" s="6"/>
      <c r="G82" s="6">
        <v>38</v>
      </c>
      <c r="H82" s="6"/>
      <c r="I82" s="7"/>
      <c r="J82" s="7">
        <v>33</v>
      </c>
      <c r="K82" s="7">
        <v>20</v>
      </c>
      <c r="L82" s="7">
        <v>36</v>
      </c>
      <c r="M82" s="7">
        <v>25</v>
      </c>
      <c r="N82" s="4"/>
      <c r="O82" s="15"/>
      <c r="P82" s="101"/>
      <c r="Q82" s="101"/>
      <c r="R82" s="128"/>
    </row>
    <row r="83" spans="2:18" ht="19.5" thickTop="1" thickBot="1" x14ac:dyDescent="0.3">
      <c r="B83" s="118"/>
      <c r="C83" s="107"/>
      <c r="D83" s="101"/>
      <c r="E83" s="1" t="s">
        <v>3</v>
      </c>
      <c r="F83" s="3"/>
      <c r="G83" s="3"/>
      <c r="H83" s="3"/>
      <c r="I83" s="3"/>
      <c r="J83" s="3"/>
      <c r="K83" s="3">
        <v>47</v>
      </c>
      <c r="L83" s="3"/>
      <c r="M83" s="3"/>
      <c r="N83" s="4"/>
      <c r="O83" s="15"/>
      <c r="P83" s="101"/>
      <c r="Q83" s="101"/>
      <c r="R83" s="128"/>
    </row>
    <row r="84" spans="2:18" ht="19.5" thickTop="1" thickBot="1" x14ac:dyDescent="0.3">
      <c r="B84" s="118"/>
      <c r="C84" s="107"/>
      <c r="D84" s="101"/>
      <c r="E84" s="17" t="s">
        <v>4</v>
      </c>
      <c r="F84" s="18">
        <f t="shared" ref="F84:M84" si="30">IF(F83&lt;30,F82,F82+F83)</f>
        <v>0</v>
      </c>
      <c r="G84" s="18">
        <f t="shared" si="30"/>
        <v>38</v>
      </c>
      <c r="H84" s="18">
        <f t="shared" si="30"/>
        <v>0</v>
      </c>
      <c r="I84" s="18">
        <f t="shared" si="30"/>
        <v>0</v>
      </c>
      <c r="J84" s="18">
        <f t="shared" si="30"/>
        <v>33</v>
      </c>
      <c r="K84" s="18">
        <f t="shared" si="30"/>
        <v>67</v>
      </c>
      <c r="L84" s="18">
        <f t="shared" si="30"/>
        <v>36</v>
      </c>
      <c r="M84" s="18">
        <f t="shared" si="30"/>
        <v>25</v>
      </c>
      <c r="N84" s="19"/>
      <c r="O84" s="20"/>
      <c r="P84" s="101"/>
      <c r="Q84" s="101"/>
      <c r="R84" s="128"/>
    </row>
    <row r="85" spans="2:18" ht="37.5" thickTop="1" thickBot="1" x14ac:dyDescent="0.3">
      <c r="B85" s="119"/>
      <c r="C85" s="108"/>
      <c r="D85" s="102"/>
      <c r="E85" s="11" t="s">
        <v>6</v>
      </c>
      <c r="F85" s="12">
        <f t="shared" ref="F85:M85" si="31">SUM(F81*F84)</f>
        <v>0</v>
      </c>
      <c r="G85" s="12">
        <f t="shared" si="31"/>
        <v>114</v>
      </c>
      <c r="H85" s="12">
        <f t="shared" si="31"/>
        <v>0</v>
      </c>
      <c r="I85" s="12">
        <f t="shared" si="31"/>
        <v>0</v>
      </c>
      <c r="J85" s="12">
        <f t="shared" si="31"/>
        <v>99</v>
      </c>
      <c r="K85" s="12">
        <f t="shared" si="31"/>
        <v>201</v>
      </c>
      <c r="L85" s="12">
        <f t="shared" si="31"/>
        <v>108</v>
      </c>
      <c r="M85" s="12">
        <f t="shared" si="31"/>
        <v>75</v>
      </c>
      <c r="N85" s="13">
        <f>SUM(F85:M85)</f>
        <v>597</v>
      </c>
      <c r="O85" s="16">
        <f>SUM(N85/N81)</f>
        <v>39.799999999999997</v>
      </c>
      <c r="P85" s="102"/>
      <c r="Q85" s="102"/>
      <c r="R85" s="129"/>
    </row>
    <row r="86" spans="2:18" ht="20.25" thickTop="1" thickBot="1" x14ac:dyDescent="0.35">
      <c r="B86" s="117">
        <v>-17</v>
      </c>
      <c r="C86" s="106" t="s">
        <v>85</v>
      </c>
      <c r="D86" s="101" t="s">
        <v>233</v>
      </c>
      <c r="E86" s="14" t="s">
        <v>5</v>
      </c>
      <c r="F86" s="57">
        <f>IF(IF(F89=0,0,3),3,0)</f>
        <v>0</v>
      </c>
      <c r="G86" s="57">
        <f>IF(IF(G89=0,0,3),3,0)</f>
        <v>3</v>
      </c>
      <c r="H86" s="57">
        <f>IF(IF(H89=0,0,2),2,0)</f>
        <v>0</v>
      </c>
      <c r="I86" s="57">
        <f>IF(IF(I89=0,0,2),2,0)</f>
        <v>0</v>
      </c>
      <c r="J86" s="57">
        <f>IF(IF(J89=0,0,3),3,0)</f>
        <v>3</v>
      </c>
      <c r="K86" s="57">
        <f>IF(IF(K89=0,0,3),3,0)</f>
        <v>3</v>
      </c>
      <c r="L86" s="57">
        <f>IF(IF(L89=0,0,3),3,0)</f>
        <v>3</v>
      </c>
      <c r="M86" s="57">
        <f>IF(IF(M89=0,0,3),3,0)</f>
        <v>3</v>
      </c>
      <c r="N86" s="57">
        <f>SUM(F86:M86)</f>
        <v>15</v>
      </c>
      <c r="O86" s="58"/>
      <c r="P86" s="113"/>
      <c r="Q86" s="113"/>
      <c r="R86" s="127"/>
    </row>
    <row r="87" spans="2:18" ht="19.5" thickTop="1" thickBot="1" x14ac:dyDescent="0.3">
      <c r="B87" s="118"/>
      <c r="C87" s="107"/>
      <c r="D87" s="101"/>
      <c r="E87" s="2" t="s">
        <v>216</v>
      </c>
      <c r="F87" s="6"/>
      <c r="G87" s="6">
        <v>30</v>
      </c>
      <c r="H87" s="6"/>
      <c r="I87" s="7"/>
      <c r="J87" s="7">
        <v>32</v>
      </c>
      <c r="K87" s="7">
        <v>30</v>
      </c>
      <c r="L87" s="7">
        <v>36</v>
      </c>
      <c r="M87" s="7">
        <v>32</v>
      </c>
      <c r="N87" s="4"/>
      <c r="O87" s="15"/>
      <c r="P87" s="101"/>
      <c r="Q87" s="101"/>
      <c r="R87" s="128"/>
    </row>
    <row r="88" spans="2:18" ht="19.5" thickTop="1" thickBot="1" x14ac:dyDescent="0.3">
      <c r="B88" s="118"/>
      <c r="C88" s="107"/>
      <c r="D88" s="101"/>
      <c r="E88" s="1" t="s">
        <v>3</v>
      </c>
      <c r="F88" s="3"/>
      <c r="G88" s="3"/>
      <c r="H88" s="3"/>
      <c r="I88" s="3"/>
      <c r="J88" s="3"/>
      <c r="K88" s="3">
        <v>57</v>
      </c>
      <c r="L88" s="3"/>
      <c r="M88" s="3"/>
      <c r="N88" s="4"/>
      <c r="O88" s="15"/>
      <c r="P88" s="101"/>
      <c r="Q88" s="101"/>
      <c r="R88" s="128"/>
    </row>
    <row r="89" spans="2:18" ht="19.5" thickTop="1" thickBot="1" x14ac:dyDescent="0.3">
      <c r="B89" s="118"/>
      <c r="C89" s="107"/>
      <c r="D89" s="101"/>
      <c r="E89" s="17" t="s">
        <v>4</v>
      </c>
      <c r="F89" s="18">
        <f t="shared" ref="F89:M89" si="32">IF(F88&lt;30,F87,F87+F88)</f>
        <v>0</v>
      </c>
      <c r="G89" s="18">
        <f t="shared" si="32"/>
        <v>30</v>
      </c>
      <c r="H89" s="18">
        <f t="shared" si="32"/>
        <v>0</v>
      </c>
      <c r="I89" s="18">
        <f t="shared" si="32"/>
        <v>0</v>
      </c>
      <c r="J89" s="18">
        <f t="shared" si="32"/>
        <v>32</v>
      </c>
      <c r="K89" s="18">
        <f t="shared" si="32"/>
        <v>87</v>
      </c>
      <c r="L89" s="18">
        <f t="shared" si="32"/>
        <v>36</v>
      </c>
      <c r="M89" s="18">
        <f t="shared" si="32"/>
        <v>32</v>
      </c>
      <c r="N89" s="19"/>
      <c r="O89" s="20"/>
      <c r="P89" s="101"/>
      <c r="Q89" s="101"/>
      <c r="R89" s="128"/>
    </row>
    <row r="90" spans="2:18" ht="37.5" thickTop="1" thickBot="1" x14ac:dyDescent="0.3">
      <c r="B90" s="124"/>
      <c r="C90" s="108"/>
      <c r="D90" s="102"/>
      <c r="E90" s="8" t="s">
        <v>6</v>
      </c>
      <c r="F90" s="12">
        <f t="shared" ref="F90:M90" si="33">SUM(F86*F89)</f>
        <v>0</v>
      </c>
      <c r="G90" s="12">
        <f t="shared" si="33"/>
        <v>90</v>
      </c>
      <c r="H90" s="12">
        <f t="shared" si="33"/>
        <v>0</v>
      </c>
      <c r="I90" s="12">
        <f t="shared" si="33"/>
        <v>0</v>
      </c>
      <c r="J90" s="12">
        <f t="shared" si="33"/>
        <v>96</v>
      </c>
      <c r="K90" s="12">
        <f t="shared" si="33"/>
        <v>261</v>
      </c>
      <c r="L90" s="12">
        <f t="shared" si="33"/>
        <v>108</v>
      </c>
      <c r="M90" s="12">
        <f t="shared" si="33"/>
        <v>96</v>
      </c>
      <c r="N90" s="13">
        <f>SUM(F90:M90)</f>
        <v>651</v>
      </c>
      <c r="O90" s="16">
        <f>SUM(N90/N86)</f>
        <v>43.4</v>
      </c>
      <c r="P90" s="102"/>
      <c r="Q90" s="102"/>
      <c r="R90" s="129"/>
    </row>
    <row r="91" spans="2:18" ht="20.25" thickTop="1" thickBot="1" x14ac:dyDescent="0.35">
      <c r="B91" s="125">
        <v>-18</v>
      </c>
      <c r="C91" s="106" t="s">
        <v>138</v>
      </c>
      <c r="D91" s="101" t="s">
        <v>234</v>
      </c>
      <c r="E91" s="10" t="s">
        <v>5</v>
      </c>
      <c r="F91" s="57">
        <f>IF(IF(F94=0,0,3),3,0)</f>
        <v>0</v>
      </c>
      <c r="G91" s="57">
        <f>IF(IF(G94=0,0,3),3,0)</f>
        <v>3</v>
      </c>
      <c r="H91" s="57">
        <f>IF(IF(H94=0,0,2),2,0)</f>
        <v>0</v>
      </c>
      <c r="I91" s="57">
        <f>IF(IF(I94=0,0,2),2,0)</f>
        <v>0</v>
      </c>
      <c r="J91" s="57">
        <f>IF(IF(J94=0,0,3),3,0)</f>
        <v>3</v>
      </c>
      <c r="K91" s="57">
        <f>IF(IF(K94=0,0,3),3,0)</f>
        <v>3</v>
      </c>
      <c r="L91" s="57">
        <f>IF(IF(L94=0,0,3),3,0)</f>
        <v>3</v>
      </c>
      <c r="M91" s="57">
        <f>IF(IF(M94=0,0,3),3,0)</f>
        <v>3</v>
      </c>
      <c r="N91" s="57">
        <f>SUM(F91:M91)</f>
        <v>15</v>
      </c>
      <c r="O91" s="58"/>
      <c r="P91" s="113"/>
      <c r="Q91" s="113"/>
      <c r="R91" s="127"/>
    </row>
    <row r="92" spans="2:18" ht="19.5" thickTop="1" thickBot="1" x14ac:dyDescent="0.3">
      <c r="B92" s="118"/>
      <c r="C92" s="107"/>
      <c r="D92" s="101"/>
      <c r="E92" s="2" t="s">
        <v>216</v>
      </c>
      <c r="F92" s="6"/>
      <c r="G92" s="6">
        <v>20</v>
      </c>
      <c r="H92" s="6"/>
      <c r="I92" s="7"/>
      <c r="J92" s="7">
        <v>15</v>
      </c>
      <c r="K92" s="94">
        <v>10</v>
      </c>
      <c r="L92" s="7">
        <v>32</v>
      </c>
      <c r="M92" s="7">
        <v>20</v>
      </c>
      <c r="N92" s="4"/>
      <c r="O92" s="15"/>
      <c r="P92" s="101"/>
      <c r="Q92" s="101"/>
      <c r="R92" s="128"/>
    </row>
    <row r="93" spans="2:18" ht="19.5" thickTop="1" thickBot="1" x14ac:dyDescent="0.3">
      <c r="B93" s="118"/>
      <c r="C93" s="107"/>
      <c r="D93" s="101"/>
      <c r="E93" s="1" t="s">
        <v>3</v>
      </c>
      <c r="F93" s="3"/>
      <c r="G93" s="3"/>
      <c r="H93" s="3"/>
      <c r="I93" s="3"/>
      <c r="J93" s="3"/>
      <c r="K93" s="95">
        <v>26</v>
      </c>
      <c r="L93" s="3"/>
      <c r="M93" s="3"/>
      <c r="N93" s="4"/>
      <c r="O93" s="15"/>
      <c r="P93" s="101"/>
      <c r="Q93" s="101"/>
      <c r="R93" s="128"/>
    </row>
    <row r="94" spans="2:18" ht="19.5" thickTop="1" thickBot="1" x14ac:dyDescent="0.3">
      <c r="B94" s="118"/>
      <c r="C94" s="107"/>
      <c r="D94" s="101"/>
      <c r="E94" s="17" t="s">
        <v>4</v>
      </c>
      <c r="F94" s="18">
        <f t="shared" ref="F94:M94" si="34">IF(F93&lt;30,F92,F92+F93)</f>
        <v>0</v>
      </c>
      <c r="G94" s="18">
        <f t="shared" si="34"/>
        <v>20</v>
      </c>
      <c r="H94" s="18">
        <f t="shared" si="34"/>
        <v>0</v>
      </c>
      <c r="I94" s="18">
        <f t="shared" si="34"/>
        <v>0</v>
      </c>
      <c r="J94" s="18">
        <f t="shared" si="34"/>
        <v>15</v>
      </c>
      <c r="K94" s="95">
        <f t="shared" si="34"/>
        <v>10</v>
      </c>
      <c r="L94" s="18">
        <f t="shared" si="34"/>
        <v>32</v>
      </c>
      <c r="M94" s="18">
        <f t="shared" si="34"/>
        <v>20</v>
      </c>
      <c r="N94" s="19"/>
      <c r="O94" s="20"/>
      <c r="P94" s="101"/>
      <c r="Q94" s="101"/>
      <c r="R94" s="128"/>
    </row>
    <row r="95" spans="2:18" ht="37.5" thickTop="1" thickBot="1" x14ac:dyDescent="0.3">
      <c r="B95" s="124"/>
      <c r="C95" s="108"/>
      <c r="D95" s="102"/>
      <c r="E95" s="8" t="s">
        <v>6</v>
      </c>
      <c r="F95" s="12">
        <f t="shared" ref="F95:M95" si="35">SUM(F91*F94)</f>
        <v>0</v>
      </c>
      <c r="G95" s="12">
        <f t="shared" si="35"/>
        <v>60</v>
      </c>
      <c r="H95" s="12">
        <f t="shared" si="35"/>
        <v>0</v>
      </c>
      <c r="I95" s="12">
        <f t="shared" si="35"/>
        <v>0</v>
      </c>
      <c r="J95" s="12">
        <f t="shared" si="35"/>
        <v>45</v>
      </c>
      <c r="K95" s="12">
        <f t="shared" si="35"/>
        <v>30</v>
      </c>
      <c r="L95" s="12">
        <f t="shared" si="35"/>
        <v>96</v>
      </c>
      <c r="M95" s="12">
        <f t="shared" si="35"/>
        <v>60</v>
      </c>
      <c r="N95" s="13">
        <f>SUM(F95:M95)</f>
        <v>291</v>
      </c>
      <c r="O95" s="16">
        <f>SUM(N95/N91)</f>
        <v>19.399999999999999</v>
      </c>
      <c r="P95" s="102"/>
      <c r="Q95" s="102"/>
      <c r="R95" s="129"/>
    </row>
    <row r="96" spans="2:18" ht="20.25" thickTop="1" thickBot="1" x14ac:dyDescent="0.35">
      <c r="B96" s="125">
        <v>-19</v>
      </c>
      <c r="C96" s="106" t="s">
        <v>86</v>
      </c>
      <c r="D96" s="112" t="s">
        <v>235</v>
      </c>
      <c r="E96" s="10" t="s">
        <v>5</v>
      </c>
      <c r="F96" s="57">
        <f>IF(IF(F99=0,0,3),3,0)</f>
        <v>0</v>
      </c>
      <c r="G96" s="57">
        <f>IF(IF(G99=0,0,3),3,0)</f>
        <v>3</v>
      </c>
      <c r="H96" s="57">
        <f>IF(IF(H99=0,0,2),2,0)</f>
        <v>0</v>
      </c>
      <c r="I96" s="57">
        <f>IF(IF(I99=0,0,2),2,0)</f>
        <v>0</v>
      </c>
      <c r="J96" s="57">
        <f>IF(IF(J99=0,0,3),3,0)</f>
        <v>3</v>
      </c>
      <c r="K96" s="57">
        <f>IF(IF(K99=0,0,3),3,0)</f>
        <v>3</v>
      </c>
      <c r="L96" s="57">
        <f>IF(IF(L99=0,0,3),3,0)</f>
        <v>3</v>
      </c>
      <c r="M96" s="57">
        <f>IF(IF(M99=0,0,3),3,0)</f>
        <v>3</v>
      </c>
      <c r="N96" s="57">
        <f>SUM(F96:M96)</f>
        <v>15</v>
      </c>
      <c r="O96" s="58"/>
      <c r="P96" s="113"/>
      <c r="Q96" s="113"/>
      <c r="R96" s="127"/>
    </row>
    <row r="97" spans="2:18" ht="19.5" thickTop="1" thickBot="1" x14ac:dyDescent="0.3">
      <c r="B97" s="118"/>
      <c r="C97" s="107"/>
      <c r="D97" s="101"/>
      <c r="E97" s="2" t="s">
        <v>216</v>
      </c>
      <c r="F97" s="6"/>
      <c r="G97" s="6">
        <v>24</v>
      </c>
      <c r="H97" s="6"/>
      <c r="I97" s="7"/>
      <c r="J97" s="7">
        <v>31</v>
      </c>
      <c r="K97" s="94">
        <v>10</v>
      </c>
      <c r="L97" s="7">
        <v>38</v>
      </c>
      <c r="M97" s="7">
        <v>34</v>
      </c>
      <c r="N97" s="4"/>
      <c r="O97" s="15"/>
      <c r="P97" s="101"/>
      <c r="Q97" s="101"/>
      <c r="R97" s="128"/>
    </row>
    <row r="98" spans="2:18" ht="19.5" thickTop="1" thickBot="1" x14ac:dyDescent="0.3">
      <c r="B98" s="118"/>
      <c r="C98" s="107"/>
      <c r="D98" s="101"/>
      <c r="E98" s="1" t="s">
        <v>3</v>
      </c>
      <c r="F98" s="3"/>
      <c r="G98" s="3"/>
      <c r="H98" s="3"/>
      <c r="I98" s="3"/>
      <c r="J98" s="3"/>
      <c r="K98" s="95">
        <v>0</v>
      </c>
      <c r="L98" s="3"/>
      <c r="M98" s="3"/>
      <c r="N98" s="4"/>
      <c r="O98" s="15"/>
      <c r="P98" s="101"/>
      <c r="Q98" s="101"/>
      <c r="R98" s="128"/>
    </row>
    <row r="99" spans="2:18" ht="19.5" thickTop="1" thickBot="1" x14ac:dyDescent="0.3">
      <c r="B99" s="118"/>
      <c r="C99" s="107"/>
      <c r="D99" s="101"/>
      <c r="E99" s="17" t="s">
        <v>4</v>
      </c>
      <c r="F99" s="18">
        <f t="shared" ref="F99:M99" si="36">IF(F98&lt;30,F97,F97+F98)</f>
        <v>0</v>
      </c>
      <c r="G99" s="18">
        <f t="shared" si="36"/>
        <v>24</v>
      </c>
      <c r="H99" s="18">
        <f t="shared" si="36"/>
        <v>0</v>
      </c>
      <c r="I99" s="18">
        <f t="shared" si="36"/>
        <v>0</v>
      </c>
      <c r="J99" s="18">
        <f t="shared" si="36"/>
        <v>31</v>
      </c>
      <c r="K99" s="95">
        <f t="shared" si="36"/>
        <v>10</v>
      </c>
      <c r="L99" s="18">
        <f t="shared" si="36"/>
        <v>38</v>
      </c>
      <c r="M99" s="18">
        <f t="shared" si="36"/>
        <v>34</v>
      </c>
      <c r="N99" s="19"/>
      <c r="O99" s="20"/>
      <c r="P99" s="101"/>
      <c r="Q99" s="101"/>
      <c r="R99" s="128"/>
    </row>
    <row r="100" spans="2:18" ht="37.5" thickTop="1" thickBot="1" x14ac:dyDescent="0.3">
      <c r="B100" s="124"/>
      <c r="C100" s="108"/>
      <c r="D100" s="102"/>
      <c r="E100" s="8" t="s">
        <v>6</v>
      </c>
      <c r="F100" s="12">
        <f t="shared" ref="F100:M100" si="37">SUM(F96*F99)</f>
        <v>0</v>
      </c>
      <c r="G100" s="12">
        <f t="shared" si="37"/>
        <v>72</v>
      </c>
      <c r="H100" s="12">
        <f t="shared" si="37"/>
        <v>0</v>
      </c>
      <c r="I100" s="12">
        <f t="shared" si="37"/>
        <v>0</v>
      </c>
      <c r="J100" s="12">
        <f t="shared" si="37"/>
        <v>93</v>
      </c>
      <c r="K100" s="12">
        <f t="shared" si="37"/>
        <v>30</v>
      </c>
      <c r="L100" s="12">
        <f t="shared" si="37"/>
        <v>114</v>
      </c>
      <c r="M100" s="12">
        <f t="shared" si="37"/>
        <v>102</v>
      </c>
      <c r="N100" s="13">
        <f>SUM(F100:M100)</f>
        <v>411</v>
      </c>
      <c r="O100" s="16">
        <f>SUM(N100/N96)</f>
        <v>27.4</v>
      </c>
      <c r="P100" s="102"/>
      <c r="Q100" s="102"/>
      <c r="R100" s="129"/>
    </row>
    <row r="101" spans="2:18" ht="20.25" thickTop="1" thickBot="1" x14ac:dyDescent="0.35">
      <c r="B101" s="125">
        <v>-20</v>
      </c>
      <c r="C101" s="106" t="s">
        <v>87</v>
      </c>
      <c r="D101" s="112" t="s">
        <v>236</v>
      </c>
      <c r="E101" s="10" t="s">
        <v>5</v>
      </c>
      <c r="F101" s="57">
        <f>IF(IF(F104=0,0,3),3,0)</f>
        <v>0</v>
      </c>
      <c r="G101" s="57">
        <f>IF(IF(G104=0,0,3),3,0)</f>
        <v>3</v>
      </c>
      <c r="H101" s="57">
        <f>IF(IF(H104=0,0,2),2,0)</f>
        <v>0</v>
      </c>
      <c r="I101" s="57">
        <f>IF(IF(I104=0,0,2),2,0)</f>
        <v>0</v>
      </c>
      <c r="J101" s="57">
        <f>IF(IF(J104=0,0,3),3,0)</f>
        <v>3</v>
      </c>
      <c r="K101" s="57">
        <f>IF(IF(K104=0,0,3),3,0)</f>
        <v>3</v>
      </c>
      <c r="L101" s="57">
        <f>IF(IF(L104=0,0,3),3,0)</f>
        <v>3</v>
      </c>
      <c r="M101" s="57">
        <f>IF(IF(M104=0,0,3),3,0)</f>
        <v>3</v>
      </c>
      <c r="N101" s="57">
        <f>SUM(F101:M101)</f>
        <v>15</v>
      </c>
      <c r="O101" s="58"/>
      <c r="P101" s="113"/>
      <c r="Q101" s="113"/>
      <c r="R101" s="127"/>
    </row>
    <row r="102" spans="2:18" ht="19.5" thickTop="1" thickBot="1" x14ac:dyDescent="0.3">
      <c r="B102" s="118"/>
      <c r="C102" s="107"/>
      <c r="D102" s="101"/>
      <c r="E102" s="2" t="s">
        <v>216</v>
      </c>
      <c r="F102" s="6"/>
      <c r="G102" s="6">
        <v>20</v>
      </c>
      <c r="H102" s="6"/>
      <c r="I102" s="7"/>
      <c r="J102" s="7">
        <v>16</v>
      </c>
      <c r="K102" s="94">
        <v>21</v>
      </c>
      <c r="L102" s="7">
        <v>36</v>
      </c>
      <c r="M102" s="7">
        <v>29</v>
      </c>
      <c r="N102" s="4"/>
      <c r="O102" s="15"/>
      <c r="P102" s="101"/>
      <c r="Q102" s="101"/>
      <c r="R102" s="128"/>
    </row>
    <row r="103" spans="2:18" ht="19.5" thickTop="1" thickBot="1" x14ac:dyDescent="0.3">
      <c r="B103" s="118"/>
      <c r="C103" s="107"/>
      <c r="D103" s="101"/>
      <c r="E103" s="1" t="s">
        <v>3</v>
      </c>
      <c r="F103" s="3"/>
      <c r="G103" s="3"/>
      <c r="H103" s="3"/>
      <c r="I103" s="3"/>
      <c r="J103" s="3"/>
      <c r="K103" s="95">
        <v>0</v>
      </c>
      <c r="L103" s="3"/>
      <c r="M103" s="3"/>
      <c r="N103" s="4"/>
      <c r="O103" s="15"/>
      <c r="P103" s="101"/>
      <c r="Q103" s="101"/>
      <c r="R103" s="128"/>
    </row>
    <row r="104" spans="2:18" ht="19.5" thickTop="1" thickBot="1" x14ac:dyDescent="0.3">
      <c r="B104" s="118"/>
      <c r="C104" s="107"/>
      <c r="D104" s="101"/>
      <c r="E104" s="17" t="s">
        <v>4</v>
      </c>
      <c r="F104" s="18">
        <f t="shared" ref="F104:M104" si="38">IF(F103&lt;30,F102,F102+F103)</f>
        <v>0</v>
      </c>
      <c r="G104" s="18">
        <f t="shared" si="38"/>
        <v>20</v>
      </c>
      <c r="H104" s="18">
        <f t="shared" si="38"/>
        <v>0</v>
      </c>
      <c r="I104" s="18">
        <f t="shared" si="38"/>
        <v>0</v>
      </c>
      <c r="J104" s="18">
        <f t="shared" si="38"/>
        <v>16</v>
      </c>
      <c r="K104" s="95">
        <f t="shared" si="38"/>
        <v>21</v>
      </c>
      <c r="L104" s="18">
        <f t="shared" si="38"/>
        <v>36</v>
      </c>
      <c r="M104" s="18">
        <f t="shared" si="38"/>
        <v>29</v>
      </c>
      <c r="N104" s="19"/>
      <c r="O104" s="20"/>
      <c r="P104" s="101"/>
      <c r="Q104" s="101"/>
      <c r="R104" s="128"/>
    </row>
    <row r="105" spans="2:18" ht="37.5" thickTop="1" thickBot="1" x14ac:dyDescent="0.3">
      <c r="B105" s="118"/>
      <c r="C105" s="108"/>
      <c r="D105" s="102"/>
      <c r="E105" s="11" t="s">
        <v>6</v>
      </c>
      <c r="F105" s="12">
        <f t="shared" ref="F105:M105" si="39">SUM(F101*F104)</f>
        <v>0</v>
      </c>
      <c r="G105" s="12">
        <f t="shared" si="39"/>
        <v>60</v>
      </c>
      <c r="H105" s="12">
        <f t="shared" si="39"/>
        <v>0</v>
      </c>
      <c r="I105" s="12">
        <f t="shared" si="39"/>
        <v>0</v>
      </c>
      <c r="J105" s="12">
        <f t="shared" si="39"/>
        <v>48</v>
      </c>
      <c r="K105" s="12">
        <f t="shared" si="39"/>
        <v>63</v>
      </c>
      <c r="L105" s="12">
        <f t="shared" si="39"/>
        <v>108</v>
      </c>
      <c r="M105" s="12">
        <f t="shared" si="39"/>
        <v>87</v>
      </c>
      <c r="N105" s="13">
        <f>SUM(F105:M105)</f>
        <v>366</v>
      </c>
      <c r="O105" s="16">
        <f>SUM(N105/N101)</f>
        <v>24.4</v>
      </c>
      <c r="P105" s="102"/>
      <c r="Q105" s="102"/>
      <c r="R105" s="129"/>
    </row>
    <row r="106" spans="2:18" ht="20.25" thickTop="1" thickBot="1" x14ac:dyDescent="0.35">
      <c r="B106" s="125">
        <v>-21</v>
      </c>
      <c r="C106" s="106" t="s">
        <v>88</v>
      </c>
      <c r="D106" s="112" t="s">
        <v>237</v>
      </c>
      <c r="E106" s="10" t="s">
        <v>5</v>
      </c>
      <c r="F106" s="57">
        <f>IF(IF(F109=0,0,3),3,0)</f>
        <v>0</v>
      </c>
      <c r="G106" s="57">
        <f>IF(IF(G109=0,0,3),3,0)</f>
        <v>3</v>
      </c>
      <c r="H106" s="57">
        <f>IF(IF(H109=0,0,2),2,0)</f>
        <v>0</v>
      </c>
      <c r="I106" s="57">
        <f>IF(IF(I109=0,0,2),2,0)</f>
        <v>0</v>
      </c>
      <c r="J106" s="57">
        <f>IF(IF(J109=0,0,3),3,0)</f>
        <v>3</v>
      </c>
      <c r="K106" s="57">
        <f>IF(IF(K109=0,0,3),3,0)</f>
        <v>3</v>
      </c>
      <c r="L106" s="57">
        <f>IF(IF(L109=0,0,3),3,0)</f>
        <v>3</v>
      </c>
      <c r="M106" s="57">
        <f>IF(IF(M109=0,0,3),3,0)</f>
        <v>3</v>
      </c>
      <c r="N106" s="57">
        <f>SUM(F106:M106)</f>
        <v>15</v>
      </c>
      <c r="O106" s="58"/>
      <c r="P106" s="113"/>
      <c r="Q106" s="113"/>
      <c r="R106" s="127"/>
    </row>
    <row r="107" spans="2:18" ht="19.5" thickTop="1" thickBot="1" x14ac:dyDescent="0.3">
      <c r="B107" s="118"/>
      <c r="C107" s="107"/>
      <c r="D107" s="101"/>
      <c r="E107" s="2" t="s">
        <v>216</v>
      </c>
      <c r="F107" s="6"/>
      <c r="G107" s="6">
        <v>28</v>
      </c>
      <c r="H107" s="6"/>
      <c r="I107" s="7"/>
      <c r="J107" s="7">
        <v>28</v>
      </c>
      <c r="K107" s="7">
        <v>29</v>
      </c>
      <c r="L107" s="7">
        <v>39</v>
      </c>
      <c r="M107" s="7">
        <v>23</v>
      </c>
      <c r="N107" s="4"/>
      <c r="O107" s="15"/>
      <c r="P107" s="101"/>
      <c r="Q107" s="101"/>
      <c r="R107" s="128"/>
    </row>
    <row r="108" spans="2:18" ht="19.5" thickTop="1" thickBot="1" x14ac:dyDescent="0.3">
      <c r="B108" s="118"/>
      <c r="C108" s="107"/>
      <c r="D108" s="101"/>
      <c r="E108" s="1" t="s">
        <v>3</v>
      </c>
      <c r="F108" s="3"/>
      <c r="G108" s="3"/>
      <c r="H108" s="3"/>
      <c r="I108" s="3"/>
      <c r="J108" s="3"/>
      <c r="K108" s="3">
        <v>36</v>
      </c>
      <c r="L108" s="3"/>
      <c r="M108" s="3"/>
      <c r="N108" s="4"/>
      <c r="O108" s="15"/>
      <c r="P108" s="101"/>
      <c r="Q108" s="101"/>
      <c r="R108" s="128"/>
    </row>
    <row r="109" spans="2:18" ht="19.5" thickTop="1" thickBot="1" x14ac:dyDescent="0.3">
      <c r="B109" s="118"/>
      <c r="C109" s="107"/>
      <c r="D109" s="101"/>
      <c r="E109" s="17" t="s">
        <v>4</v>
      </c>
      <c r="F109" s="18">
        <f t="shared" ref="F109:M109" si="40">IF(F108&lt;30,F107,F107+F108)</f>
        <v>0</v>
      </c>
      <c r="G109" s="18">
        <f t="shared" si="40"/>
        <v>28</v>
      </c>
      <c r="H109" s="18">
        <f t="shared" si="40"/>
        <v>0</v>
      </c>
      <c r="I109" s="18">
        <f t="shared" si="40"/>
        <v>0</v>
      </c>
      <c r="J109" s="18">
        <f t="shared" si="40"/>
        <v>28</v>
      </c>
      <c r="K109" s="18">
        <f t="shared" si="40"/>
        <v>65</v>
      </c>
      <c r="L109" s="18">
        <f t="shared" si="40"/>
        <v>39</v>
      </c>
      <c r="M109" s="18">
        <f t="shared" si="40"/>
        <v>23</v>
      </c>
      <c r="N109" s="19"/>
      <c r="O109" s="20"/>
      <c r="P109" s="101"/>
      <c r="Q109" s="101"/>
      <c r="R109" s="128"/>
    </row>
    <row r="110" spans="2:18" ht="37.5" thickTop="1" thickBot="1" x14ac:dyDescent="0.3">
      <c r="B110" s="119"/>
      <c r="C110" s="108"/>
      <c r="D110" s="102"/>
      <c r="E110" s="68" t="s">
        <v>6</v>
      </c>
      <c r="F110" s="12">
        <f t="shared" ref="F110:M110" si="41">SUM(F106*F109)</f>
        <v>0</v>
      </c>
      <c r="G110" s="12">
        <f t="shared" si="41"/>
        <v>84</v>
      </c>
      <c r="H110" s="12">
        <f t="shared" si="41"/>
        <v>0</v>
      </c>
      <c r="I110" s="12">
        <f t="shared" si="41"/>
        <v>0</v>
      </c>
      <c r="J110" s="12">
        <f t="shared" si="41"/>
        <v>84</v>
      </c>
      <c r="K110" s="12">
        <f t="shared" si="41"/>
        <v>195</v>
      </c>
      <c r="L110" s="12">
        <f t="shared" si="41"/>
        <v>117</v>
      </c>
      <c r="M110" s="12">
        <f t="shared" si="41"/>
        <v>69</v>
      </c>
      <c r="N110" s="13">
        <f>SUM(F110:M110)</f>
        <v>549</v>
      </c>
      <c r="O110" s="16">
        <f>SUM(N110/N106)</f>
        <v>36.6</v>
      </c>
      <c r="P110" s="102"/>
      <c r="Q110" s="102"/>
      <c r="R110" s="129"/>
    </row>
    <row r="111" spans="2:18" ht="20.25" thickTop="1" thickBot="1" x14ac:dyDescent="0.35">
      <c r="B111" s="117">
        <v>-22</v>
      </c>
      <c r="C111" s="106" t="s">
        <v>89</v>
      </c>
      <c r="D111" s="101" t="s">
        <v>238</v>
      </c>
      <c r="E111" s="56" t="s">
        <v>5</v>
      </c>
      <c r="F111" s="57">
        <f>IF(IF(F114=0,0,3),3,0)</f>
        <v>0</v>
      </c>
      <c r="G111" s="57">
        <f>IF(IF(G114=0,0,3),3,0)</f>
        <v>3</v>
      </c>
      <c r="H111" s="57">
        <f>IF(IF(H114=0,0,2),2,0)</f>
        <v>0</v>
      </c>
      <c r="I111" s="57">
        <f>IF(IF(I114=0,0,2),2,0)</f>
        <v>0</v>
      </c>
      <c r="J111" s="57">
        <f>IF(IF(J114=0,0,3),3,0)</f>
        <v>3</v>
      </c>
      <c r="K111" s="57">
        <f>IF(IF(K114=0,0,3),3,0)</f>
        <v>3</v>
      </c>
      <c r="L111" s="57">
        <f>IF(IF(L114=0,0,3),3,0)</f>
        <v>3</v>
      </c>
      <c r="M111" s="57">
        <f>IF(IF(M114=0,0,3),3,0)</f>
        <v>3</v>
      </c>
      <c r="N111" s="57">
        <f>SUM(F111:M111)</f>
        <v>15</v>
      </c>
      <c r="O111" s="58"/>
      <c r="P111" s="113"/>
      <c r="Q111" s="113"/>
      <c r="R111" s="127"/>
    </row>
    <row r="112" spans="2:18" ht="19.5" thickTop="1" thickBot="1" x14ac:dyDescent="0.3">
      <c r="B112" s="118"/>
      <c r="C112" s="107"/>
      <c r="D112" s="101"/>
      <c r="E112" s="5" t="s">
        <v>216</v>
      </c>
      <c r="F112" s="6"/>
      <c r="G112" s="6">
        <v>40</v>
      </c>
      <c r="H112" s="6"/>
      <c r="I112" s="7"/>
      <c r="J112" s="7">
        <v>40</v>
      </c>
      <c r="K112" s="7">
        <v>40</v>
      </c>
      <c r="L112" s="7">
        <v>40</v>
      </c>
      <c r="M112" s="7">
        <v>40</v>
      </c>
      <c r="N112" s="4"/>
      <c r="O112" s="15"/>
      <c r="P112" s="101"/>
      <c r="Q112" s="101"/>
      <c r="R112" s="128"/>
    </row>
    <row r="113" spans="2:18" ht="19.5" thickTop="1" thickBot="1" x14ac:dyDescent="0.3">
      <c r="B113" s="118"/>
      <c r="C113" s="107"/>
      <c r="D113" s="101"/>
      <c r="E113" s="1" t="s">
        <v>3</v>
      </c>
      <c r="F113" s="3"/>
      <c r="G113" s="3"/>
      <c r="H113" s="3"/>
      <c r="I113" s="3"/>
      <c r="J113" s="3"/>
      <c r="K113" s="3">
        <v>60</v>
      </c>
      <c r="L113" s="3"/>
      <c r="M113" s="3"/>
      <c r="N113" s="4"/>
      <c r="O113" s="15"/>
      <c r="P113" s="101"/>
      <c r="Q113" s="101"/>
      <c r="R113" s="128"/>
    </row>
    <row r="114" spans="2:18" ht="19.5" thickTop="1" thickBot="1" x14ac:dyDescent="0.3">
      <c r="B114" s="118"/>
      <c r="C114" s="107"/>
      <c r="D114" s="101"/>
      <c r="E114" s="17" t="s">
        <v>4</v>
      </c>
      <c r="F114" s="18">
        <f t="shared" ref="F114:M114" si="42">IF(F113&lt;30,F112,F112+F113)</f>
        <v>0</v>
      </c>
      <c r="G114" s="18">
        <f t="shared" si="42"/>
        <v>40</v>
      </c>
      <c r="H114" s="18">
        <f t="shared" si="42"/>
        <v>0</v>
      </c>
      <c r="I114" s="18">
        <f t="shared" si="42"/>
        <v>0</v>
      </c>
      <c r="J114" s="18">
        <f t="shared" si="42"/>
        <v>40</v>
      </c>
      <c r="K114" s="18">
        <f t="shared" si="42"/>
        <v>100</v>
      </c>
      <c r="L114" s="18">
        <f t="shared" si="42"/>
        <v>40</v>
      </c>
      <c r="M114" s="18">
        <f t="shared" si="42"/>
        <v>40</v>
      </c>
      <c r="N114" s="19"/>
      <c r="O114" s="20"/>
      <c r="P114" s="101"/>
      <c r="Q114" s="101"/>
      <c r="R114" s="128"/>
    </row>
    <row r="115" spans="2:18" ht="37.5" thickTop="1" thickBot="1" x14ac:dyDescent="0.3">
      <c r="B115" s="118"/>
      <c r="C115" s="108"/>
      <c r="D115" s="102"/>
      <c r="E115" s="11" t="s">
        <v>6</v>
      </c>
      <c r="F115" s="12">
        <f t="shared" ref="F115:M115" si="43">SUM(F111*F114)</f>
        <v>0</v>
      </c>
      <c r="G115" s="12">
        <f t="shared" si="43"/>
        <v>120</v>
      </c>
      <c r="H115" s="12">
        <f t="shared" si="43"/>
        <v>0</v>
      </c>
      <c r="I115" s="12">
        <f t="shared" si="43"/>
        <v>0</v>
      </c>
      <c r="J115" s="12">
        <f t="shared" si="43"/>
        <v>120</v>
      </c>
      <c r="K115" s="12">
        <f t="shared" si="43"/>
        <v>300</v>
      </c>
      <c r="L115" s="12">
        <f t="shared" si="43"/>
        <v>120</v>
      </c>
      <c r="M115" s="12">
        <f t="shared" si="43"/>
        <v>120</v>
      </c>
      <c r="N115" s="13">
        <f>SUM(F115:M115)</f>
        <v>780</v>
      </c>
      <c r="O115" s="16">
        <f>SUM(N115/N111)</f>
        <v>52</v>
      </c>
      <c r="P115" s="102"/>
      <c r="Q115" s="102"/>
      <c r="R115" s="129"/>
    </row>
    <row r="116" spans="2:18" ht="20.25" thickTop="1" thickBot="1" x14ac:dyDescent="0.35">
      <c r="B116" s="125">
        <v>-23</v>
      </c>
      <c r="C116" s="106" t="s">
        <v>90</v>
      </c>
      <c r="D116" s="101" t="s">
        <v>239</v>
      </c>
      <c r="E116" s="14" t="s">
        <v>5</v>
      </c>
      <c r="F116" s="57">
        <f>IF(IF(F119=0,0,3),3,0)</f>
        <v>0</v>
      </c>
      <c r="G116" s="57">
        <f>IF(IF(G119=0,0,3),3,0)</f>
        <v>3</v>
      </c>
      <c r="H116" s="57">
        <f>IF(IF(H119=0,0,2),2,0)</f>
        <v>0</v>
      </c>
      <c r="I116" s="57">
        <f>IF(IF(I119=0,0,2),2,0)</f>
        <v>0</v>
      </c>
      <c r="J116" s="57">
        <f>IF(IF(J119=0,0,3),3,0)</f>
        <v>3</v>
      </c>
      <c r="K116" s="57">
        <f>IF(IF(K119=0,0,3),3,0)</f>
        <v>3</v>
      </c>
      <c r="L116" s="57">
        <f>IF(IF(L119=0,0,3),3,0)</f>
        <v>3</v>
      </c>
      <c r="M116" s="57">
        <f>IF(IF(M119=0,0,3),3,0)</f>
        <v>3</v>
      </c>
      <c r="N116" s="57">
        <f>SUM(F116:M116)</f>
        <v>15</v>
      </c>
      <c r="O116" s="58"/>
      <c r="P116" s="113"/>
      <c r="Q116" s="113"/>
      <c r="R116" s="127"/>
    </row>
    <row r="117" spans="2:18" ht="19.5" thickTop="1" thickBot="1" x14ac:dyDescent="0.3">
      <c r="B117" s="118"/>
      <c r="C117" s="107"/>
      <c r="D117" s="101"/>
      <c r="E117" s="2" t="s">
        <v>216</v>
      </c>
      <c r="F117" s="6"/>
      <c r="G117" s="6">
        <v>23</v>
      </c>
      <c r="H117" s="6"/>
      <c r="I117" s="7"/>
      <c r="J117" s="7">
        <v>20</v>
      </c>
      <c r="K117" s="98">
        <v>20</v>
      </c>
      <c r="L117" s="7">
        <v>35</v>
      </c>
      <c r="M117" s="7">
        <v>20</v>
      </c>
      <c r="N117" s="4"/>
      <c r="O117" s="15"/>
      <c r="P117" s="101"/>
      <c r="Q117" s="101"/>
      <c r="R117" s="128"/>
    </row>
    <row r="118" spans="2:18" ht="19.5" thickTop="1" thickBot="1" x14ac:dyDescent="0.3">
      <c r="B118" s="118"/>
      <c r="C118" s="107"/>
      <c r="D118" s="101"/>
      <c r="E118" s="1" t="s">
        <v>3</v>
      </c>
      <c r="F118" s="3"/>
      <c r="G118" s="3"/>
      <c r="H118" s="3"/>
      <c r="I118" s="3"/>
      <c r="J118" s="3"/>
      <c r="K118" s="98">
        <v>0</v>
      </c>
      <c r="L118" s="3"/>
      <c r="M118" s="3"/>
      <c r="N118" s="4"/>
      <c r="O118" s="15"/>
      <c r="P118" s="101"/>
      <c r="Q118" s="101"/>
      <c r="R118" s="128"/>
    </row>
    <row r="119" spans="2:18" ht="19.5" thickTop="1" thickBot="1" x14ac:dyDescent="0.3">
      <c r="B119" s="118"/>
      <c r="C119" s="107"/>
      <c r="D119" s="101"/>
      <c r="E119" s="17" t="s">
        <v>4</v>
      </c>
      <c r="F119" s="18">
        <f t="shared" ref="F119:M119" si="44">IF(F118&lt;30,F117,F117+F118)</f>
        <v>0</v>
      </c>
      <c r="G119" s="18">
        <f t="shared" si="44"/>
        <v>23</v>
      </c>
      <c r="H119" s="18">
        <f t="shared" si="44"/>
        <v>0</v>
      </c>
      <c r="I119" s="18">
        <f t="shared" si="44"/>
        <v>0</v>
      </c>
      <c r="J119" s="18">
        <f t="shared" si="44"/>
        <v>20</v>
      </c>
      <c r="K119" s="98">
        <f t="shared" si="44"/>
        <v>20</v>
      </c>
      <c r="L119" s="18">
        <f t="shared" si="44"/>
        <v>35</v>
      </c>
      <c r="M119" s="18">
        <f t="shared" si="44"/>
        <v>20</v>
      </c>
      <c r="N119" s="19"/>
      <c r="O119" s="20"/>
      <c r="P119" s="101"/>
      <c r="Q119" s="101"/>
      <c r="R119" s="128"/>
    </row>
    <row r="120" spans="2:18" ht="37.5" thickTop="1" thickBot="1" x14ac:dyDescent="0.3">
      <c r="B120" s="124"/>
      <c r="C120" s="108"/>
      <c r="D120" s="102"/>
      <c r="E120" s="11" t="s">
        <v>6</v>
      </c>
      <c r="F120" s="12">
        <f t="shared" ref="F120:M120" si="45">SUM(F116*F119)</f>
        <v>0</v>
      </c>
      <c r="G120" s="12">
        <f t="shared" si="45"/>
        <v>69</v>
      </c>
      <c r="H120" s="12">
        <f t="shared" si="45"/>
        <v>0</v>
      </c>
      <c r="I120" s="12">
        <f t="shared" si="45"/>
        <v>0</v>
      </c>
      <c r="J120" s="12">
        <f t="shared" si="45"/>
        <v>60</v>
      </c>
      <c r="K120" s="12">
        <f t="shared" si="45"/>
        <v>60</v>
      </c>
      <c r="L120" s="12">
        <f t="shared" si="45"/>
        <v>105</v>
      </c>
      <c r="M120" s="12">
        <f t="shared" si="45"/>
        <v>60</v>
      </c>
      <c r="N120" s="13">
        <f>SUM(F120:M120)</f>
        <v>354</v>
      </c>
      <c r="O120" s="16">
        <f>SUM(N120/N116)</f>
        <v>23.6</v>
      </c>
      <c r="P120" s="102"/>
      <c r="Q120" s="102"/>
      <c r="R120" s="129"/>
    </row>
    <row r="121" spans="2:18" ht="20.25" thickTop="1" thickBot="1" x14ac:dyDescent="0.35">
      <c r="B121" s="118">
        <v>-24</v>
      </c>
      <c r="C121" s="106" t="s">
        <v>91</v>
      </c>
      <c r="D121" s="101" t="s">
        <v>240</v>
      </c>
      <c r="E121" s="14" t="s">
        <v>5</v>
      </c>
      <c r="F121" s="57">
        <f>IF(IF(F124=0,0,3),3,0)</f>
        <v>0</v>
      </c>
      <c r="G121" s="57">
        <f>IF(IF(G124=0,0,3),3,0)</f>
        <v>3</v>
      </c>
      <c r="H121" s="57">
        <f>IF(IF(H124=0,0,2),2,0)</f>
        <v>0</v>
      </c>
      <c r="I121" s="57">
        <f>IF(IF(I124=0,0,2),2,0)</f>
        <v>0</v>
      </c>
      <c r="J121" s="57">
        <f>IF(IF(J124=0,0,3),3,0)</f>
        <v>3</v>
      </c>
      <c r="K121" s="57">
        <f>IF(IF(K124=0,0,3),3,0)</f>
        <v>3</v>
      </c>
      <c r="L121" s="57">
        <f>IF(IF(L124=0,0,3),3,0)</f>
        <v>3</v>
      </c>
      <c r="M121" s="57">
        <f>IF(IF(M124=0,0,3),3,0)</f>
        <v>3</v>
      </c>
      <c r="N121" s="57">
        <f>SUM(F121:M121)</f>
        <v>15</v>
      </c>
      <c r="O121" s="58"/>
      <c r="P121" s="113"/>
      <c r="Q121" s="113"/>
      <c r="R121" s="127"/>
    </row>
    <row r="122" spans="2:18" ht="19.5" thickTop="1" thickBot="1" x14ac:dyDescent="0.3">
      <c r="B122" s="118"/>
      <c r="C122" s="107"/>
      <c r="D122" s="101"/>
      <c r="E122" s="2" t="s">
        <v>216</v>
      </c>
      <c r="F122" s="6"/>
      <c r="G122" s="6">
        <v>20</v>
      </c>
      <c r="H122" s="6"/>
      <c r="I122" s="7"/>
      <c r="J122" s="7">
        <v>32</v>
      </c>
      <c r="K122" s="92">
        <v>14</v>
      </c>
      <c r="L122" s="7">
        <v>39</v>
      </c>
      <c r="M122" s="7">
        <v>33</v>
      </c>
      <c r="N122" s="4"/>
      <c r="O122" s="15"/>
      <c r="P122" s="101"/>
      <c r="Q122" s="101"/>
      <c r="R122" s="128"/>
    </row>
    <row r="123" spans="2:18" ht="19.5" thickTop="1" thickBot="1" x14ac:dyDescent="0.3">
      <c r="B123" s="118"/>
      <c r="C123" s="107"/>
      <c r="D123" s="101"/>
      <c r="E123" s="1" t="s">
        <v>3</v>
      </c>
      <c r="F123" s="3"/>
      <c r="G123" s="3"/>
      <c r="H123" s="3"/>
      <c r="I123" s="3"/>
      <c r="J123" s="3"/>
      <c r="K123" s="93">
        <v>30</v>
      </c>
      <c r="L123" s="3"/>
      <c r="M123" s="3"/>
      <c r="N123" s="4"/>
      <c r="O123" s="15"/>
      <c r="P123" s="101"/>
      <c r="Q123" s="101"/>
      <c r="R123" s="128"/>
    </row>
    <row r="124" spans="2:18" ht="19.5" thickTop="1" thickBot="1" x14ac:dyDescent="0.3">
      <c r="B124" s="118"/>
      <c r="C124" s="107"/>
      <c r="D124" s="101"/>
      <c r="E124" s="17" t="s">
        <v>4</v>
      </c>
      <c r="F124" s="18">
        <f t="shared" ref="F124:M124" si="46">IF(F123&lt;30,F122,F122+F123)</f>
        <v>0</v>
      </c>
      <c r="G124" s="18">
        <f t="shared" si="46"/>
        <v>20</v>
      </c>
      <c r="H124" s="18">
        <f t="shared" si="46"/>
        <v>0</v>
      </c>
      <c r="I124" s="18">
        <f t="shared" si="46"/>
        <v>0</v>
      </c>
      <c r="J124" s="18">
        <f t="shared" si="46"/>
        <v>32</v>
      </c>
      <c r="K124" s="18">
        <f t="shared" si="46"/>
        <v>44</v>
      </c>
      <c r="L124" s="18">
        <f t="shared" si="46"/>
        <v>39</v>
      </c>
      <c r="M124" s="18">
        <f t="shared" si="46"/>
        <v>33</v>
      </c>
      <c r="N124" s="19"/>
      <c r="O124" s="20"/>
      <c r="P124" s="101"/>
      <c r="Q124" s="101"/>
      <c r="R124" s="128"/>
    </row>
    <row r="125" spans="2:18" ht="37.5" thickTop="1" thickBot="1" x14ac:dyDescent="0.3">
      <c r="B125" s="118"/>
      <c r="C125" s="108"/>
      <c r="D125" s="102"/>
      <c r="E125" s="8" t="s">
        <v>6</v>
      </c>
      <c r="F125" s="12">
        <f t="shared" ref="F125:M125" si="47">SUM(F121*F124)</f>
        <v>0</v>
      </c>
      <c r="G125" s="12">
        <f t="shared" si="47"/>
        <v>60</v>
      </c>
      <c r="H125" s="12">
        <f t="shared" si="47"/>
        <v>0</v>
      </c>
      <c r="I125" s="12">
        <f t="shared" si="47"/>
        <v>0</v>
      </c>
      <c r="J125" s="12">
        <f t="shared" si="47"/>
        <v>96</v>
      </c>
      <c r="K125" s="12">
        <f t="shared" si="47"/>
        <v>132</v>
      </c>
      <c r="L125" s="12">
        <f t="shared" si="47"/>
        <v>117</v>
      </c>
      <c r="M125" s="12">
        <f t="shared" si="47"/>
        <v>99</v>
      </c>
      <c r="N125" s="13">
        <f>SUM(F125:M125)</f>
        <v>504</v>
      </c>
      <c r="O125" s="16">
        <f>SUM(N125/N121)</f>
        <v>33.6</v>
      </c>
      <c r="P125" s="102"/>
      <c r="Q125" s="102"/>
      <c r="R125" s="129"/>
    </row>
    <row r="126" spans="2:18" ht="20.25" thickTop="1" thickBot="1" x14ac:dyDescent="0.35">
      <c r="B126" s="125">
        <v>-25</v>
      </c>
      <c r="C126" s="106" t="s">
        <v>92</v>
      </c>
      <c r="D126" s="101" t="s">
        <v>241</v>
      </c>
      <c r="E126" s="10" t="s">
        <v>5</v>
      </c>
      <c r="F126" s="57">
        <f>IF(IF(F129=0,0,3),3,0)</f>
        <v>0</v>
      </c>
      <c r="G126" s="57">
        <f>IF(IF(G129=0,0,3),3,0)</f>
        <v>3</v>
      </c>
      <c r="H126" s="57">
        <f>IF(IF(H129=0,0,2),2,0)</f>
        <v>0</v>
      </c>
      <c r="I126" s="57">
        <f>IF(IF(I129=0,0,2),2,0)</f>
        <v>0</v>
      </c>
      <c r="J126" s="57">
        <f>IF(IF(J129=0,0,3),3,0)</f>
        <v>3</v>
      </c>
      <c r="K126" s="57">
        <f>IF(IF(K129=0,0,3),3,0)</f>
        <v>3</v>
      </c>
      <c r="L126" s="57">
        <f>IF(IF(L129=0,0,3),3,0)</f>
        <v>3</v>
      </c>
      <c r="M126" s="57">
        <f>IF(IF(M129=0,0,3),3,0)</f>
        <v>3</v>
      </c>
      <c r="N126" s="57">
        <f>SUM(F126:M126)</f>
        <v>15</v>
      </c>
      <c r="O126" s="58"/>
      <c r="P126" s="113"/>
      <c r="Q126" s="113"/>
      <c r="R126" s="127"/>
    </row>
    <row r="127" spans="2:18" ht="19.5" thickTop="1" thickBot="1" x14ac:dyDescent="0.3">
      <c r="B127" s="118"/>
      <c r="C127" s="107"/>
      <c r="D127" s="101"/>
      <c r="E127" s="2" t="s">
        <v>216</v>
      </c>
      <c r="F127" s="6"/>
      <c r="G127" s="6">
        <v>20</v>
      </c>
      <c r="H127" s="6"/>
      <c r="I127" s="7"/>
      <c r="J127" s="7">
        <v>30</v>
      </c>
      <c r="K127" s="97">
        <v>14</v>
      </c>
      <c r="L127" s="7">
        <v>30</v>
      </c>
      <c r="M127" s="7">
        <v>26</v>
      </c>
      <c r="N127" s="4"/>
      <c r="O127" s="15"/>
      <c r="P127" s="101"/>
      <c r="Q127" s="101"/>
      <c r="R127" s="128"/>
    </row>
    <row r="128" spans="2:18" ht="19.5" thickTop="1" thickBot="1" x14ac:dyDescent="0.3">
      <c r="B128" s="118"/>
      <c r="C128" s="107"/>
      <c r="D128" s="101"/>
      <c r="E128" s="1" t="s">
        <v>3</v>
      </c>
      <c r="F128" s="3"/>
      <c r="G128" s="3"/>
      <c r="H128" s="3"/>
      <c r="I128" s="3"/>
      <c r="J128" s="3"/>
      <c r="K128" s="98">
        <v>25</v>
      </c>
      <c r="L128" s="3"/>
      <c r="M128" s="3"/>
      <c r="N128" s="4"/>
      <c r="O128" s="15"/>
      <c r="P128" s="101"/>
      <c r="Q128" s="101"/>
      <c r="R128" s="128"/>
    </row>
    <row r="129" spans="2:18" ht="19.5" thickTop="1" thickBot="1" x14ac:dyDescent="0.3">
      <c r="B129" s="118"/>
      <c r="C129" s="107"/>
      <c r="D129" s="101"/>
      <c r="E129" s="17" t="s">
        <v>4</v>
      </c>
      <c r="F129" s="18">
        <f t="shared" ref="F129:M129" si="48">IF(F128&lt;30,F127,F127+F128)</f>
        <v>0</v>
      </c>
      <c r="G129" s="18">
        <f t="shared" si="48"/>
        <v>20</v>
      </c>
      <c r="H129" s="18">
        <f t="shared" si="48"/>
        <v>0</v>
      </c>
      <c r="I129" s="18">
        <f t="shared" si="48"/>
        <v>0</v>
      </c>
      <c r="J129" s="18">
        <f t="shared" si="48"/>
        <v>30</v>
      </c>
      <c r="K129" s="98">
        <f t="shared" si="48"/>
        <v>14</v>
      </c>
      <c r="L129" s="18">
        <f t="shared" si="48"/>
        <v>30</v>
      </c>
      <c r="M129" s="18">
        <f t="shared" si="48"/>
        <v>26</v>
      </c>
      <c r="N129" s="19"/>
      <c r="O129" s="20"/>
      <c r="P129" s="101"/>
      <c r="Q129" s="101"/>
      <c r="R129" s="128"/>
    </row>
    <row r="130" spans="2:18" ht="37.5" thickTop="1" thickBot="1" x14ac:dyDescent="0.3">
      <c r="B130" s="124"/>
      <c r="C130" s="108"/>
      <c r="D130" s="102"/>
      <c r="E130" s="8" t="s">
        <v>6</v>
      </c>
      <c r="F130" s="12">
        <f t="shared" ref="F130:M130" si="49">SUM(F126*F129)</f>
        <v>0</v>
      </c>
      <c r="G130" s="12">
        <f t="shared" si="49"/>
        <v>60</v>
      </c>
      <c r="H130" s="12">
        <f t="shared" si="49"/>
        <v>0</v>
      </c>
      <c r="I130" s="12">
        <f t="shared" si="49"/>
        <v>0</v>
      </c>
      <c r="J130" s="12">
        <f t="shared" si="49"/>
        <v>90</v>
      </c>
      <c r="K130" s="12">
        <f t="shared" si="49"/>
        <v>42</v>
      </c>
      <c r="L130" s="12">
        <f t="shared" si="49"/>
        <v>90</v>
      </c>
      <c r="M130" s="12">
        <f t="shared" si="49"/>
        <v>78</v>
      </c>
      <c r="N130" s="13">
        <f>SUM(F130:M130)</f>
        <v>360</v>
      </c>
      <c r="O130" s="16">
        <f>SUM(N130/N126)</f>
        <v>24</v>
      </c>
      <c r="P130" s="102"/>
      <c r="Q130" s="102"/>
      <c r="R130" s="129"/>
    </row>
    <row r="131" spans="2:18" ht="20.25" thickTop="1" thickBot="1" x14ac:dyDescent="0.35">
      <c r="B131" s="118">
        <v>-26</v>
      </c>
      <c r="C131" s="106" t="s">
        <v>93</v>
      </c>
      <c r="D131" s="112" t="s">
        <v>242</v>
      </c>
      <c r="E131" s="10" t="s">
        <v>5</v>
      </c>
      <c r="F131" s="57">
        <f>IF(IF(F134=0,0,3),3,0)</f>
        <v>0</v>
      </c>
      <c r="G131" s="57">
        <f>IF(IF(G134=0,0,3),3,0)</f>
        <v>3</v>
      </c>
      <c r="H131" s="57">
        <f>IF(IF(H134=0,0,2),2,0)</f>
        <v>0</v>
      </c>
      <c r="I131" s="57">
        <f>IF(IF(I134=0,0,2),2,0)</f>
        <v>0</v>
      </c>
      <c r="J131" s="57">
        <f>IF(IF(J134=0,0,3),3,0)</f>
        <v>3</v>
      </c>
      <c r="K131" s="57">
        <f>IF(IF(K134=0,0,3),3,0)</f>
        <v>3</v>
      </c>
      <c r="L131" s="57">
        <f>IF(IF(L134=0,0,3),3,0)</f>
        <v>3</v>
      </c>
      <c r="M131" s="57">
        <f>IF(IF(M134=0,0,3),3,0)</f>
        <v>3</v>
      </c>
      <c r="N131" s="57">
        <f>SUM(F131:M131)</f>
        <v>15</v>
      </c>
      <c r="O131" s="58"/>
      <c r="P131" s="113"/>
      <c r="Q131" s="113"/>
      <c r="R131" s="127"/>
    </row>
    <row r="132" spans="2:18" ht="19.5" thickTop="1" thickBot="1" x14ac:dyDescent="0.3">
      <c r="B132" s="118"/>
      <c r="C132" s="107"/>
      <c r="D132" s="101"/>
      <c r="E132" s="2" t="s">
        <v>216</v>
      </c>
      <c r="F132" s="6"/>
      <c r="G132" s="6">
        <v>32</v>
      </c>
      <c r="H132" s="6"/>
      <c r="I132" s="7"/>
      <c r="J132" s="7">
        <v>37</v>
      </c>
      <c r="K132" s="7">
        <v>30</v>
      </c>
      <c r="L132" s="7">
        <v>40</v>
      </c>
      <c r="M132" s="7">
        <v>40</v>
      </c>
      <c r="N132" s="4"/>
      <c r="O132" s="15"/>
      <c r="P132" s="101"/>
      <c r="Q132" s="101"/>
      <c r="R132" s="128"/>
    </row>
    <row r="133" spans="2:18" ht="19.5" thickTop="1" thickBot="1" x14ac:dyDescent="0.3">
      <c r="B133" s="118"/>
      <c r="C133" s="107"/>
      <c r="D133" s="101"/>
      <c r="E133" s="1" t="s">
        <v>3</v>
      </c>
      <c r="F133" s="3"/>
      <c r="G133" s="3"/>
      <c r="H133" s="3"/>
      <c r="I133" s="3"/>
      <c r="J133" s="3"/>
      <c r="K133" s="3">
        <v>46</v>
      </c>
      <c r="L133" s="3"/>
      <c r="M133" s="3"/>
      <c r="N133" s="4"/>
      <c r="O133" s="15"/>
      <c r="P133" s="101"/>
      <c r="Q133" s="101"/>
      <c r="R133" s="128"/>
    </row>
    <row r="134" spans="2:18" ht="19.5" thickTop="1" thickBot="1" x14ac:dyDescent="0.3">
      <c r="B134" s="118"/>
      <c r="C134" s="107"/>
      <c r="D134" s="101"/>
      <c r="E134" s="17" t="s">
        <v>4</v>
      </c>
      <c r="F134" s="18">
        <f t="shared" ref="F134:M134" si="50">IF(F133&lt;30,F132,F132+F133)</f>
        <v>0</v>
      </c>
      <c r="G134" s="18">
        <f t="shared" si="50"/>
        <v>32</v>
      </c>
      <c r="H134" s="18">
        <f t="shared" si="50"/>
        <v>0</v>
      </c>
      <c r="I134" s="18">
        <f t="shared" si="50"/>
        <v>0</v>
      </c>
      <c r="J134" s="18">
        <f t="shared" si="50"/>
        <v>37</v>
      </c>
      <c r="K134" s="18">
        <f t="shared" si="50"/>
        <v>76</v>
      </c>
      <c r="L134" s="18">
        <f t="shared" si="50"/>
        <v>40</v>
      </c>
      <c r="M134" s="18">
        <f t="shared" si="50"/>
        <v>40</v>
      </c>
      <c r="N134" s="19"/>
      <c r="O134" s="20"/>
      <c r="P134" s="101"/>
      <c r="Q134" s="101"/>
      <c r="R134" s="128"/>
    </row>
    <row r="135" spans="2:18" ht="37.5" thickTop="1" thickBot="1" x14ac:dyDescent="0.3">
      <c r="B135" s="118"/>
      <c r="C135" s="108"/>
      <c r="D135" s="102"/>
      <c r="E135" s="8" t="s">
        <v>6</v>
      </c>
      <c r="F135" s="12">
        <f t="shared" ref="F135:M135" si="51">SUM(F131*F134)</f>
        <v>0</v>
      </c>
      <c r="G135" s="12">
        <f t="shared" si="51"/>
        <v>96</v>
      </c>
      <c r="H135" s="12">
        <f t="shared" si="51"/>
        <v>0</v>
      </c>
      <c r="I135" s="12">
        <f t="shared" si="51"/>
        <v>0</v>
      </c>
      <c r="J135" s="12">
        <f t="shared" si="51"/>
        <v>111</v>
      </c>
      <c r="K135" s="12">
        <f t="shared" si="51"/>
        <v>228</v>
      </c>
      <c r="L135" s="12">
        <f t="shared" si="51"/>
        <v>120</v>
      </c>
      <c r="M135" s="12">
        <f t="shared" si="51"/>
        <v>120</v>
      </c>
      <c r="N135" s="13">
        <f>SUM(F135:M135)</f>
        <v>675</v>
      </c>
      <c r="O135" s="16">
        <f>SUM(N135/N131)</f>
        <v>45</v>
      </c>
      <c r="P135" s="102"/>
      <c r="Q135" s="102"/>
      <c r="R135" s="129"/>
    </row>
    <row r="136" spans="2:18" ht="20.25" thickTop="1" thickBot="1" x14ac:dyDescent="0.35">
      <c r="B136" s="125">
        <v>-27</v>
      </c>
      <c r="C136" s="106" t="s">
        <v>94</v>
      </c>
      <c r="D136" s="112" t="s">
        <v>243</v>
      </c>
      <c r="E136" s="10" t="s">
        <v>5</v>
      </c>
      <c r="F136" s="57">
        <f>IF(IF(F139=0,0,3),3,0)</f>
        <v>0</v>
      </c>
      <c r="G136" s="57">
        <f>IF(IF(G139=0,0,3),3,0)</f>
        <v>0</v>
      </c>
      <c r="H136" s="57">
        <f>IF(IF(H139=0,0,2),2,0)</f>
        <v>0</v>
      </c>
      <c r="I136" s="57">
        <f>IF(IF(I139=0,0,2),2,0)</f>
        <v>0</v>
      </c>
      <c r="J136" s="57">
        <f>IF(IF(J139=0,0,3),3,0)</f>
        <v>0</v>
      </c>
      <c r="K136" s="57">
        <f>IF(IF(K139=0,0,3),3,0)</f>
        <v>0</v>
      </c>
      <c r="L136" s="57">
        <f>IF(IF(L139=0,0,3),3,0)</f>
        <v>0</v>
      </c>
      <c r="M136" s="57">
        <f>IF(IF(M139=0,0,3),3,0)</f>
        <v>0</v>
      </c>
      <c r="N136" s="57">
        <f>SUM(F136:M136)</f>
        <v>0</v>
      </c>
      <c r="O136" s="58"/>
      <c r="P136" s="113"/>
      <c r="Q136" s="113"/>
      <c r="R136" s="127"/>
    </row>
    <row r="137" spans="2:18" ht="19.5" thickTop="1" thickBot="1" x14ac:dyDescent="0.3">
      <c r="B137" s="118"/>
      <c r="C137" s="107"/>
      <c r="D137" s="101"/>
      <c r="E137" s="2" t="s">
        <v>216</v>
      </c>
      <c r="F137" s="6"/>
      <c r="G137" s="6"/>
      <c r="H137" s="6"/>
      <c r="I137" s="7"/>
      <c r="J137" s="94">
        <v>0</v>
      </c>
      <c r="K137" s="95">
        <v>0</v>
      </c>
      <c r="L137" s="7"/>
      <c r="M137" s="7"/>
      <c r="N137" s="4"/>
      <c r="O137" s="15"/>
      <c r="P137" s="101"/>
      <c r="Q137" s="101"/>
      <c r="R137" s="128"/>
    </row>
    <row r="138" spans="2:18" ht="19.5" thickTop="1" thickBot="1" x14ac:dyDescent="0.3">
      <c r="B138" s="118"/>
      <c r="C138" s="107"/>
      <c r="D138" s="101"/>
      <c r="E138" s="1" t="s">
        <v>3</v>
      </c>
      <c r="F138" s="3"/>
      <c r="G138" s="3"/>
      <c r="H138" s="3"/>
      <c r="I138" s="3"/>
      <c r="J138" s="95">
        <v>0</v>
      </c>
      <c r="K138" s="95">
        <v>0</v>
      </c>
      <c r="L138" s="3"/>
      <c r="M138" s="3"/>
      <c r="N138" s="4"/>
      <c r="O138" s="15"/>
      <c r="P138" s="101"/>
      <c r="Q138" s="101"/>
      <c r="R138" s="128"/>
    </row>
    <row r="139" spans="2:18" ht="19.5" thickTop="1" thickBot="1" x14ac:dyDescent="0.3">
      <c r="B139" s="118"/>
      <c r="C139" s="107"/>
      <c r="D139" s="101"/>
      <c r="E139" s="17" t="s">
        <v>4</v>
      </c>
      <c r="F139" s="18">
        <f t="shared" ref="F139:M139" si="52">IF(F138&lt;30,F137,F137+F138)</f>
        <v>0</v>
      </c>
      <c r="G139" s="18">
        <f t="shared" si="52"/>
        <v>0</v>
      </c>
      <c r="H139" s="18">
        <f t="shared" si="52"/>
        <v>0</v>
      </c>
      <c r="I139" s="18">
        <f t="shared" si="52"/>
        <v>0</v>
      </c>
      <c r="J139" s="95">
        <f t="shared" si="52"/>
        <v>0</v>
      </c>
      <c r="K139" s="95">
        <f t="shared" si="52"/>
        <v>0</v>
      </c>
      <c r="L139" s="18">
        <f t="shared" si="52"/>
        <v>0</v>
      </c>
      <c r="M139" s="18">
        <f t="shared" si="52"/>
        <v>0</v>
      </c>
      <c r="N139" s="19"/>
      <c r="O139" s="20"/>
      <c r="P139" s="101"/>
      <c r="Q139" s="101"/>
      <c r="R139" s="128"/>
    </row>
    <row r="140" spans="2:18" ht="37.5" thickTop="1" thickBot="1" x14ac:dyDescent="0.3">
      <c r="B140" s="124"/>
      <c r="C140" s="108"/>
      <c r="D140" s="102"/>
      <c r="E140" s="11" t="s">
        <v>6</v>
      </c>
      <c r="F140" s="12">
        <f t="shared" ref="F140:M140" si="53">SUM(F136*F139)</f>
        <v>0</v>
      </c>
      <c r="G140" s="12">
        <f t="shared" si="53"/>
        <v>0</v>
      </c>
      <c r="H140" s="12">
        <f t="shared" si="53"/>
        <v>0</v>
      </c>
      <c r="I140" s="12">
        <f t="shared" si="53"/>
        <v>0</v>
      </c>
      <c r="J140" s="12">
        <f t="shared" si="53"/>
        <v>0</v>
      </c>
      <c r="K140" s="12">
        <f t="shared" si="53"/>
        <v>0</v>
      </c>
      <c r="L140" s="12">
        <f t="shared" si="53"/>
        <v>0</v>
      </c>
      <c r="M140" s="12">
        <f t="shared" si="53"/>
        <v>0</v>
      </c>
      <c r="N140" s="13">
        <f>SUM(F140:M140)</f>
        <v>0</v>
      </c>
      <c r="O140" s="16" t="e">
        <f>SUM(N140/N136)</f>
        <v>#DIV/0!</v>
      </c>
      <c r="P140" s="102"/>
      <c r="Q140" s="102"/>
      <c r="R140" s="129"/>
    </row>
    <row r="141" spans="2:18" ht="20.25" thickTop="1" thickBot="1" x14ac:dyDescent="0.35">
      <c r="B141" s="118">
        <v>-28</v>
      </c>
      <c r="C141" s="106" t="s">
        <v>95</v>
      </c>
      <c r="D141" s="112" t="s">
        <v>244</v>
      </c>
      <c r="E141" s="10" t="s">
        <v>5</v>
      </c>
      <c r="F141" s="57">
        <f>IF(IF(F144=0,0,3),3,0)</f>
        <v>0</v>
      </c>
      <c r="G141" s="57">
        <f>IF(IF(G144=0,0,3),3,0)</f>
        <v>0</v>
      </c>
      <c r="H141" s="57">
        <f>IF(IF(H144=0,0,2),2,0)</f>
        <v>0</v>
      </c>
      <c r="I141" s="57">
        <f>IF(IF(I144=0,0,2),2,0)</f>
        <v>0</v>
      </c>
      <c r="J141" s="57">
        <f>IF(IF(J144=0,0,3),3,0)</f>
        <v>0</v>
      </c>
      <c r="K141" s="57">
        <f>IF(IF(K144=0,0,3),3,0)</f>
        <v>0</v>
      </c>
      <c r="L141" s="57">
        <f>IF(IF(L144=0,0,3),3,0)</f>
        <v>0</v>
      </c>
      <c r="M141" s="57">
        <f>IF(IF(M144=0,0,3),3,0)</f>
        <v>0</v>
      </c>
      <c r="N141" s="57">
        <f>SUM(F141:M141)</f>
        <v>0</v>
      </c>
      <c r="O141" s="58"/>
      <c r="P141" s="113"/>
      <c r="Q141" s="113"/>
      <c r="R141" s="127"/>
    </row>
    <row r="142" spans="2:18" ht="19.5" thickTop="1" thickBot="1" x14ac:dyDescent="0.3">
      <c r="B142" s="118"/>
      <c r="C142" s="107"/>
      <c r="D142" s="101"/>
      <c r="E142" s="2" t="s">
        <v>216</v>
      </c>
      <c r="F142" s="6"/>
      <c r="G142" s="6"/>
      <c r="H142" s="6"/>
      <c r="I142" s="7"/>
      <c r="J142" s="95">
        <v>0</v>
      </c>
      <c r="K142" s="95">
        <v>0</v>
      </c>
      <c r="L142" s="7"/>
      <c r="M142" s="7"/>
      <c r="N142" s="4"/>
      <c r="O142" s="15"/>
      <c r="P142" s="101"/>
      <c r="Q142" s="101"/>
      <c r="R142" s="128"/>
    </row>
    <row r="143" spans="2:18" ht="19.5" thickTop="1" thickBot="1" x14ac:dyDescent="0.3">
      <c r="B143" s="118"/>
      <c r="C143" s="107"/>
      <c r="D143" s="101"/>
      <c r="E143" s="1" t="s">
        <v>3</v>
      </c>
      <c r="F143" s="3"/>
      <c r="G143" s="3"/>
      <c r="H143" s="3"/>
      <c r="I143" s="3"/>
      <c r="J143" s="95">
        <v>0</v>
      </c>
      <c r="K143" s="95">
        <v>0</v>
      </c>
      <c r="L143" s="3"/>
      <c r="M143" s="3"/>
      <c r="N143" s="4"/>
      <c r="O143" s="15"/>
      <c r="P143" s="101"/>
      <c r="Q143" s="101"/>
      <c r="R143" s="128"/>
    </row>
    <row r="144" spans="2:18" ht="19.5" thickTop="1" thickBot="1" x14ac:dyDescent="0.3">
      <c r="B144" s="118"/>
      <c r="C144" s="107"/>
      <c r="D144" s="101"/>
      <c r="E144" s="17" t="s">
        <v>4</v>
      </c>
      <c r="F144" s="18">
        <f t="shared" ref="F144:M144" si="54">IF(F143&lt;30,F142,F142+F143)</f>
        <v>0</v>
      </c>
      <c r="G144" s="18">
        <f t="shared" si="54"/>
        <v>0</v>
      </c>
      <c r="H144" s="18">
        <f t="shared" si="54"/>
        <v>0</v>
      </c>
      <c r="I144" s="18">
        <f t="shared" si="54"/>
        <v>0</v>
      </c>
      <c r="J144" s="95">
        <f t="shared" si="54"/>
        <v>0</v>
      </c>
      <c r="K144" s="95">
        <v>0</v>
      </c>
      <c r="L144" s="18">
        <f t="shared" si="54"/>
        <v>0</v>
      </c>
      <c r="M144" s="18">
        <f t="shared" si="54"/>
        <v>0</v>
      </c>
      <c r="N144" s="19"/>
      <c r="O144" s="20"/>
      <c r="P144" s="101"/>
      <c r="Q144" s="101"/>
      <c r="R144" s="128"/>
    </row>
    <row r="145" spans="2:18" ht="37.5" thickTop="1" thickBot="1" x14ac:dyDescent="0.3">
      <c r="B145" s="119"/>
      <c r="C145" s="108"/>
      <c r="D145" s="102"/>
      <c r="E145" s="68" t="s">
        <v>6</v>
      </c>
      <c r="F145" s="12">
        <f t="shared" ref="F145:M145" si="55">SUM(F141*F144)</f>
        <v>0</v>
      </c>
      <c r="G145" s="12">
        <f t="shared" si="55"/>
        <v>0</v>
      </c>
      <c r="H145" s="12">
        <f t="shared" si="55"/>
        <v>0</v>
      </c>
      <c r="I145" s="12">
        <f t="shared" si="55"/>
        <v>0</v>
      </c>
      <c r="J145" s="12">
        <f t="shared" si="55"/>
        <v>0</v>
      </c>
      <c r="K145" s="12">
        <f t="shared" si="55"/>
        <v>0</v>
      </c>
      <c r="L145" s="12">
        <f t="shared" si="55"/>
        <v>0</v>
      </c>
      <c r="M145" s="12">
        <f t="shared" si="55"/>
        <v>0</v>
      </c>
      <c r="N145" s="13">
        <f>SUM(F145:M145)</f>
        <v>0</v>
      </c>
      <c r="O145" s="16" t="e">
        <f>SUM(N145/N141)</f>
        <v>#DIV/0!</v>
      </c>
      <c r="P145" s="102"/>
      <c r="Q145" s="102"/>
      <c r="R145" s="129"/>
    </row>
    <row r="146" spans="2:18" ht="20.25" thickTop="1" thickBot="1" x14ac:dyDescent="0.35">
      <c r="B146" s="117">
        <v>-29</v>
      </c>
      <c r="C146" s="114" t="s">
        <v>96</v>
      </c>
      <c r="D146" s="101" t="s">
        <v>245</v>
      </c>
      <c r="E146" s="56" t="s">
        <v>5</v>
      </c>
      <c r="F146" s="57">
        <f>IF(IF(F149=0,0,3),3,0)</f>
        <v>0</v>
      </c>
      <c r="G146" s="57">
        <f>IF(IF(G149=0,0,3),3,0)</f>
        <v>3</v>
      </c>
      <c r="H146" s="57">
        <f>IF(IF(H149=0,0,2),2,0)</f>
        <v>0</v>
      </c>
      <c r="I146" s="57">
        <f>IF(IF(I149=0,0,2),2,0)</f>
        <v>0</v>
      </c>
      <c r="J146" s="57">
        <f>IF(IF(J149=0,0,3),3,0)</f>
        <v>3</v>
      </c>
      <c r="K146" s="57">
        <f>IF(IF(K149=0,0,3),3,0)</f>
        <v>3</v>
      </c>
      <c r="L146" s="57">
        <f>IF(IF(L149=0,0,3),3,0)</f>
        <v>3</v>
      </c>
      <c r="M146" s="57">
        <f>IF(IF(M149=0,0,3),3,0)</f>
        <v>3</v>
      </c>
      <c r="N146" s="57">
        <f>SUM(F146:M146)</f>
        <v>15</v>
      </c>
      <c r="O146" s="58"/>
      <c r="P146" s="113"/>
      <c r="Q146" s="113"/>
      <c r="R146" s="127"/>
    </row>
    <row r="147" spans="2:18" ht="19.5" thickTop="1" thickBot="1" x14ac:dyDescent="0.3">
      <c r="B147" s="118"/>
      <c r="C147" s="115"/>
      <c r="D147" s="101"/>
      <c r="E147" s="5" t="s">
        <v>216</v>
      </c>
      <c r="F147" s="6"/>
      <c r="G147" s="6">
        <v>22</v>
      </c>
      <c r="H147" s="6"/>
      <c r="I147" s="7"/>
      <c r="J147" s="7">
        <v>26</v>
      </c>
      <c r="K147" s="94">
        <v>10</v>
      </c>
      <c r="L147" s="7">
        <v>35</v>
      </c>
      <c r="M147" s="7">
        <v>40</v>
      </c>
      <c r="N147" s="4"/>
      <c r="O147" s="15"/>
      <c r="P147" s="101"/>
      <c r="Q147" s="101"/>
      <c r="R147" s="128"/>
    </row>
    <row r="148" spans="2:18" ht="19.5" thickTop="1" thickBot="1" x14ac:dyDescent="0.3">
      <c r="B148" s="118"/>
      <c r="C148" s="115"/>
      <c r="D148" s="101"/>
      <c r="E148" s="1" t="s">
        <v>3</v>
      </c>
      <c r="F148" s="3"/>
      <c r="G148" s="3"/>
      <c r="H148" s="3"/>
      <c r="I148" s="3"/>
      <c r="J148" s="3"/>
      <c r="K148" s="95">
        <v>16</v>
      </c>
      <c r="L148" s="3"/>
      <c r="M148" s="3"/>
      <c r="N148" s="4"/>
      <c r="O148" s="15"/>
      <c r="P148" s="101"/>
      <c r="Q148" s="101"/>
      <c r="R148" s="128"/>
    </row>
    <row r="149" spans="2:18" ht="19.5" thickTop="1" thickBot="1" x14ac:dyDescent="0.3">
      <c r="B149" s="118"/>
      <c r="C149" s="115"/>
      <c r="D149" s="101"/>
      <c r="E149" s="17" t="s">
        <v>4</v>
      </c>
      <c r="F149" s="18">
        <f t="shared" ref="F149:M149" si="56">IF(F148&lt;30,F147,F147+F148)</f>
        <v>0</v>
      </c>
      <c r="G149" s="18">
        <f t="shared" si="56"/>
        <v>22</v>
      </c>
      <c r="H149" s="18">
        <f t="shared" si="56"/>
        <v>0</v>
      </c>
      <c r="I149" s="18">
        <f t="shared" si="56"/>
        <v>0</v>
      </c>
      <c r="J149" s="18">
        <f t="shared" si="56"/>
        <v>26</v>
      </c>
      <c r="K149" s="95">
        <f t="shared" si="56"/>
        <v>10</v>
      </c>
      <c r="L149" s="18">
        <f t="shared" si="56"/>
        <v>35</v>
      </c>
      <c r="M149" s="18">
        <f t="shared" si="56"/>
        <v>40</v>
      </c>
      <c r="N149" s="19"/>
      <c r="O149" s="20"/>
      <c r="P149" s="101"/>
      <c r="Q149" s="101"/>
      <c r="R149" s="128"/>
    </row>
    <row r="150" spans="2:18" ht="37.5" thickTop="1" thickBot="1" x14ac:dyDescent="0.3">
      <c r="B150" s="118"/>
      <c r="C150" s="116"/>
      <c r="D150" s="102"/>
      <c r="E150" s="11" t="s">
        <v>6</v>
      </c>
      <c r="F150" s="12">
        <f t="shared" ref="F150:M150" si="57">SUM(F146*F149)</f>
        <v>0</v>
      </c>
      <c r="G150" s="12">
        <f t="shared" si="57"/>
        <v>66</v>
      </c>
      <c r="H150" s="12">
        <f t="shared" si="57"/>
        <v>0</v>
      </c>
      <c r="I150" s="12">
        <f t="shared" si="57"/>
        <v>0</v>
      </c>
      <c r="J150" s="12">
        <f t="shared" si="57"/>
        <v>78</v>
      </c>
      <c r="K150" s="12">
        <f t="shared" si="57"/>
        <v>30</v>
      </c>
      <c r="L150" s="12">
        <f t="shared" si="57"/>
        <v>105</v>
      </c>
      <c r="M150" s="12">
        <f t="shared" si="57"/>
        <v>120</v>
      </c>
      <c r="N150" s="13">
        <f>SUM(F150:M150)</f>
        <v>399</v>
      </c>
      <c r="O150" s="16">
        <f>SUM(N150/N146)</f>
        <v>26.6</v>
      </c>
      <c r="P150" s="102"/>
      <c r="Q150" s="102"/>
      <c r="R150" s="129"/>
    </row>
    <row r="151" spans="2:18" ht="20.25" thickTop="1" thickBot="1" x14ac:dyDescent="0.35">
      <c r="B151" s="125">
        <v>-30</v>
      </c>
      <c r="C151" s="106" t="s">
        <v>97</v>
      </c>
      <c r="D151" s="101" t="s">
        <v>246</v>
      </c>
      <c r="E151" s="14" t="s">
        <v>5</v>
      </c>
      <c r="F151" s="57">
        <f>IF(IF(F154=0,0,3),3,0)</f>
        <v>0</v>
      </c>
      <c r="G151" s="57">
        <f>IF(IF(G154=0,0,3),3,0)</f>
        <v>3</v>
      </c>
      <c r="H151" s="57">
        <f>IF(IF(H154=0,0,2),2,0)</f>
        <v>0</v>
      </c>
      <c r="I151" s="57">
        <f>IF(IF(I154=0,0,2),2,0)</f>
        <v>0</v>
      </c>
      <c r="J151" s="57">
        <f>IF(IF(J154=0,0,3),3,0)</f>
        <v>3</v>
      </c>
      <c r="K151" s="57">
        <f>IF(IF(K154=0,0,3),3,0)</f>
        <v>3</v>
      </c>
      <c r="L151" s="57">
        <f>IF(IF(L154=0,0,3),3,0)</f>
        <v>3</v>
      </c>
      <c r="M151" s="57">
        <f>IF(IF(M154=0,0,3),3,0)</f>
        <v>3</v>
      </c>
      <c r="N151" s="57">
        <f>SUM(F151:M151)</f>
        <v>15</v>
      </c>
      <c r="O151" s="58"/>
      <c r="P151" s="113"/>
      <c r="Q151" s="113"/>
      <c r="R151" s="127"/>
    </row>
    <row r="152" spans="2:18" ht="19.5" thickTop="1" thickBot="1" x14ac:dyDescent="0.3">
      <c r="B152" s="118"/>
      <c r="C152" s="107"/>
      <c r="D152" s="101"/>
      <c r="E152" s="2" t="s">
        <v>216</v>
      </c>
      <c r="F152" s="6"/>
      <c r="G152" s="6">
        <v>22</v>
      </c>
      <c r="H152" s="6"/>
      <c r="I152" s="7"/>
      <c r="J152" s="7">
        <v>36</v>
      </c>
      <c r="K152" s="7">
        <v>10</v>
      </c>
      <c r="L152" s="7">
        <v>34</v>
      </c>
      <c r="M152" s="7">
        <v>27</v>
      </c>
      <c r="N152" s="4"/>
      <c r="O152" s="15"/>
      <c r="P152" s="101"/>
      <c r="Q152" s="101"/>
      <c r="R152" s="128"/>
    </row>
    <row r="153" spans="2:18" ht="19.5" thickTop="1" thickBot="1" x14ac:dyDescent="0.3">
      <c r="B153" s="118"/>
      <c r="C153" s="107"/>
      <c r="D153" s="101"/>
      <c r="E153" s="1" t="s">
        <v>3</v>
      </c>
      <c r="F153" s="3"/>
      <c r="G153" s="3"/>
      <c r="H153" s="3"/>
      <c r="I153" s="3"/>
      <c r="J153" s="3"/>
      <c r="K153" s="3">
        <v>40</v>
      </c>
      <c r="L153" s="3"/>
      <c r="M153" s="3"/>
      <c r="N153" s="4"/>
      <c r="O153" s="15"/>
      <c r="P153" s="101"/>
      <c r="Q153" s="101"/>
      <c r="R153" s="128"/>
    </row>
    <row r="154" spans="2:18" ht="19.5" thickTop="1" thickBot="1" x14ac:dyDescent="0.3">
      <c r="B154" s="118"/>
      <c r="C154" s="107"/>
      <c r="D154" s="101"/>
      <c r="E154" s="17" t="s">
        <v>4</v>
      </c>
      <c r="F154" s="18">
        <f t="shared" ref="F154:M154" si="58">IF(F153&lt;30,F152,F152+F153)</f>
        <v>0</v>
      </c>
      <c r="G154" s="18">
        <f t="shared" si="58"/>
        <v>22</v>
      </c>
      <c r="H154" s="18">
        <f t="shared" si="58"/>
        <v>0</v>
      </c>
      <c r="I154" s="18">
        <f t="shared" si="58"/>
        <v>0</v>
      </c>
      <c r="J154" s="18">
        <f t="shared" si="58"/>
        <v>36</v>
      </c>
      <c r="K154" s="18">
        <f t="shared" si="58"/>
        <v>50</v>
      </c>
      <c r="L154" s="18">
        <f t="shared" si="58"/>
        <v>34</v>
      </c>
      <c r="M154" s="18">
        <f t="shared" si="58"/>
        <v>27</v>
      </c>
      <c r="N154" s="19"/>
      <c r="O154" s="20"/>
      <c r="P154" s="101"/>
      <c r="Q154" s="101"/>
      <c r="R154" s="128"/>
    </row>
    <row r="155" spans="2:18" ht="37.5" thickTop="1" thickBot="1" x14ac:dyDescent="0.3">
      <c r="B155" s="124"/>
      <c r="C155" s="108"/>
      <c r="D155" s="102"/>
      <c r="E155" s="11" t="s">
        <v>6</v>
      </c>
      <c r="F155" s="12">
        <f t="shared" ref="F155:M155" si="59">SUM(F151*F154)</f>
        <v>0</v>
      </c>
      <c r="G155" s="12">
        <f t="shared" si="59"/>
        <v>66</v>
      </c>
      <c r="H155" s="12">
        <f t="shared" si="59"/>
        <v>0</v>
      </c>
      <c r="I155" s="12">
        <f t="shared" si="59"/>
        <v>0</v>
      </c>
      <c r="J155" s="12">
        <f t="shared" si="59"/>
        <v>108</v>
      </c>
      <c r="K155" s="12">
        <f t="shared" si="59"/>
        <v>150</v>
      </c>
      <c r="L155" s="12">
        <f t="shared" si="59"/>
        <v>102</v>
      </c>
      <c r="M155" s="12">
        <f t="shared" si="59"/>
        <v>81</v>
      </c>
      <c r="N155" s="13">
        <f>SUM(F155:M155)</f>
        <v>507</v>
      </c>
      <c r="O155" s="16">
        <f>SUM(N155/N151)</f>
        <v>33.799999999999997</v>
      </c>
      <c r="P155" s="102"/>
      <c r="Q155" s="102"/>
      <c r="R155" s="129"/>
    </row>
    <row r="156" spans="2:18" ht="20.25" thickTop="1" thickBot="1" x14ac:dyDescent="0.35">
      <c r="B156" s="118">
        <v>-31</v>
      </c>
      <c r="C156" s="106" t="s">
        <v>98</v>
      </c>
      <c r="D156" s="101" t="s">
        <v>247</v>
      </c>
      <c r="E156" s="14" t="s">
        <v>5</v>
      </c>
      <c r="F156" s="57">
        <f>IF(IF(F159=0,0,3),3,0)</f>
        <v>0</v>
      </c>
      <c r="G156" s="57">
        <f>IF(IF(G159=0,0,3),3,0)</f>
        <v>3</v>
      </c>
      <c r="H156" s="57">
        <f>IF(IF(H159=0,0,2),2,0)</f>
        <v>0</v>
      </c>
      <c r="I156" s="57">
        <f>IF(IF(I159=0,0,2),2,0)</f>
        <v>0</v>
      </c>
      <c r="J156" s="57">
        <f>IF(IF(J159=0,0,3),3,0)</f>
        <v>3</v>
      </c>
      <c r="K156" s="57">
        <f>IF(IF(K159=0,0,3),3,0)</f>
        <v>3</v>
      </c>
      <c r="L156" s="57">
        <f>IF(IF(L159=0,0,3),3,0)</f>
        <v>3</v>
      </c>
      <c r="M156" s="57">
        <f>IF(IF(M159=0,0,3),3,0)</f>
        <v>3</v>
      </c>
      <c r="N156" s="57">
        <f>SUM(F156:M156)</f>
        <v>15</v>
      </c>
      <c r="O156" s="58"/>
      <c r="P156" s="113"/>
      <c r="Q156" s="113"/>
      <c r="R156" s="127"/>
    </row>
    <row r="157" spans="2:18" ht="19.5" thickTop="1" thickBot="1" x14ac:dyDescent="0.3">
      <c r="B157" s="118"/>
      <c r="C157" s="107"/>
      <c r="D157" s="101"/>
      <c r="E157" s="2" t="s">
        <v>216</v>
      </c>
      <c r="F157" s="6"/>
      <c r="G157" s="6">
        <v>22</v>
      </c>
      <c r="H157" s="6"/>
      <c r="I157" s="7"/>
      <c r="J157" s="7">
        <v>10</v>
      </c>
      <c r="K157" s="92">
        <v>18</v>
      </c>
      <c r="L157" s="7">
        <v>31</v>
      </c>
      <c r="M157" s="7">
        <v>29</v>
      </c>
      <c r="N157" s="4"/>
      <c r="O157" s="15"/>
      <c r="P157" s="101"/>
      <c r="Q157" s="101"/>
      <c r="R157" s="128"/>
    </row>
    <row r="158" spans="2:18" ht="19.5" thickTop="1" thickBot="1" x14ac:dyDescent="0.3">
      <c r="B158" s="118"/>
      <c r="C158" s="107"/>
      <c r="D158" s="101"/>
      <c r="E158" s="1" t="s">
        <v>3</v>
      </c>
      <c r="F158" s="3"/>
      <c r="G158" s="3"/>
      <c r="H158" s="3"/>
      <c r="I158" s="3"/>
      <c r="J158" s="3"/>
      <c r="K158" s="93">
        <v>26</v>
      </c>
      <c r="L158" s="3"/>
      <c r="M158" s="3"/>
      <c r="N158" s="4"/>
      <c r="O158" s="15"/>
      <c r="P158" s="101"/>
      <c r="Q158" s="101"/>
      <c r="R158" s="128"/>
    </row>
    <row r="159" spans="2:18" ht="19.5" thickTop="1" thickBot="1" x14ac:dyDescent="0.3">
      <c r="B159" s="118"/>
      <c r="C159" s="107"/>
      <c r="D159" s="101"/>
      <c r="E159" s="17" t="s">
        <v>4</v>
      </c>
      <c r="F159" s="18">
        <f t="shared" ref="F159:M159" si="60">IF(F158&lt;30,F157,F157+F158)</f>
        <v>0</v>
      </c>
      <c r="G159" s="18">
        <f t="shared" si="60"/>
        <v>22</v>
      </c>
      <c r="H159" s="18">
        <f t="shared" si="60"/>
        <v>0</v>
      </c>
      <c r="I159" s="18">
        <f t="shared" si="60"/>
        <v>0</v>
      </c>
      <c r="J159" s="18">
        <f t="shared" si="60"/>
        <v>10</v>
      </c>
      <c r="K159" s="18">
        <f t="shared" si="60"/>
        <v>18</v>
      </c>
      <c r="L159" s="18">
        <f t="shared" si="60"/>
        <v>31</v>
      </c>
      <c r="M159" s="18">
        <f t="shared" si="60"/>
        <v>29</v>
      </c>
      <c r="N159" s="19"/>
      <c r="O159" s="20"/>
      <c r="P159" s="101"/>
      <c r="Q159" s="101"/>
      <c r="R159" s="128"/>
    </row>
    <row r="160" spans="2:18" ht="37.5" thickTop="1" thickBot="1" x14ac:dyDescent="0.3">
      <c r="B160" s="118"/>
      <c r="C160" s="108"/>
      <c r="D160" s="102"/>
      <c r="E160" s="8" t="s">
        <v>6</v>
      </c>
      <c r="F160" s="12">
        <f t="shared" ref="F160:M160" si="61">SUM(F156*F159)</f>
        <v>0</v>
      </c>
      <c r="G160" s="12">
        <f t="shared" si="61"/>
        <v>66</v>
      </c>
      <c r="H160" s="12">
        <f t="shared" si="61"/>
        <v>0</v>
      </c>
      <c r="I160" s="12">
        <f t="shared" si="61"/>
        <v>0</v>
      </c>
      <c r="J160" s="12">
        <f t="shared" si="61"/>
        <v>30</v>
      </c>
      <c r="K160" s="12">
        <f t="shared" si="61"/>
        <v>54</v>
      </c>
      <c r="L160" s="12">
        <f t="shared" si="61"/>
        <v>93</v>
      </c>
      <c r="M160" s="12">
        <f t="shared" si="61"/>
        <v>87</v>
      </c>
      <c r="N160" s="13">
        <f>SUM(F160:M160)</f>
        <v>330</v>
      </c>
      <c r="O160" s="16">
        <f>SUM(N160/N156)</f>
        <v>22</v>
      </c>
      <c r="P160" s="102"/>
      <c r="Q160" s="102"/>
      <c r="R160" s="129"/>
    </row>
    <row r="161" spans="2:18" ht="20.25" thickTop="1" thickBot="1" x14ac:dyDescent="0.35">
      <c r="B161" s="125">
        <v>-32</v>
      </c>
      <c r="C161" s="106" t="s">
        <v>99</v>
      </c>
      <c r="D161" s="101" t="s">
        <v>248</v>
      </c>
      <c r="E161" s="10" t="s">
        <v>5</v>
      </c>
      <c r="F161" s="57">
        <f>IF(IF(F164=0,0,3),3,0)</f>
        <v>0</v>
      </c>
      <c r="G161" s="57">
        <f>IF(IF(G164=0,0,3),3,0)</f>
        <v>3</v>
      </c>
      <c r="H161" s="57">
        <f>IF(IF(H164=0,0,2),2,0)</f>
        <v>0</v>
      </c>
      <c r="I161" s="57">
        <f>IF(IF(I164=0,0,2),2,0)</f>
        <v>0</v>
      </c>
      <c r="J161" s="57">
        <f>IF(IF(J164=0,0,3),3,0)</f>
        <v>3</v>
      </c>
      <c r="K161" s="57">
        <f>IF(IF(K164=0,0,3),3,0)</f>
        <v>3</v>
      </c>
      <c r="L161" s="57">
        <f>IF(IF(L164=0,0,3),3,0)</f>
        <v>3</v>
      </c>
      <c r="M161" s="57">
        <f>IF(IF(M164=0,0,3),3,0)</f>
        <v>3</v>
      </c>
      <c r="N161" s="57">
        <f>SUM(F161:M161)</f>
        <v>15</v>
      </c>
      <c r="O161" s="58"/>
      <c r="P161" s="113"/>
      <c r="Q161" s="113"/>
      <c r="R161" s="127"/>
    </row>
    <row r="162" spans="2:18" ht="19.5" thickTop="1" thickBot="1" x14ac:dyDescent="0.3">
      <c r="B162" s="118"/>
      <c r="C162" s="107"/>
      <c r="D162" s="101"/>
      <c r="E162" s="2" t="s">
        <v>216</v>
      </c>
      <c r="F162" s="6"/>
      <c r="G162" s="6">
        <v>34</v>
      </c>
      <c r="H162" s="6"/>
      <c r="I162" s="7"/>
      <c r="J162" s="7">
        <v>36</v>
      </c>
      <c r="K162" s="7">
        <v>20</v>
      </c>
      <c r="L162" s="7">
        <v>38</v>
      </c>
      <c r="M162" s="7">
        <v>35</v>
      </c>
      <c r="N162" s="4"/>
      <c r="O162" s="15"/>
      <c r="P162" s="101"/>
      <c r="Q162" s="101"/>
      <c r="R162" s="128"/>
    </row>
    <row r="163" spans="2:18" ht="19.5" thickTop="1" thickBot="1" x14ac:dyDescent="0.3">
      <c r="B163" s="118"/>
      <c r="C163" s="107"/>
      <c r="D163" s="101"/>
      <c r="E163" s="1" t="s">
        <v>3</v>
      </c>
      <c r="F163" s="3"/>
      <c r="G163" s="3"/>
      <c r="H163" s="3"/>
      <c r="I163" s="3"/>
      <c r="J163" s="3"/>
      <c r="K163" s="3">
        <v>33</v>
      </c>
      <c r="L163" s="3"/>
      <c r="M163" s="3"/>
      <c r="N163" s="4"/>
      <c r="O163" s="15"/>
      <c r="P163" s="101"/>
      <c r="Q163" s="101"/>
      <c r="R163" s="128"/>
    </row>
    <row r="164" spans="2:18" ht="19.5" thickTop="1" thickBot="1" x14ac:dyDescent="0.3">
      <c r="B164" s="118"/>
      <c r="C164" s="107"/>
      <c r="D164" s="101"/>
      <c r="E164" s="17" t="s">
        <v>4</v>
      </c>
      <c r="F164" s="18">
        <f t="shared" ref="F164:M164" si="62">IF(F163&lt;30,F162,F162+F163)</f>
        <v>0</v>
      </c>
      <c r="G164" s="18">
        <f t="shared" si="62"/>
        <v>34</v>
      </c>
      <c r="H164" s="18">
        <f t="shared" si="62"/>
        <v>0</v>
      </c>
      <c r="I164" s="18">
        <f t="shared" si="62"/>
        <v>0</v>
      </c>
      <c r="J164" s="18">
        <f t="shared" si="62"/>
        <v>36</v>
      </c>
      <c r="K164" s="18">
        <f t="shared" si="62"/>
        <v>53</v>
      </c>
      <c r="L164" s="18">
        <f t="shared" si="62"/>
        <v>38</v>
      </c>
      <c r="M164" s="18">
        <f t="shared" si="62"/>
        <v>35</v>
      </c>
      <c r="N164" s="19"/>
      <c r="O164" s="20"/>
      <c r="P164" s="101"/>
      <c r="Q164" s="101"/>
      <c r="R164" s="128"/>
    </row>
    <row r="165" spans="2:18" ht="37.5" thickTop="1" thickBot="1" x14ac:dyDescent="0.3">
      <c r="B165" s="124"/>
      <c r="C165" s="108"/>
      <c r="D165" s="102"/>
      <c r="E165" s="8" t="s">
        <v>6</v>
      </c>
      <c r="F165" s="12">
        <f t="shared" ref="F165:M165" si="63">SUM(F161*F164)</f>
        <v>0</v>
      </c>
      <c r="G165" s="12">
        <f t="shared" si="63"/>
        <v>102</v>
      </c>
      <c r="H165" s="12">
        <f t="shared" si="63"/>
        <v>0</v>
      </c>
      <c r="I165" s="12">
        <f t="shared" si="63"/>
        <v>0</v>
      </c>
      <c r="J165" s="12">
        <f t="shared" si="63"/>
        <v>108</v>
      </c>
      <c r="K165" s="12">
        <f t="shared" si="63"/>
        <v>159</v>
      </c>
      <c r="L165" s="12">
        <f t="shared" si="63"/>
        <v>114</v>
      </c>
      <c r="M165" s="12">
        <f t="shared" si="63"/>
        <v>105</v>
      </c>
      <c r="N165" s="13">
        <f>SUM(F165:M165)</f>
        <v>588</v>
      </c>
      <c r="O165" s="16">
        <f>SUM(N165/N161)</f>
        <v>39.200000000000003</v>
      </c>
      <c r="P165" s="102"/>
      <c r="Q165" s="102"/>
      <c r="R165" s="129"/>
    </row>
    <row r="166" spans="2:18" ht="20.25" thickTop="1" thickBot="1" x14ac:dyDescent="0.35">
      <c r="B166" s="118">
        <v>-33</v>
      </c>
      <c r="C166" s="26"/>
      <c r="D166" s="112" t="s">
        <v>249</v>
      </c>
      <c r="E166" s="10" t="s">
        <v>5</v>
      </c>
      <c r="F166" s="57">
        <f>IF(IF(F169=0,0,3),3,0)</f>
        <v>0</v>
      </c>
      <c r="G166" s="57">
        <f>IF(IF(G169=0,0,3),3,0)</f>
        <v>0</v>
      </c>
      <c r="H166" s="57">
        <f>IF(IF(H169=0,0,2),2,0)</f>
        <v>0</v>
      </c>
      <c r="I166" s="57">
        <f>IF(IF(I169=0,0,2),2,0)</f>
        <v>0</v>
      </c>
      <c r="J166" s="57">
        <f>IF(IF(J169=0,0,3),3,0)</f>
        <v>0</v>
      </c>
      <c r="K166" s="57">
        <f>IF(IF(K169=0,0,3),3,0)</f>
        <v>0</v>
      </c>
      <c r="L166" s="57">
        <f>IF(IF(L169=0,0,3),3,0)</f>
        <v>0</v>
      </c>
      <c r="M166" s="57">
        <f>IF(IF(M169=0,0,3),3,0)</f>
        <v>0</v>
      </c>
      <c r="N166" s="57">
        <f>SUM(F166:M166)</f>
        <v>0</v>
      </c>
      <c r="O166" s="58"/>
      <c r="P166" s="113"/>
      <c r="Q166" s="113"/>
      <c r="R166" s="127"/>
    </row>
    <row r="167" spans="2:18" ht="19.5" thickTop="1" thickBot="1" x14ac:dyDescent="0.3">
      <c r="B167" s="118"/>
      <c r="C167" s="27"/>
      <c r="D167" s="101"/>
      <c r="E167" s="2" t="s">
        <v>216</v>
      </c>
      <c r="F167" s="6"/>
      <c r="G167" s="6"/>
      <c r="H167" s="6"/>
      <c r="I167" s="7"/>
      <c r="J167" s="7"/>
      <c r="K167" s="7"/>
      <c r="L167" s="7"/>
      <c r="M167" s="7"/>
      <c r="N167" s="4"/>
      <c r="O167" s="15"/>
      <c r="P167" s="101"/>
      <c r="Q167" s="101"/>
      <c r="R167" s="128"/>
    </row>
    <row r="168" spans="2:18" ht="20.25" thickTop="1" thickBot="1" x14ac:dyDescent="0.3">
      <c r="B168" s="118"/>
      <c r="C168" s="25" t="s">
        <v>100</v>
      </c>
      <c r="D168" s="101"/>
      <c r="E168" s="1" t="s">
        <v>3</v>
      </c>
      <c r="F168" s="3"/>
      <c r="G168" s="3"/>
      <c r="H168" s="3"/>
      <c r="I168" s="3"/>
      <c r="J168" s="3"/>
      <c r="K168" s="3"/>
      <c r="L168" s="3"/>
      <c r="M168" s="3"/>
      <c r="N168" s="4"/>
      <c r="O168" s="15"/>
      <c r="P168" s="101"/>
      <c r="Q168" s="101"/>
      <c r="R168" s="128"/>
    </row>
    <row r="169" spans="2:18" ht="20.25" thickTop="1" thickBot="1" x14ac:dyDescent="0.3">
      <c r="B169" s="118"/>
      <c r="C169" s="25" t="s">
        <v>101</v>
      </c>
      <c r="D169" s="101"/>
      <c r="E169" s="17" t="s">
        <v>4</v>
      </c>
      <c r="F169" s="18">
        <f t="shared" ref="F169:M169" si="64">IF(F168&lt;30,F167,F167+F168)</f>
        <v>0</v>
      </c>
      <c r="G169" s="18">
        <f t="shared" si="64"/>
        <v>0</v>
      </c>
      <c r="H169" s="18">
        <f t="shared" si="64"/>
        <v>0</v>
      </c>
      <c r="I169" s="18">
        <f t="shared" si="64"/>
        <v>0</v>
      </c>
      <c r="J169" s="18">
        <f t="shared" si="64"/>
        <v>0</v>
      </c>
      <c r="K169" s="18">
        <f t="shared" si="64"/>
        <v>0</v>
      </c>
      <c r="L169" s="18">
        <f t="shared" si="64"/>
        <v>0</v>
      </c>
      <c r="M169" s="18">
        <f t="shared" si="64"/>
        <v>0</v>
      </c>
      <c r="N169" s="19"/>
      <c r="O169" s="20"/>
      <c r="P169" s="101"/>
      <c r="Q169" s="101"/>
      <c r="R169" s="128"/>
    </row>
    <row r="170" spans="2:18" ht="37.5" thickTop="1" thickBot="1" x14ac:dyDescent="0.3">
      <c r="B170" s="118"/>
      <c r="C170" s="28"/>
      <c r="D170" s="102"/>
      <c r="E170" s="8" t="s">
        <v>6</v>
      </c>
      <c r="F170" s="12">
        <f t="shared" ref="F170:M170" si="65">SUM(F166*F169)</f>
        <v>0</v>
      </c>
      <c r="G170" s="12">
        <f t="shared" si="65"/>
        <v>0</v>
      </c>
      <c r="H170" s="12">
        <f t="shared" si="65"/>
        <v>0</v>
      </c>
      <c r="I170" s="12">
        <f t="shared" si="65"/>
        <v>0</v>
      </c>
      <c r="J170" s="12">
        <f t="shared" si="65"/>
        <v>0</v>
      </c>
      <c r="K170" s="12">
        <f t="shared" si="65"/>
        <v>0</v>
      </c>
      <c r="L170" s="12">
        <f t="shared" si="65"/>
        <v>0</v>
      </c>
      <c r="M170" s="12">
        <f t="shared" si="65"/>
        <v>0</v>
      </c>
      <c r="N170" s="13">
        <f>SUM(F170:M170)</f>
        <v>0</v>
      </c>
      <c r="O170" s="16" t="e">
        <f>SUM(N170/N166)</f>
        <v>#DIV/0!</v>
      </c>
      <c r="P170" s="102"/>
      <c r="Q170" s="102"/>
      <c r="R170" s="129"/>
    </row>
    <row r="171" spans="2:18" ht="20.25" thickTop="1" thickBot="1" x14ac:dyDescent="0.35">
      <c r="B171" s="125">
        <v>-34</v>
      </c>
      <c r="C171" s="106" t="s">
        <v>102</v>
      </c>
      <c r="D171" s="112" t="s">
        <v>270</v>
      </c>
      <c r="E171" s="10" t="s">
        <v>5</v>
      </c>
      <c r="F171" s="57">
        <f>IF(IF(F174=0,0,3),3,0)</f>
        <v>0</v>
      </c>
      <c r="G171" s="57">
        <f>IF(IF(G174=0,0,3),3,0)</f>
        <v>3</v>
      </c>
      <c r="H171" s="57">
        <f>IF(IF(H174=0,0,2),2,0)</f>
        <v>0</v>
      </c>
      <c r="I171" s="57">
        <f>IF(IF(I174=0,0,2),2,0)</f>
        <v>0</v>
      </c>
      <c r="J171" s="57">
        <f>IF(IF(J174=0,0,3),3,0)</f>
        <v>0</v>
      </c>
      <c r="K171" s="57">
        <f>IF(IF(K174=0,0,3),3,0)</f>
        <v>0</v>
      </c>
      <c r="L171" s="57">
        <f>IF(IF(L174=0,0,3),3,0)</f>
        <v>0</v>
      </c>
      <c r="M171" s="57">
        <f>IF(IF(M174=0,0,3),3,0)</f>
        <v>3</v>
      </c>
      <c r="N171" s="57">
        <f>SUM(F171:M171)</f>
        <v>6</v>
      </c>
      <c r="O171" s="58"/>
      <c r="P171" s="113"/>
      <c r="Q171" s="113"/>
      <c r="R171" s="127"/>
    </row>
    <row r="172" spans="2:18" ht="19.5" thickTop="1" thickBot="1" x14ac:dyDescent="0.3">
      <c r="B172" s="118"/>
      <c r="C172" s="107"/>
      <c r="D172" s="101"/>
      <c r="E172" s="2" t="s">
        <v>216</v>
      </c>
      <c r="F172" s="6"/>
      <c r="G172" s="6">
        <v>20</v>
      </c>
      <c r="H172" s="6"/>
      <c r="I172" s="7"/>
      <c r="J172" s="7"/>
      <c r="K172" s="7"/>
      <c r="L172" s="92"/>
      <c r="M172" s="7">
        <v>20</v>
      </c>
      <c r="N172" s="4"/>
      <c r="O172" s="15"/>
      <c r="P172" s="101"/>
      <c r="Q172" s="101"/>
      <c r="R172" s="128"/>
    </row>
    <row r="173" spans="2:18" ht="19.5" thickTop="1" thickBot="1" x14ac:dyDescent="0.3">
      <c r="B173" s="118"/>
      <c r="C173" s="107"/>
      <c r="D173" s="101"/>
      <c r="E173" s="1" t="s">
        <v>3</v>
      </c>
      <c r="F173" s="3"/>
      <c r="G173" s="3"/>
      <c r="H173" s="3"/>
      <c r="I173" s="3"/>
      <c r="J173" s="93"/>
      <c r="K173" s="3"/>
      <c r="L173" s="93"/>
      <c r="M173" s="7"/>
      <c r="N173" s="4"/>
      <c r="O173" s="15"/>
      <c r="P173" s="101"/>
      <c r="Q173" s="101"/>
      <c r="R173" s="128"/>
    </row>
    <row r="174" spans="2:18" ht="19.5" thickTop="1" thickBot="1" x14ac:dyDescent="0.3">
      <c r="B174" s="118"/>
      <c r="C174" s="107"/>
      <c r="D174" s="101"/>
      <c r="E174" s="17" t="s">
        <v>4</v>
      </c>
      <c r="F174" s="18">
        <f t="shared" ref="F174:M174" si="66">IF(F173&lt;30,F172,F172+F173)</f>
        <v>0</v>
      </c>
      <c r="G174" s="18">
        <f t="shared" si="66"/>
        <v>20</v>
      </c>
      <c r="H174" s="18">
        <f t="shared" si="66"/>
        <v>0</v>
      </c>
      <c r="I174" s="18">
        <f t="shared" si="66"/>
        <v>0</v>
      </c>
      <c r="J174" s="18">
        <f t="shared" si="66"/>
        <v>0</v>
      </c>
      <c r="K174" s="18">
        <f t="shared" si="66"/>
        <v>0</v>
      </c>
      <c r="L174" s="18">
        <f t="shared" si="66"/>
        <v>0</v>
      </c>
      <c r="M174" s="18">
        <f t="shared" si="66"/>
        <v>20</v>
      </c>
      <c r="N174" s="19"/>
      <c r="O174" s="20"/>
      <c r="P174" s="101"/>
      <c r="Q174" s="101"/>
      <c r="R174" s="128"/>
    </row>
    <row r="175" spans="2:18" ht="37.5" thickTop="1" thickBot="1" x14ac:dyDescent="0.3">
      <c r="B175" s="124"/>
      <c r="C175" s="108"/>
      <c r="D175" s="102"/>
      <c r="E175" s="11" t="s">
        <v>6</v>
      </c>
      <c r="F175" s="12">
        <f t="shared" ref="F175:M175" si="67">SUM(F171*F174)</f>
        <v>0</v>
      </c>
      <c r="G175" s="12">
        <f t="shared" si="67"/>
        <v>60</v>
      </c>
      <c r="H175" s="12">
        <f t="shared" si="67"/>
        <v>0</v>
      </c>
      <c r="I175" s="12">
        <f t="shared" si="67"/>
        <v>0</v>
      </c>
      <c r="J175" s="12">
        <f t="shared" si="67"/>
        <v>0</v>
      </c>
      <c r="K175" s="12">
        <f t="shared" si="67"/>
        <v>0</v>
      </c>
      <c r="L175" s="12">
        <f t="shared" si="67"/>
        <v>0</v>
      </c>
      <c r="M175" s="12">
        <f t="shared" si="67"/>
        <v>60</v>
      </c>
      <c r="N175" s="13">
        <f>SUM(F175:M175)</f>
        <v>120</v>
      </c>
      <c r="O175" s="16">
        <f>SUM(N175/N171)</f>
        <v>20</v>
      </c>
      <c r="P175" s="102"/>
      <c r="Q175" s="102"/>
      <c r="R175" s="129"/>
    </row>
    <row r="176" spans="2:18" ht="20.25" thickTop="1" thickBot="1" x14ac:dyDescent="0.35">
      <c r="B176" s="118">
        <v>-35</v>
      </c>
      <c r="C176" s="106" t="s">
        <v>213</v>
      </c>
      <c r="D176" s="112" t="s">
        <v>271</v>
      </c>
      <c r="E176" s="10" t="s">
        <v>5</v>
      </c>
      <c r="F176" s="57">
        <f>IF(IF(F179=0,0,3),3,0)</f>
        <v>0</v>
      </c>
      <c r="G176" s="57">
        <f>IF(IF(G179=0,0,3),3,0)</f>
        <v>0</v>
      </c>
      <c r="H176" s="57">
        <f>IF(IF(H179=0,0,2),2,0)</f>
        <v>0</v>
      </c>
      <c r="I176" s="57">
        <f>IF(IF(I179=0,0,2),2,0)</f>
        <v>0</v>
      </c>
      <c r="J176" s="57">
        <f>IF(IF(J179=0,0,3),3,0)</f>
        <v>3</v>
      </c>
      <c r="K176" s="57">
        <f>IF(IF(K179=0,0,3),3,0)</f>
        <v>0</v>
      </c>
      <c r="L176" s="57">
        <f>IF(IF(L179=0,0,3),3,0)</f>
        <v>0</v>
      </c>
      <c r="M176" s="57">
        <f>IF(IF(M179=0,0,3),3,0)</f>
        <v>3</v>
      </c>
      <c r="N176" s="57">
        <f>SUM(F176:M176)</f>
        <v>6</v>
      </c>
      <c r="O176" s="58"/>
      <c r="P176" s="113"/>
      <c r="Q176" s="113"/>
      <c r="R176" s="127"/>
    </row>
    <row r="177" spans="2:18" ht="19.5" thickTop="1" thickBot="1" x14ac:dyDescent="0.3">
      <c r="B177" s="118"/>
      <c r="C177" s="107"/>
      <c r="D177" s="101"/>
      <c r="E177" s="2" t="s">
        <v>216</v>
      </c>
      <c r="F177" s="6"/>
      <c r="G177" s="99"/>
      <c r="H177" s="6"/>
      <c r="I177" s="7"/>
      <c r="J177" s="7">
        <v>23</v>
      </c>
      <c r="K177" s="92"/>
      <c r="L177" s="92"/>
      <c r="M177" s="7">
        <v>30</v>
      </c>
      <c r="N177" s="4"/>
      <c r="O177" s="15"/>
      <c r="P177" s="101"/>
      <c r="Q177" s="101"/>
      <c r="R177" s="128"/>
    </row>
    <row r="178" spans="2:18" ht="19.5" thickTop="1" thickBot="1" x14ac:dyDescent="0.3">
      <c r="B178" s="118"/>
      <c r="C178" s="107"/>
      <c r="D178" s="101"/>
      <c r="E178" s="1" t="s">
        <v>3</v>
      </c>
      <c r="F178" s="3"/>
      <c r="G178" s="3"/>
      <c r="H178" s="3"/>
      <c r="I178" s="3"/>
      <c r="J178" s="3"/>
      <c r="K178" s="3"/>
      <c r="L178" s="93"/>
      <c r="M178" s="7"/>
      <c r="N178" s="4"/>
      <c r="O178" s="15"/>
      <c r="P178" s="101"/>
      <c r="Q178" s="101"/>
      <c r="R178" s="128"/>
    </row>
    <row r="179" spans="2:18" ht="19.5" thickTop="1" thickBot="1" x14ac:dyDescent="0.3">
      <c r="B179" s="118"/>
      <c r="C179" s="107"/>
      <c r="D179" s="101"/>
      <c r="E179" s="17" t="s">
        <v>4</v>
      </c>
      <c r="F179" s="18">
        <f t="shared" ref="F179:M179" si="68">IF(F178&lt;30,F177,F177+F178)</f>
        <v>0</v>
      </c>
      <c r="G179" s="18">
        <f t="shared" si="68"/>
        <v>0</v>
      </c>
      <c r="H179" s="18">
        <f t="shared" si="68"/>
        <v>0</v>
      </c>
      <c r="I179" s="18">
        <f t="shared" si="68"/>
        <v>0</v>
      </c>
      <c r="J179" s="18">
        <f t="shared" si="68"/>
        <v>23</v>
      </c>
      <c r="K179" s="18">
        <f t="shared" si="68"/>
        <v>0</v>
      </c>
      <c r="L179" s="18">
        <f t="shared" si="68"/>
        <v>0</v>
      </c>
      <c r="M179" s="18">
        <f t="shared" si="68"/>
        <v>30</v>
      </c>
      <c r="N179" s="19"/>
      <c r="O179" s="20"/>
      <c r="P179" s="101"/>
      <c r="Q179" s="101"/>
      <c r="R179" s="128"/>
    </row>
    <row r="180" spans="2:18" ht="37.5" thickTop="1" thickBot="1" x14ac:dyDescent="0.3">
      <c r="B180" s="119"/>
      <c r="C180" s="108"/>
      <c r="D180" s="102"/>
      <c r="E180" s="68" t="s">
        <v>6</v>
      </c>
      <c r="F180" s="12">
        <f t="shared" ref="F180:M180" si="69">SUM(F176*F179)</f>
        <v>0</v>
      </c>
      <c r="G180" s="12">
        <f t="shared" si="69"/>
        <v>0</v>
      </c>
      <c r="H180" s="12">
        <f t="shared" si="69"/>
        <v>0</v>
      </c>
      <c r="I180" s="12">
        <f t="shared" si="69"/>
        <v>0</v>
      </c>
      <c r="J180" s="12">
        <f t="shared" si="69"/>
        <v>69</v>
      </c>
      <c r="K180" s="12">
        <f t="shared" si="69"/>
        <v>0</v>
      </c>
      <c r="L180" s="12">
        <f t="shared" si="69"/>
        <v>0</v>
      </c>
      <c r="M180" s="12">
        <f t="shared" si="69"/>
        <v>90</v>
      </c>
      <c r="N180" s="13">
        <f>SUM(F180:M180)</f>
        <v>159</v>
      </c>
      <c r="O180" s="16">
        <f>SUM(N180/N176)</f>
        <v>26.5</v>
      </c>
      <c r="P180" s="102"/>
      <c r="Q180" s="102"/>
      <c r="R180" s="129"/>
    </row>
    <row r="181" spans="2:18" ht="20.25" thickTop="1" thickBot="1" x14ac:dyDescent="0.35">
      <c r="B181" s="117">
        <v>-36</v>
      </c>
      <c r="C181" s="106" t="s">
        <v>103</v>
      </c>
      <c r="D181" s="101" t="s">
        <v>272</v>
      </c>
      <c r="E181" s="56" t="s">
        <v>5</v>
      </c>
      <c r="F181" s="57">
        <f>IF(IF(F184=0,0,3),3,0)</f>
        <v>0</v>
      </c>
      <c r="G181" s="57">
        <f>IF(IF(G184=0,0,3),3,0)</f>
        <v>3</v>
      </c>
      <c r="H181" s="57">
        <f>IF(IF(H184=0,0,2),2,0)</f>
        <v>0</v>
      </c>
      <c r="I181" s="57">
        <f>IF(IF(I184=0,0,2),2,0)</f>
        <v>0</v>
      </c>
      <c r="J181" s="57">
        <f>IF(IF(J184=0,0,3),3,0)</f>
        <v>3</v>
      </c>
      <c r="K181" s="57">
        <f>IF(IF(K184=0,0,3),3,0)</f>
        <v>3</v>
      </c>
      <c r="L181" s="57">
        <f>IF(IF(L184=0,0,3),3,0)</f>
        <v>3</v>
      </c>
      <c r="M181" s="57">
        <f>IF(IF(M184=0,0,3),3,0)</f>
        <v>3</v>
      </c>
      <c r="N181" s="57">
        <f>SUM(F181:M181)</f>
        <v>15</v>
      </c>
      <c r="O181" s="58"/>
      <c r="P181" s="113"/>
      <c r="Q181" s="113"/>
      <c r="R181" s="127"/>
    </row>
    <row r="182" spans="2:18" ht="19.5" thickTop="1" thickBot="1" x14ac:dyDescent="0.3">
      <c r="B182" s="118"/>
      <c r="C182" s="107"/>
      <c r="D182" s="101"/>
      <c r="E182" s="5" t="s">
        <v>216</v>
      </c>
      <c r="F182" s="6"/>
      <c r="G182" s="6">
        <v>20</v>
      </c>
      <c r="H182" s="6"/>
      <c r="I182" s="7"/>
      <c r="J182" s="7">
        <v>21</v>
      </c>
      <c r="K182" s="94">
        <v>22</v>
      </c>
      <c r="L182" s="7">
        <v>32</v>
      </c>
      <c r="M182" s="7">
        <v>13</v>
      </c>
      <c r="N182" s="4"/>
      <c r="O182" s="15"/>
      <c r="P182" s="101"/>
      <c r="Q182" s="101"/>
      <c r="R182" s="128"/>
    </row>
    <row r="183" spans="2:18" ht="19.5" thickTop="1" thickBot="1" x14ac:dyDescent="0.3">
      <c r="B183" s="118"/>
      <c r="C183" s="107"/>
      <c r="D183" s="101"/>
      <c r="E183" s="1" t="s">
        <v>3</v>
      </c>
      <c r="F183" s="3"/>
      <c r="G183" s="3"/>
      <c r="H183" s="3"/>
      <c r="I183" s="3"/>
      <c r="J183" s="3"/>
      <c r="K183" s="95">
        <v>0</v>
      </c>
      <c r="L183" s="3"/>
      <c r="M183" s="3"/>
      <c r="N183" s="4"/>
      <c r="O183" s="15"/>
      <c r="P183" s="101"/>
      <c r="Q183" s="101"/>
      <c r="R183" s="128"/>
    </row>
    <row r="184" spans="2:18" ht="19.5" thickTop="1" thickBot="1" x14ac:dyDescent="0.3">
      <c r="B184" s="118"/>
      <c r="C184" s="107"/>
      <c r="D184" s="101"/>
      <c r="E184" s="17" t="s">
        <v>4</v>
      </c>
      <c r="F184" s="18">
        <f t="shared" ref="F184:M184" si="70">IF(F183&lt;30,F182,F182+F183)</f>
        <v>0</v>
      </c>
      <c r="G184" s="18">
        <f t="shared" si="70"/>
        <v>20</v>
      </c>
      <c r="H184" s="18">
        <f t="shared" si="70"/>
        <v>0</v>
      </c>
      <c r="I184" s="18">
        <f t="shared" si="70"/>
        <v>0</v>
      </c>
      <c r="J184" s="18">
        <f t="shared" si="70"/>
        <v>21</v>
      </c>
      <c r="K184" s="95">
        <f t="shared" si="70"/>
        <v>22</v>
      </c>
      <c r="L184" s="18">
        <f t="shared" si="70"/>
        <v>32</v>
      </c>
      <c r="M184" s="18">
        <f t="shared" si="70"/>
        <v>13</v>
      </c>
      <c r="N184" s="19"/>
      <c r="O184" s="20"/>
      <c r="P184" s="101"/>
      <c r="Q184" s="101"/>
      <c r="R184" s="128"/>
    </row>
    <row r="185" spans="2:18" ht="37.5" thickTop="1" thickBot="1" x14ac:dyDescent="0.3">
      <c r="B185" s="118"/>
      <c r="C185" s="108"/>
      <c r="D185" s="102"/>
      <c r="E185" s="11" t="s">
        <v>6</v>
      </c>
      <c r="F185" s="12">
        <f t="shared" ref="F185:M185" si="71">SUM(F181*F184)</f>
        <v>0</v>
      </c>
      <c r="G185" s="12">
        <f t="shared" si="71"/>
        <v>60</v>
      </c>
      <c r="H185" s="12">
        <f t="shared" si="71"/>
        <v>0</v>
      </c>
      <c r="I185" s="12">
        <f t="shared" si="71"/>
        <v>0</v>
      </c>
      <c r="J185" s="12">
        <f t="shared" si="71"/>
        <v>63</v>
      </c>
      <c r="K185" s="12">
        <f t="shared" si="71"/>
        <v>66</v>
      </c>
      <c r="L185" s="12">
        <f t="shared" si="71"/>
        <v>96</v>
      </c>
      <c r="M185" s="12">
        <f t="shared" si="71"/>
        <v>39</v>
      </c>
      <c r="N185" s="13">
        <f>SUM(F185:M185)</f>
        <v>324</v>
      </c>
      <c r="O185" s="16">
        <f>SUM(N185/N181)</f>
        <v>21.6</v>
      </c>
      <c r="P185" s="102"/>
      <c r="Q185" s="102"/>
      <c r="R185" s="129"/>
    </row>
    <row r="186" spans="2:18" ht="20.25" thickTop="1" thickBot="1" x14ac:dyDescent="0.35">
      <c r="B186" s="125">
        <v>-37</v>
      </c>
      <c r="C186" s="106" t="s">
        <v>104</v>
      </c>
      <c r="D186" s="101" t="s">
        <v>273</v>
      </c>
      <c r="E186" s="14" t="s">
        <v>5</v>
      </c>
      <c r="F186" s="57">
        <f>IF(IF(F189=0,0,3),3,0)</f>
        <v>0</v>
      </c>
      <c r="G186" s="57">
        <f>IF(IF(G189=0,0,3),3,0)</f>
        <v>3</v>
      </c>
      <c r="H186" s="57">
        <f>IF(IF(H189=0,0,2),2,0)</f>
        <v>0</v>
      </c>
      <c r="I186" s="57">
        <f>IF(IF(I189=0,0,2),2,0)</f>
        <v>0</v>
      </c>
      <c r="J186" s="57">
        <f>IF(IF(J189=0,0,3),3,0)</f>
        <v>3</v>
      </c>
      <c r="K186" s="57">
        <f>IF(IF(K189=0,0,3),3,0)</f>
        <v>3</v>
      </c>
      <c r="L186" s="57">
        <f>IF(IF(L189=0,0,3),3,0)</f>
        <v>3</v>
      </c>
      <c r="M186" s="57">
        <f>IF(IF(M189=0,0,3),3,0)</f>
        <v>3</v>
      </c>
      <c r="N186" s="57">
        <f>SUM(F186:M186)</f>
        <v>15</v>
      </c>
      <c r="O186" s="58"/>
      <c r="P186" s="113"/>
      <c r="Q186" s="113"/>
      <c r="R186" s="127"/>
    </row>
    <row r="187" spans="2:18" ht="19.5" thickTop="1" thickBot="1" x14ac:dyDescent="0.3">
      <c r="B187" s="118"/>
      <c r="C187" s="107"/>
      <c r="D187" s="101"/>
      <c r="E187" s="2" t="s">
        <v>216</v>
      </c>
      <c r="F187" s="6"/>
      <c r="G187" s="6">
        <v>33</v>
      </c>
      <c r="H187" s="6"/>
      <c r="I187" s="7"/>
      <c r="J187" s="7">
        <v>40</v>
      </c>
      <c r="K187" s="7">
        <v>25</v>
      </c>
      <c r="L187" s="7">
        <v>36</v>
      </c>
      <c r="M187" s="7">
        <v>30</v>
      </c>
      <c r="N187" s="4"/>
      <c r="O187" s="15"/>
      <c r="P187" s="101"/>
      <c r="Q187" s="101"/>
      <c r="R187" s="128"/>
    </row>
    <row r="188" spans="2:18" ht="19.5" thickTop="1" thickBot="1" x14ac:dyDescent="0.3">
      <c r="B188" s="118"/>
      <c r="C188" s="107"/>
      <c r="D188" s="101"/>
      <c r="E188" s="1" t="s">
        <v>3</v>
      </c>
      <c r="F188" s="3"/>
      <c r="G188" s="3"/>
      <c r="H188" s="3"/>
      <c r="I188" s="3"/>
      <c r="J188" s="3"/>
      <c r="K188" s="93">
        <v>25</v>
      </c>
      <c r="L188" s="3"/>
      <c r="M188" s="3"/>
      <c r="N188" s="4"/>
      <c r="O188" s="15"/>
      <c r="P188" s="101"/>
      <c r="Q188" s="101"/>
      <c r="R188" s="128"/>
    </row>
    <row r="189" spans="2:18" ht="19.5" thickTop="1" thickBot="1" x14ac:dyDescent="0.3">
      <c r="B189" s="118"/>
      <c r="C189" s="107"/>
      <c r="D189" s="101"/>
      <c r="E189" s="17" t="s">
        <v>4</v>
      </c>
      <c r="F189" s="18">
        <f t="shared" ref="F189:M189" si="72">IF(F188&lt;30,F187,F187+F188)</f>
        <v>0</v>
      </c>
      <c r="G189" s="18">
        <f t="shared" si="72"/>
        <v>33</v>
      </c>
      <c r="H189" s="18">
        <f t="shared" si="72"/>
        <v>0</v>
      </c>
      <c r="I189" s="18">
        <f t="shared" si="72"/>
        <v>0</v>
      </c>
      <c r="J189" s="18">
        <f t="shared" si="72"/>
        <v>40</v>
      </c>
      <c r="K189" s="18">
        <f t="shared" si="72"/>
        <v>25</v>
      </c>
      <c r="L189" s="18">
        <f t="shared" si="72"/>
        <v>36</v>
      </c>
      <c r="M189" s="18">
        <f t="shared" si="72"/>
        <v>30</v>
      </c>
      <c r="N189" s="19"/>
      <c r="O189" s="20"/>
      <c r="P189" s="101"/>
      <c r="Q189" s="101"/>
      <c r="R189" s="128"/>
    </row>
    <row r="190" spans="2:18" ht="37.5" thickTop="1" thickBot="1" x14ac:dyDescent="0.3">
      <c r="B190" s="124"/>
      <c r="C190" s="108"/>
      <c r="D190" s="102"/>
      <c r="E190" s="11" t="s">
        <v>6</v>
      </c>
      <c r="F190" s="12">
        <f t="shared" ref="F190:M190" si="73">SUM(F186*F189)</f>
        <v>0</v>
      </c>
      <c r="G190" s="12">
        <f t="shared" si="73"/>
        <v>99</v>
      </c>
      <c r="H190" s="12">
        <f t="shared" si="73"/>
        <v>0</v>
      </c>
      <c r="I190" s="12">
        <f t="shared" si="73"/>
        <v>0</v>
      </c>
      <c r="J190" s="12">
        <f t="shared" si="73"/>
        <v>120</v>
      </c>
      <c r="K190" s="12">
        <f t="shared" si="73"/>
        <v>75</v>
      </c>
      <c r="L190" s="12">
        <f t="shared" si="73"/>
        <v>108</v>
      </c>
      <c r="M190" s="12">
        <f t="shared" si="73"/>
        <v>90</v>
      </c>
      <c r="N190" s="13">
        <f>SUM(F190:M190)</f>
        <v>492</v>
      </c>
      <c r="O190" s="16">
        <f>SUM(N190/N186)</f>
        <v>32.799999999999997</v>
      </c>
      <c r="P190" s="102"/>
      <c r="Q190" s="102"/>
      <c r="R190" s="129"/>
    </row>
    <row r="191" spans="2:18" ht="20.25" thickTop="1" thickBot="1" x14ac:dyDescent="0.35">
      <c r="B191" s="125">
        <v>-38</v>
      </c>
      <c r="C191" s="106" t="s">
        <v>105</v>
      </c>
      <c r="D191" s="101" t="s">
        <v>274</v>
      </c>
      <c r="E191" s="14" t="s">
        <v>5</v>
      </c>
      <c r="F191" s="57">
        <f>IF(IF(F194=0,0,3),3,0)</f>
        <v>0</v>
      </c>
      <c r="G191" s="57">
        <f>IF(IF(G194=0,0,3),3,0)</f>
        <v>3</v>
      </c>
      <c r="H191" s="57">
        <f>IF(IF(H194=0,0,2),2,0)</f>
        <v>0</v>
      </c>
      <c r="I191" s="57">
        <f>IF(IF(I194=0,0,2),2,0)</f>
        <v>0</v>
      </c>
      <c r="J191" s="57">
        <f>IF(IF(J194=0,0,3),3,0)</f>
        <v>3</v>
      </c>
      <c r="K191" s="57">
        <f>IF(IF(K194=0,0,3),3,0)</f>
        <v>3</v>
      </c>
      <c r="L191" s="57">
        <f>IF(IF(L194=0,0,3),3,0)</f>
        <v>3</v>
      </c>
      <c r="M191" s="57">
        <f>IF(IF(M194=0,0,3),3,0)</f>
        <v>3</v>
      </c>
      <c r="N191" s="57">
        <f>SUM(F191:M191)</f>
        <v>15</v>
      </c>
      <c r="O191" s="58"/>
      <c r="P191" s="113"/>
      <c r="Q191" s="113"/>
      <c r="R191" s="127"/>
    </row>
    <row r="192" spans="2:18" ht="19.5" thickTop="1" thickBot="1" x14ac:dyDescent="0.3">
      <c r="B192" s="118"/>
      <c r="C192" s="107"/>
      <c r="D192" s="101"/>
      <c r="E192" s="2" t="s">
        <v>216</v>
      </c>
      <c r="F192" s="6"/>
      <c r="G192" s="6">
        <v>23</v>
      </c>
      <c r="H192" s="6"/>
      <c r="I192" s="7"/>
      <c r="J192" s="7">
        <v>18</v>
      </c>
      <c r="K192" s="94">
        <v>10</v>
      </c>
      <c r="L192" s="7">
        <v>35</v>
      </c>
      <c r="M192" s="7">
        <v>30</v>
      </c>
      <c r="N192" s="4"/>
      <c r="O192" s="15"/>
      <c r="P192" s="101"/>
      <c r="Q192" s="101"/>
      <c r="R192" s="128"/>
    </row>
    <row r="193" spans="2:18" ht="19.5" thickTop="1" thickBot="1" x14ac:dyDescent="0.3">
      <c r="B193" s="118"/>
      <c r="C193" s="107"/>
      <c r="D193" s="101"/>
      <c r="E193" s="1" t="s">
        <v>3</v>
      </c>
      <c r="F193" s="3"/>
      <c r="G193" s="3"/>
      <c r="H193" s="3"/>
      <c r="I193" s="3"/>
      <c r="J193" s="3"/>
      <c r="K193" s="95">
        <v>0</v>
      </c>
      <c r="L193" s="3"/>
      <c r="M193" s="3"/>
      <c r="N193" s="4"/>
      <c r="O193" s="15"/>
      <c r="P193" s="101"/>
      <c r="Q193" s="101"/>
      <c r="R193" s="128"/>
    </row>
    <row r="194" spans="2:18" ht="19.5" thickTop="1" thickBot="1" x14ac:dyDescent="0.3">
      <c r="B194" s="118"/>
      <c r="C194" s="107"/>
      <c r="D194" s="101"/>
      <c r="E194" s="17" t="s">
        <v>4</v>
      </c>
      <c r="F194" s="18">
        <f t="shared" ref="F194:M194" si="74">IF(F193&lt;30,F192,F192+F193)</f>
        <v>0</v>
      </c>
      <c r="G194" s="18">
        <f t="shared" si="74"/>
        <v>23</v>
      </c>
      <c r="H194" s="18">
        <f t="shared" si="74"/>
        <v>0</v>
      </c>
      <c r="I194" s="18">
        <f t="shared" si="74"/>
        <v>0</v>
      </c>
      <c r="J194" s="18">
        <f t="shared" si="74"/>
        <v>18</v>
      </c>
      <c r="K194" s="95">
        <f t="shared" si="74"/>
        <v>10</v>
      </c>
      <c r="L194" s="18">
        <f t="shared" si="74"/>
        <v>35</v>
      </c>
      <c r="M194" s="18">
        <f t="shared" si="74"/>
        <v>30</v>
      </c>
      <c r="N194" s="19"/>
      <c r="O194" s="20"/>
      <c r="P194" s="101"/>
      <c r="Q194" s="101"/>
      <c r="R194" s="128"/>
    </row>
    <row r="195" spans="2:18" ht="37.5" thickTop="1" thickBot="1" x14ac:dyDescent="0.3">
      <c r="B195" s="124"/>
      <c r="C195" s="108"/>
      <c r="D195" s="102"/>
      <c r="E195" s="8" t="s">
        <v>6</v>
      </c>
      <c r="F195" s="12">
        <f t="shared" ref="F195:M195" si="75">SUM(F191*F194)</f>
        <v>0</v>
      </c>
      <c r="G195" s="12">
        <f t="shared" si="75"/>
        <v>69</v>
      </c>
      <c r="H195" s="12">
        <f t="shared" si="75"/>
        <v>0</v>
      </c>
      <c r="I195" s="12">
        <f t="shared" si="75"/>
        <v>0</v>
      </c>
      <c r="J195" s="12">
        <f t="shared" si="75"/>
        <v>54</v>
      </c>
      <c r="K195" s="12">
        <f t="shared" si="75"/>
        <v>30</v>
      </c>
      <c r="L195" s="12">
        <f t="shared" si="75"/>
        <v>105</v>
      </c>
      <c r="M195" s="12">
        <f t="shared" si="75"/>
        <v>90</v>
      </c>
      <c r="N195" s="13">
        <f>SUM(F195:M195)</f>
        <v>348</v>
      </c>
      <c r="O195" s="16">
        <f>SUM(N195/N191)</f>
        <v>23.2</v>
      </c>
      <c r="P195" s="102"/>
      <c r="Q195" s="102"/>
      <c r="R195" s="129"/>
    </row>
    <row r="196" spans="2:18" ht="20.25" thickTop="1" thickBot="1" x14ac:dyDescent="0.35">
      <c r="B196" s="118">
        <v>-39</v>
      </c>
      <c r="C196" s="106" t="s">
        <v>106</v>
      </c>
      <c r="D196" s="101" t="s">
        <v>275</v>
      </c>
      <c r="E196" s="10" t="s">
        <v>5</v>
      </c>
      <c r="F196" s="57">
        <f>IF(IF(F199=0,0,3),3,0)</f>
        <v>0</v>
      </c>
      <c r="G196" s="57">
        <f>IF(IF(G199=0,0,3),3,0)</f>
        <v>3</v>
      </c>
      <c r="H196" s="57">
        <f>IF(IF(H199=0,0,2),2,0)</f>
        <v>0</v>
      </c>
      <c r="I196" s="57">
        <f>IF(IF(I199=0,0,2),2,0)</f>
        <v>0</v>
      </c>
      <c r="J196" s="57">
        <f>IF(IF(J199=0,0,3),3,0)</f>
        <v>3</v>
      </c>
      <c r="K196" s="57">
        <f>IF(IF(K199=0,0,3),3,0)</f>
        <v>3</v>
      </c>
      <c r="L196" s="57">
        <f>IF(IF(L199=0,0,3),3,0)</f>
        <v>3</v>
      </c>
      <c r="M196" s="57">
        <f>IF(IF(M199=0,0,3),3,0)</f>
        <v>3</v>
      </c>
      <c r="N196" s="57">
        <f>SUM(F196:M196)</f>
        <v>15</v>
      </c>
      <c r="O196" s="58"/>
      <c r="P196" s="113"/>
      <c r="Q196" s="113"/>
      <c r="R196" s="127"/>
    </row>
    <row r="197" spans="2:18" ht="19.5" thickTop="1" thickBot="1" x14ac:dyDescent="0.3">
      <c r="B197" s="118"/>
      <c r="C197" s="107"/>
      <c r="D197" s="101"/>
      <c r="E197" s="2" t="s">
        <v>216</v>
      </c>
      <c r="F197" s="6"/>
      <c r="G197" s="6">
        <v>25</v>
      </c>
      <c r="H197" s="6"/>
      <c r="I197" s="7"/>
      <c r="J197" s="7">
        <v>25</v>
      </c>
      <c r="K197" s="7">
        <v>40</v>
      </c>
      <c r="L197" s="7">
        <v>38</v>
      </c>
      <c r="M197" s="7">
        <v>30</v>
      </c>
      <c r="N197" s="4"/>
      <c r="O197" s="15"/>
      <c r="P197" s="101"/>
      <c r="Q197" s="101"/>
      <c r="R197" s="128"/>
    </row>
    <row r="198" spans="2:18" ht="19.5" thickTop="1" thickBot="1" x14ac:dyDescent="0.3">
      <c r="B198" s="118"/>
      <c r="C198" s="107"/>
      <c r="D198" s="101"/>
      <c r="E198" s="1" t="s">
        <v>3</v>
      </c>
      <c r="F198" s="3"/>
      <c r="G198" s="3"/>
      <c r="H198" s="3"/>
      <c r="I198" s="3"/>
      <c r="J198" s="3"/>
      <c r="K198" s="3">
        <v>58</v>
      </c>
      <c r="L198" s="3"/>
      <c r="M198" s="3"/>
      <c r="N198" s="4"/>
      <c r="O198" s="15"/>
      <c r="P198" s="101"/>
      <c r="Q198" s="101"/>
      <c r="R198" s="128"/>
    </row>
    <row r="199" spans="2:18" ht="19.5" thickTop="1" thickBot="1" x14ac:dyDescent="0.3">
      <c r="B199" s="118"/>
      <c r="C199" s="107"/>
      <c r="D199" s="101"/>
      <c r="E199" s="17" t="s">
        <v>4</v>
      </c>
      <c r="F199" s="18">
        <f t="shared" ref="F199:M199" si="76">IF(F198&lt;30,F197,F197+F198)</f>
        <v>0</v>
      </c>
      <c r="G199" s="18">
        <f t="shared" si="76"/>
        <v>25</v>
      </c>
      <c r="H199" s="18">
        <f t="shared" si="76"/>
        <v>0</v>
      </c>
      <c r="I199" s="18">
        <f t="shared" si="76"/>
        <v>0</v>
      </c>
      <c r="J199" s="18">
        <f t="shared" si="76"/>
        <v>25</v>
      </c>
      <c r="K199" s="18">
        <f t="shared" si="76"/>
        <v>98</v>
      </c>
      <c r="L199" s="18">
        <f t="shared" si="76"/>
        <v>38</v>
      </c>
      <c r="M199" s="18">
        <f t="shared" si="76"/>
        <v>30</v>
      </c>
      <c r="N199" s="19"/>
      <c r="O199" s="20"/>
      <c r="P199" s="101"/>
      <c r="Q199" s="101"/>
      <c r="R199" s="128"/>
    </row>
    <row r="200" spans="2:18" ht="37.5" thickTop="1" thickBot="1" x14ac:dyDescent="0.3">
      <c r="B200" s="124"/>
      <c r="C200" s="108"/>
      <c r="D200" s="102"/>
      <c r="E200" s="8" t="s">
        <v>6</v>
      </c>
      <c r="F200" s="12">
        <f t="shared" ref="F200:M200" si="77">SUM(F196*F199)</f>
        <v>0</v>
      </c>
      <c r="G200" s="12">
        <f t="shared" si="77"/>
        <v>75</v>
      </c>
      <c r="H200" s="12">
        <f t="shared" si="77"/>
        <v>0</v>
      </c>
      <c r="I200" s="12">
        <f t="shared" si="77"/>
        <v>0</v>
      </c>
      <c r="J200" s="12">
        <f t="shared" si="77"/>
        <v>75</v>
      </c>
      <c r="K200" s="12">
        <f t="shared" si="77"/>
        <v>294</v>
      </c>
      <c r="L200" s="12">
        <f t="shared" si="77"/>
        <v>114</v>
      </c>
      <c r="M200" s="12">
        <f t="shared" si="77"/>
        <v>90</v>
      </c>
      <c r="N200" s="13">
        <f>SUM(F200:M200)</f>
        <v>648</v>
      </c>
      <c r="O200" s="16">
        <f>SUM(N200/N196)</f>
        <v>43.2</v>
      </c>
      <c r="P200" s="102"/>
      <c r="Q200" s="102"/>
      <c r="R200" s="129"/>
    </row>
    <row r="201" spans="2:18" ht="20.25" thickTop="1" thickBot="1" x14ac:dyDescent="0.35">
      <c r="B201" s="125">
        <v>-40</v>
      </c>
      <c r="C201" s="106" t="s">
        <v>107</v>
      </c>
      <c r="D201" s="112" t="s">
        <v>276</v>
      </c>
      <c r="E201" s="10" t="s">
        <v>5</v>
      </c>
      <c r="F201" s="57">
        <f>IF(IF(F204=0,0,3),3,0)</f>
        <v>0</v>
      </c>
      <c r="G201" s="57">
        <f>IF(IF(G204=0,0,3),3,0)</f>
        <v>3</v>
      </c>
      <c r="H201" s="57">
        <f>IF(IF(H204=0,0,2),2,0)</f>
        <v>0</v>
      </c>
      <c r="I201" s="57">
        <f>IF(IF(I204=0,0,2),2,0)</f>
        <v>0</v>
      </c>
      <c r="J201" s="57">
        <f>IF(IF(J204=0,0,3),3,0)</f>
        <v>3</v>
      </c>
      <c r="K201" s="57">
        <f>IF(IF(K204=0,0,3),3,0)</f>
        <v>3</v>
      </c>
      <c r="L201" s="57">
        <f>IF(IF(L204=0,0,3),3,0)</f>
        <v>3</v>
      </c>
      <c r="M201" s="57">
        <f>IF(IF(M204=0,0,3),3,0)</f>
        <v>3</v>
      </c>
      <c r="N201" s="57">
        <f>SUM(F201:M201)</f>
        <v>15</v>
      </c>
      <c r="O201" s="58"/>
      <c r="P201" s="113"/>
      <c r="Q201" s="113"/>
      <c r="R201" s="127"/>
    </row>
    <row r="202" spans="2:18" ht="19.5" thickTop="1" thickBot="1" x14ac:dyDescent="0.3">
      <c r="B202" s="118"/>
      <c r="C202" s="107"/>
      <c r="D202" s="101"/>
      <c r="E202" s="2" t="s">
        <v>216</v>
      </c>
      <c r="F202" s="6"/>
      <c r="G202" s="6">
        <v>20</v>
      </c>
      <c r="H202" s="6"/>
      <c r="I202" s="7"/>
      <c r="J202" s="7">
        <v>30</v>
      </c>
      <c r="K202" s="7">
        <v>34</v>
      </c>
      <c r="L202" s="7">
        <v>36</v>
      </c>
      <c r="M202" s="7">
        <v>25</v>
      </c>
      <c r="N202" s="4"/>
      <c r="O202" s="15"/>
      <c r="P202" s="101"/>
      <c r="Q202" s="101"/>
      <c r="R202" s="128"/>
    </row>
    <row r="203" spans="2:18" ht="19.5" thickTop="1" thickBot="1" x14ac:dyDescent="0.3">
      <c r="B203" s="118"/>
      <c r="C203" s="107"/>
      <c r="D203" s="101"/>
      <c r="E203" s="1" t="s">
        <v>3</v>
      </c>
      <c r="F203" s="3"/>
      <c r="G203" s="3"/>
      <c r="H203" s="3"/>
      <c r="I203" s="3"/>
      <c r="J203" s="3"/>
      <c r="K203" s="3">
        <v>37</v>
      </c>
      <c r="L203" s="3"/>
      <c r="M203" s="3"/>
      <c r="N203" s="4"/>
      <c r="O203" s="15"/>
      <c r="P203" s="101"/>
      <c r="Q203" s="101"/>
      <c r="R203" s="128"/>
    </row>
    <row r="204" spans="2:18" ht="19.5" thickTop="1" thickBot="1" x14ac:dyDescent="0.3">
      <c r="B204" s="118"/>
      <c r="C204" s="107"/>
      <c r="D204" s="101"/>
      <c r="E204" s="17" t="s">
        <v>4</v>
      </c>
      <c r="F204" s="18">
        <f t="shared" ref="F204:M204" si="78">IF(F203&lt;30,F202,F202+F203)</f>
        <v>0</v>
      </c>
      <c r="G204" s="18">
        <f t="shared" si="78"/>
        <v>20</v>
      </c>
      <c r="H204" s="18">
        <f t="shared" si="78"/>
        <v>0</v>
      </c>
      <c r="I204" s="18">
        <f t="shared" si="78"/>
        <v>0</v>
      </c>
      <c r="J204" s="18">
        <f t="shared" si="78"/>
        <v>30</v>
      </c>
      <c r="K204" s="18">
        <f t="shared" si="78"/>
        <v>71</v>
      </c>
      <c r="L204" s="18">
        <f t="shared" si="78"/>
        <v>36</v>
      </c>
      <c r="M204" s="18">
        <f t="shared" si="78"/>
        <v>25</v>
      </c>
      <c r="N204" s="19"/>
      <c r="O204" s="20"/>
      <c r="P204" s="101"/>
      <c r="Q204" s="101"/>
      <c r="R204" s="128"/>
    </row>
    <row r="205" spans="2:18" ht="37.5" thickTop="1" thickBot="1" x14ac:dyDescent="0.3">
      <c r="B205" s="124"/>
      <c r="C205" s="108"/>
      <c r="D205" s="102"/>
      <c r="E205" s="8" t="s">
        <v>6</v>
      </c>
      <c r="F205" s="12">
        <f t="shared" ref="F205:M205" si="79">SUM(F201*F204)</f>
        <v>0</v>
      </c>
      <c r="G205" s="12">
        <f t="shared" si="79"/>
        <v>60</v>
      </c>
      <c r="H205" s="12">
        <f t="shared" si="79"/>
        <v>0</v>
      </c>
      <c r="I205" s="12">
        <f t="shared" si="79"/>
        <v>0</v>
      </c>
      <c r="J205" s="12">
        <f t="shared" si="79"/>
        <v>90</v>
      </c>
      <c r="K205" s="12">
        <f t="shared" si="79"/>
        <v>213</v>
      </c>
      <c r="L205" s="12">
        <f t="shared" si="79"/>
        <v>108</v>
      </c>
      <c r="M205" s="12">
        <f t="shared" si="79"/>
        <v>75</v>
      </c>
      <c r="N205" s="13">
        <f>SUM(F205:M205)</f>
        <v>546</v>
      </c>
      <c r="O205" s="16">
        <f>SUM(N205/N201)</f>
        <v>36.4</v>
      </c>
      <c r="P205" s="102"/>
      <c r="Q205" s="102"/>
      <c r="R205" s="129"/>
    </row>
    <row r="206" spans="2:18" ht="20.25" thickTop="1" thickBot="1" x14ac:dyDescent="0.35">
      <c r="B206" s="125">
        <v>-41</v>
      </c>
      <c r="C206" s="106" t="s">
        <v>108</v>
      </c>
      <c r="D206" s="112" t="s">
        <v>277</v>
      </c>
      <c r="E206" s="10" t="s">
        <v>5</v>
      </c>
      <c r="F206" s="57">
        <f>IF(IF(F209=0,0,3),3,0)</f>
        <v>0</v>
      </c>
      <c r="G206" s="57">
        <f>IF(IF(G209=0,0,3),3,0)</f>
        <v>3</v>
      </c>
      <c r="H206" s="57">
        <f>IF(IF(H209=0,0,2),2,0)</f>
        <v>0</v>
      </c>
      <c r="I206" s="57">
        <f>IF(IF(I209=0,0,2),2,0)</f>
        <v>0</v>
      </c>
      <c r="J206" s="57">
        <f>IF(IF(J209=0,0,3),3,0)</f>
        <v>3</v>
      </c>
      <c r="K206" s="57">
        <f>IF(IF(K209=0,0,3),3,0)</f>
        <v>3</v>
      </c>
      <c r="L206" s="57">
        <f>IF(IF(L209=0,0,3),3,0)</f>
        <v>3</v>
      </c>
      <c r="M206" s="57">
        <f>IF(IF(M209=0,0,3),3,0)</f>
        <v>3</v>
      </c>
      <c r="N206" s="57">
        <f>SUM(F206:M206)</f>
        <v>15</v>
      </c>
      <c r="O206" s="58"/>
      <c r="P206" s="113"/>
      <c r="Q206" s="113"/>
      <c r="R206" s="127"/>
    </row>
    <row r="207" spans="2:18" ht="19.5" thickTop="1" thickBot="1" x14ac:dyDescent="0.3">
      <c r="B207" s="118"/>
      <c r="C207" s="107"/>
      <c r="D207" s="101"/>
      <c r="E207" s="2" t="s">
        <v>216</v>
      </c>
      <c r="F207" s="6"/>
      <c r="G207" s="6">
        <v>20</v>
      </c>
      <c r="H207" s="6"/>
      <c r="I207" s="7"/>
      <c r="J207" s="7">
        <v>11</v>
      </c>
      <c r="K207" s="94">
        <v>10</v>
      </c>
      <c r="L207" s="7">
        <v>35</v>
      </c>
      <c r="M207" s="7">
        <v>23</v>
      </c>
      <c r="N207" s="4"/>
      <c r="O207" s="15"/>
      <c r="P207" s="101"/>
      <c r="Q207" s="101"/>
      <c r="R207" s="128"/>
    </row>
    <row r="208" spans="2:18" ht="19.5" thickTop="1" thickBot="1" x14ac:dyDescent="0.3">
      <c r="B208" s="118"/>
      <c r="C208" s="107"/>
      <c r="D208" s="101"/>
      <c r="E208" s="1" t="s">
        <v>3</v>
      </c>
      <c r="F208" s="3"/>
      <c r="G208" s="3"/>
      <c r="H208" s="3"/>
      <c r="I208" s="3"/>
      <c r="J208" s="3"/>
      <c r="K208" s="95">
        <v>13</v>
      </c>
      <c r="L208" s="3"/>
      <c r="M208" s="3"/>
      <c r="N208" s="4"/>
      <c r="O208" s="15"/>
      <c r="P208" s="101"/>
      <c r="Q208" s="101"/>
      <c r="R208" s="128"/>
    </row>
    <row r="209" spans="2:18" ht="19.5" thickTop="1" thickBot="1" x14ac:dyDescent="0.3">
      <c r="B209" s="118"/>
      <c r="C209" s="107"/>
      <c r="D209" s="101"/>
      <c r="E209" s="17" t="s">
        <v>4</v>
      </c>
      <c r="F209" s="18">
        <f t="shared" ref="F209:M209" si="80">IF(F208&lt;30,F207,F207+F208)</f>
        <v>0</v>
      </c>
      <c r="G209" s="18">
        <f t="shared" si="80"/>
        <v>20</v>
      </c>
      <c r="H209" s="18">
        <f t="shared" si="80"/>
        <v>0</v>
      </c>
      <c r="I209" s="18">
        <f t="shared" si="80"/>
        <v>0</v>
      </c>
      <c r="J209" s="18">
        <f t="shared" si="80"/>
        <v>11</v>
      </c>
      <c r="K209" s="95">
        <f t="shared" si="80"/>
        <v>10</v>
      </c>
      <c r="L209" s="18">
        <f t="shared" si="80"/>
        <v>35</v>
      </c>
      <c r="M209" s="18">
        <f t="shared" si="80"/>
        <v>23</v>
      </c>
      <c r="N209" s="19"/>
      <c r="O209" s="20"/>
      <c r="P209" s="101"/>
      <c r="Q209" s="101"/>
      <c r="R209" s="128"/>
    </row>
    <row r="210" spans="2:18" ht="37.5" thickTop="1" thickBot="1" x14ac:dyDescent="0.3">
      <c r="B210" s="124"/>
      <c r="C210" s="108"/>
      <c r="D210" s="102"/>
      <c r="E210" s="11" t="s">
        <v>6</v>
      </c>
      <c r="F210" s="12">
        <f t="shared" ref="F210:M210" si="81">SUM(F206*F209)</f>
        <v>0</v>
      </c>
      <c r="G210" s="12">
        <f t="shared" si="81"/>
        <v>60</v>
      </c>
      <c r="H210" s="12">
        <f t="shared" si="81"/>
        <v>0</v>
      </c>
      <c r="I210" s="12">
        <f t="shared" si="81"/>
        <v>0</v>
      </c>
      <c r="J210" s="12">
        <f t="shared" si="81"/>
        <v>33</v>
      </c>
      <c r="K210" s="12">
        <f t="shared" si="81"/>
        <v>30</v>
      </c>
      <c r="L210" s="12">
        <f t="shared" si="81"/>
        <v>105</v>
      </c>
      <c r="M210" s="12">
        <f t="shared" si="81"/>
        <v>69</v>
      </c>
      <c r="N210" s="13">
        <f>SUM(F210:M210)</f>
        <v>297</v>
      </c>
      <c r="O210" s="16">
        <f>SUM(N210/N206)</f>
        <v>19.8</v>
      </c>
      <c r="P210" s="102"/>
      <c r="Q210" s="102"/>
      <c r="R210" s="129"/>
    </row>
    <row r="211" spans="2:18" ht="20.25" thickTop="1" thickBot="1" x14ac:dyDescent="0.35">
      <c r="B211" s="118">
        <v>-42</v>
      </c>
      <c r="C211" s="106" t="s">
        <v>109</v>
      </c>
      <c r="D211" s="112" t="s">
        <v>284</v>
      </c>
      <c r="E211" s="10" t="s">
        <v>5</v>
      </c>
      <c r="F211" s="57">
        <f>IF(IF(F214=0,0,3),3,0)</f>
        <v>0</v>
      </c>
      <c r="G211" s="57">
        <f>IF(IF(G214=0,0,3),3,0)</f>
        <v>3</v>
      </c>
      <c r="H211" s="57">
        <f>IF(IF(H214=0,0,2),2,0)</f>
        <v>0</v>
      </c>
      <c r="I211" s="57">
        <f>IF(IF(I214=0,0,2),2,0)</f>
        <v>0</v>
      </c>
      <c r="J211" s="57">
        <f>IF(IF(J214=0,0,3),3,0)</f>
        <v>3</v>
      </c>
      <c r="K211" s="57">
        <f>IF(IF(K214=0,0,3),3,0)</f>
        <v>3</v>
      </c>
      <c r="L211" s="57">
        <f>IF(IF(L214=0,0,3),3,0)</f>
        <v>3</v>
      </c>
      <c r="M211" s="57">
        <f>IF(IF(M214=0,0,3),3,0)</f>
        <v>3</v>
      </c>
      <c r="N211" s="57">
        <f>SUM(F211:M211)</f>
        <v>15</v>
      </c>
      <c r="O211" s="58"/>
      <c r="P211" s="113"/>
      <c r="Q211" s="113"/>
      <c r="R211" s="127"/>
    </row>
    <row r="212" spans="2:18" ht="19.5" thickTop="1" thickBot="1" x14ac:dyDescent="0.3">
      <c r="B212" s="118"/>
      <c r="C212" s="107"/>
      <c r="D212" s="101"/>
      <c r="E212" s="2" t="s">
        <v>216</v>
      </c>
      <c r="F212" s="6"/>
      <c r="G212" s="6">
        <v>23</v>
      </c>
      <c r="H212" s="6"/>
      <c r="I212" s="7"/>
      <c r="J212" s="7">
        <v>35</v>
      </c>
      <c r="K212" s="7">
        <v>20</v>
      </c>
      <c r="L212" s="7">
        <v>37</v>
      </c>
      <c r="M212" s="7">
        <v>25</v>
      </c>
      <c r="N212" s="4"/>
      <c r="O212" s="15"/>
      <c r="P212" s="101"/>
      <c r="Q212" s="101"/>
      <c r="R212" s="128"/>
    </row>
    <row r="213" spans="2:18" ht="19.5" thickTop="1" thickBot="1" x14ac:dyDescent="0.3">
      <c r="B213" s="118"/>
      <c r="C213" s="107"/>
      <c r="D213" s="101"/>
      <c r="E213" s="1" t="s">
        <v>3</v>
      </c>
      <c r="F213" s="3"/>
      <c r="G213" s="3"/>
      <c r="H213" s="3"/>
      <c r="I213" s="3"/>
      <c r="J213" s="3"/>
      <c r="K213" s="3">
        <v>30</v>
      </c>
      <c r="L213" s="3"/>
      <c r="M213" s="3"/>
      <c r="N213" s="4"/>
      <c r="O213" s="15"/>
      <c r="P213" s="101"/>
      <c r="Q213" s="101"/>
      <c r="R213" s="128"/>
    </row>
    <row r="214" spans="2:18" ht="19.5" thickTop="1" thickBot="1" x14ac:dyDescent="0.3">
      <c r="B214" s="118"/>
      <c r="C214" s="107"/>
      <c r="D214" s="101"/>
      <c r="E214" s="17" t="s">
        <v>4</v>
      </c>
      <c r="F214" s="18">
        <f t="shared" ref="F214:M214" si="82">IF(F213&lt;30,F212,F212+F213)</f>
        <v>0</v>
      </c>
      <c r="G214" s="18">
        <f t="shared" si="82"/>
        <v>23</v>
      </c>
      <c r="H214" s="18">
        <f t="shared" si="82"/>
        <v>0</v>
      </c>
      <c r="I214" s="18">
        <f t="shared" si="82"/>
        <v>0</v>
      </c>
      <c r="J214" s="18">
        <f t="shared" si="82"/>
        <v>35</v>
      </c>
      <c r="K214" s="18">
        <f t="shared" si="82"/>
        <v>50</v>
      </c>
      <c r="L214" s="18">
        <f t="shared" si="82"/>
        <v>37</v>
      </c>
      <c r="M214" s="18">
        <f t="shared" si="82"/>
        <v>25</v>
      </c>
      <c r="N214" s="19"/>
      <c r="O214" s="20"/>
      <c r="P214" s="101"/>
      <c r="Q214" s="101"/>
      <c r="R214" s="128"/>
    </row>
    <row r="215" spans="2:18" ht="37.5" thickTop="1" thickBot="1" x14ac:dyDescent="0.3">
      <c r="B215" s="119"/>
      <c r="C215" s="108"/>
      <c r="D215" s="102"/>
      <c r="E215" s="68" t="s">
        <v>6</v>
      </c>
      <c r="F215" s="12">
        <f t="shared" ref="F215:M215" si="83">SUM(F211*F214)</f>
        <v>0</v>
      </c>
      <c r="G215" s="12">
        <f t="shared" si="83"/>
        <v>69</v>
      </c>
      <c r="H215" s="12">
        <f t="shared" si="83"/>
        <v>0</v>
      </c>
      <c r="I215" s="12">
        <f t="shared" si="83"/>
        <v>0</v>
      </c>
      <c r="J215" s="12">
        <f t="shared" si="83"/>
        <v>105</v>
      </c>
      <c r="K215" s="12">
        <f t="shared" si="83"/>
        <v>150</v>
      </c>
      <c r="L215" s="12">
        <f t="shared" si="83"/>
        <v>111</v>
      </c>
      <c r="M215" s="12">
        <f t="shared" si="83"/>
        <v>75</v>
      </c>
      <c r="N215" s="13">
        <f>SUM(F215:M215)</f>
        <v>510</v>
      </c>
      <c r="O215" s="16">
        <f>SUM(N215/N211)</f>
        <v>34</v>
      </c>
      <c r="P215" s="102"/>
      <c r="Q215" s="102"/>
      <c r="R215" s="129"/>
    </row>
    <row r="216" spans="2:18" ht="20.25" thickTop="1" thickBot="1" x14ac:dyDescent="0.35">
      <c r="B216" s="117">
        <v>-43</v>
      </c>
      <c r="C216" s="106" t="s">
        <v>110</v>
      </c>
      <c r="D216" s="101" t="s">
        <v>285</v>
      </c>
      <c r="E216" s="56" t="s">
        <v>5</v>
      </c>
      <c r="F216" s="57">
        <f>IF(IF(F219=0,0,3),3,0)</f>
        <v>0</v>
      </c>
      <c r="G216" s="57">
        <f>IF(IF(G219=0,0,3),3,0)</f>
        <v>0</v>
      </c>
      <c r="H216" s="57">
        <f>IF(IF(H219=0,0,2),2,0)</f>
        <v>0</v>
      </c>
      <c r="I216" s="57">
        <f>IF(IF(I219=0,0,2),2,0)</f>
        <v>0</v>
      </c>
      <c r="J216" s="57">
        <f>IF(IF(J219=0,0,3),3,0)</f>
        <v>0</v>
      </c>
      <c r="K216" s="57">
        <f>IF(IF(K219=0,0,3),3,0)</f>
        <v>0</v>
      </c>
      <c r="L216" s="57">
        <f>IF(IF(L219=0,0,3),3,0)</f>
        <v>0</v>
      </c>
      <c r="M216" s="57">
        <f>IF(IF(M219=0,0,3),3,0)</f>
        <v>0</v>
      </c>
      <c r="N216" s="57">
        <f>SUM(F216:M216)</f>
        <v>0</v>
      </c>
      <c r="O216" s="58"/>
      <c r="P216" s="113"/>
      <c r="Q216" s="113"/>
      <c r="R216" s="127"/>
    </row>
    <row r="217" spans="2:18" ht="19.5" thickTop="1" thickBot="1" x14ac:dyDescent="0.3">
      <c r="B217" s="118"/>
      <c r="C217" s="107"/>
      <c r="D217" s="101"/>
      <c r="E217" s="5" t="s">
        <v>216</v>
      </c>
      <c r="F217" s="6"/>
      <c r="G217" s="6"/>
      <c r="H217" s="6"/>
      <c r="I217" s="7"/>
      <c r="J217" s="7"/>
      <c r="K217" s="7"/>
      <c r="L217" s="7"/>
      <c r="M217" s="7"/>
      <c r="N217" s="4"/>
      <c r="O217" s="15"/>
      <c r="P217" s="101"/>
      <c r="Q217" s="101"/>
      <c r="R217" s="128"/>
    </row>
    <row r="218" spans="2:18" ht="19.5" thickTop="1" thickBot="1" x14ac:dyDescent="0.3">
      <c r="B218" s="118"/>
      <c r="C218" s="107"/>
      <c r="D218" s="101"/>
      <c r="E218" s="1" t="s">
        <v>3</v>
      </c>
      <c r="F218" s="3"/>
      <c r="G218" s="3"/>
      <c r="H218" s="3"/>
      <c r="I218" s="3"/>
      <c r="J218" s="3"/>
      <c r="K218" s="3"/>
      <c r="L218" s="3"/>
      <c r="M218" s="3"/>
      <c r="N218" s="4"/>
      <c r="O218" s="15"/>
      <c r="P218" s="101"/>
      <c r="Q218" s="101"/>
      <c r="R218" s="128"/>
    </row>
    <row r="219" spans="2:18" ht="19.5" thickTop="1" thickBot="1" x14ac:dyDescent="0.3">
      <c r="B219" s="118"/>
      <c r="C219" s="107"/>
      <c r="D219" s="101"/>
      <c r="E219" s="17" t="s">
        <v>4</v>
      </c>
      <c r="F219" s="18">
        <f t="shared" ref="F219:M219" si="84">IF(F218&lt;30,F217,F217+F218)</f>
        <v>0</v>
      </c>
      <c r="G219" s="18">
        <f t="shared" si="84"/>
        <v>0</v>
      </c>
      <c r="H219" s="18">
        <f t="shared" si="84"/>
        <v>0</v>
      </c>
      <c r="I219" s="18">
        <f t="shared" si="84"/>
        <v>0</v>
      </c>
      <c r="J219" s="18">
        <f t="shared" si="84"/>
        <v>0</v>
      </c>
      <c r="K219" s="18">
        <f t="shared" si="84"/>
        <v>0</v>
      </c>
      <c r="L219" s="18">
        <f t="shared" si="84"/>
        <v>0</v>
      </c>
      <c r="M219" s="18">
        <f t="shared" si="84"/>
        <v>0</v>
      </c>
      <c r="N219" s="19"/>
      <c r="O219" s="20"/>
      <c r="P219" s="101"/>
      <c r="Q219" s="101"/>
      <c r="R219" s="128"/>
    </row>
    <row r="220" spans="2:18" ht="37.5" thickTop="1" thickBot="1" x14ac:dyDescent="0.3">
      <c r="B220" s="124"/>
      <c r="C220" s="108"/>
      <c r="D220" s="102"/>
      <c r="E220" s="11" t="s">
        <v>6</v>
      </c>
      <c r="F220" s="12">
        <f t="shared" ref="F220:M220" si="85">SUM(F216*F219)</f>
        <v>0</v>
      </c>
      <c r="G220" s="12">
        <f t="shared" si="85"/>
        <v>0</v>
      </c>
      <c r="H220" s="12">
        <f t="shared" si="85"/>
        <v>0</v>
      </c>
      <c r="I220" s="12">
        <f t="shared" si="85"/>
        <v>0</v>
      </c>
      <c r="J220" s="12">
        <f t="shared" si="85"/>
        <v>0</v>
      </c>
      <c r="K220" s="12">
        <f t="shared" si="85"/>
        <v>0</v>
      </c>
      <c r="L220" s="12">
        <f t="shared" si="85"/>
        <v>0</v>
      </c>
      <c r="M220" s="12">
        <f t="shared" si="85"/>
        <v>0</v>
      </c>
      <c r="N220" s="13">
        <f>SUM(F220:M220)</f>
        <v>0</v>
      </c>
      <c r="O220" s="16" t="e">
        <f>SUM(N220/N216)</f>
        <v>#DIV/0!</v>
      </c>
      <c r="P220" s="102"/>
      <c r="Q220" s="102"/>
      <c r="R220" s="129"/>
    </row>
    <row r="221" spans="2:18" ht="20.25" thickTop="1" thickBot="1" x14ac:dyDescent="0.35">
      <c r="B221" s="125">
        <v>-44</v>
      </c>
      <c r="C221" s="106" t="s">
        <v>111</v>
      </c>
      <c r="D221" s="101" t="s">
        <v>286</v>
      </c>
      <c r="E221" s="14" t="s">
        <v>5</v>
      </c>
      <c r="F221" s="57">
        <f>IF(IF(F224=0,0,3),3,0)</f>
        <v>0</v>
      </c>
      <c r="G221" s="57">
        <f>IF(IF(G224=0,0,3),3,0)</f>
        <v>3</v>
      </c>
      <c r="H221" s="57">
        <f>IF(IF(H224=0,0,2),2,0)</f>
        <v>0</v>
      </c>
      <c r="I221" s="57">
        <f>IF(IF(I224=0,0,2),2,0)</f>
        <v>0</v>
      </c>
      <c r="J221" s="57">
        <f>IF(IF(J224=0,0,3),3,0)</f>
        <v>3</v>
      </c>
      <c r="K221" s="57">
        <f>IF(IF(K224=0,0,3),3,0)</f>
        <v>3</v>
      </c>
      <c r="L221" s="57">
        <f>IF(IF(L224=0,0,3),3,0)</f>
        <v>3</v>
      </c>
      <c r="M221" s="57">
        <f>IF(IF(M224=0,0,3),3,0)</f>
        <v>3</v>
      </c>
      <c r="N221" s="57">
        <f>SUM(F221:M221)</f>
        <v>15</v>
      </c>
      <c r="O221" s="58"/>
      <c r="P221" s="113"/>
      <c r="Q221" s="113"/>
      <c r="R221" s="127"/>
    </row>
    <row r="222" spans="2:18" ht="19.5" thickTop="1" thickBot="1" x14ac:dyDescent="0.3">
      <c r="B222" s="118"/>
      <c r="C222" s="107"/>
      <c r="D222" s="101"/>
      <c r="E222" s="2" t="s">
        <v>216</v>
      </c>
      <c r="F222" s="6"/>
      <c r="G222" s="6">
        <v>40</v>
      </c>
      <c r="H222" s="6"/>
      <c r="I222" s="7"/>
      <c r="J222" s="7">
        <v>37</v>
      </c>
      <c r="K222" s="7">
        <v>35</v>
      </c>
      <c r="L222" s="7">
        <v>39</v>
      </c>
      <c r="M222" s="7">
        <v>40</v>
      </c>
      <c r="N222" s="4"/>
      <c r="O222" s="15"/>
      <c r="P222" s="101"/>
      <c r="Q222" s="101"/>
      <c r="R222" s="128"/>
    </row>
    <row r="223" spans="2:18" ht="19.5" thickTop="1" thickBot="1" x14ac:dyDescent="0.3">
      <c r="B223" s="118"/>
      <c r="C223" s="107"/>
      <c r="D223" s="101"/>
      <c r="E223" s="1" t="s">
        <v>3</v>
      </c>
      <c r="F223" s="3"/>
      <c r="G223" s="3"/>
      <c r="H223" s="3"/>
      <c r="I223" s="3"/>
      <c r="J223" s="3"/>
      <c r="K223" s="3">
        <v>57</v>
      </c>
      <c r="L223" s="3"/>
      <c r="M223" s="3"/>
      <c r="N223" s="4"/>
      <c r="O223" s="15"/>
      <c r="P223" s="101"/>
      <c r="Q223" s="101"/>
      <c r="R223" s="128"/>
    </row>
    <row r="224" spans="2:18" ht="19.5" thickTop="1" thickBot="1" x14ac:dyDescent="0.3">
      <c r="B224" s="118"/>
      <c r="C224" s="107"/>
      <c r="D224" s="101"/>
      <c r="E224" s="17" t="s">
        <v>4</v>
      </c>
      <c r="F224" s="18">
        <f t="shared" ref="F224:M224" si="86">IF(F223&lt;30,F222,F222+F223)</f>
        <v>0</v>
      </c>
      <c r="G224" s="18">
        <f t="shared" si="86"/>
        <v>40</v>
      </c>
      <c r="H224" s="18">
        <f t="shared" si="86"/>
        <v>0</v>
      </c>
      <c r="I224" s="18">
        <f t="shared" si="86"/>
        <v>0</v>
      </c>
      <c r="J224" s="18">
        <f t="shared" si="86"/>
        <v>37</v>
      </c>
      <c r="K224" s="18">
        <f t="shared" si="86"/>
        <v>92</v>
      </c>
      <c r="L224" s="18">
        <f t="shared" si="86"/>
        <v>39</v>
      </c>
      <c r="M224" s="18">
        <f t="shared" si="86"/>
        <v>40</v>
      </c>
      <c r="N224" s="19"/>
      <c r="O224" s="20"/>
      <c r="P224" s="101"/>
      <c r="Q224" s="101"/>
      <c r="R224" s="128"/>
    </row>
    <row r="225" spans="2:18" ht="37.5" thickTop="1" thickBot="1" x14ac:dyDescent="0.3">
      <c r="B225" s="124"/>
      <c r="C225" s="108"/>
      <c r="D225" s="102"/>
      <c r="E225" s="11" t="s">
        <v>6</v>
      </c>
      <c r="F225" s="12">
        <f t="shared" ref="F225:M225" si="87">SUM(F221*F224)</f>
        <v>0</v>
      </c>
      <c r="G225" s="12">
        <f t="shared" si="87"/>
        <v>120</v>
      </c>
      <c r="H225" s="12">
        <f t="shared" si="87"/>
        <v>0</v>
      </c>
      <c r="I225" s="12">
        <f t="shared" si="87"/>
        <v>0</v>
      </c>
      <c r="J225" s="12">
        <f t="shared" si="87"/>
        <v>111</v>
      </c>
      <c r="K225" s="12">
        <f t="shared" si="87"/>
        <v>276</v>
      </c>
      <c r="L225" s="12">
        <f t="shared" si="87"/>
        <v>117</v>
      </c>
      <c r="M225" s="12">
        <f t="shared" si="87"/>
        <v>120</v>
      </c>
      <c r="N225" s="13">
        <f>SUM(F225:M225)</f>
        <v>744</v>
      </c>
      <c r="O225" s="16">
        <f>SUM(N225/N221)</f>
        <v>49.6</v>
      </c>
      <c r="P225" s="102"/>
      <c r="Q225" s="102"/>
      <c r="R225" s="129"/>
    </row>
    <row r="226" spans="2:18" ht="20.25" thickTop="1" thickBot="1" x14ac:dyDescent="0.35">
      <c r="B226" s="125">
        <v>-45</v>
      </c>
      <c r="C226" s="106" t="s">
        <v>112</v>
      </c>
      <c r="D226" s="101" t="s">
        <v>287</v>
      </c>
      <c r="E226" s="14" t="s">
        <v>5</v>
      </c>
      <c r="F226" s="57">
        <f>IF(IF(F229=0,0,3),3,0)</f>
        <v>0</v>
      </c>
      <c r="G226" s="57">
        <f>IF(IF(G229=0,0,3),3,0)</f>
        <v>3</v>
      </c>
      <c r="H226" s="57">
        <f>IF(IF(H229=0,0,2),2,0)</f>
        <v>0</v>
      </c>
      <c r="I226" s="57">
        <f>IF(IF(I229=0,0,2),2,0)</f>
        <v>0</v>
      </c>
      <c r="J226" s="57">
        <f>IF(IF(J229=0,0,3),3,0)</f>
        <v>3</v>
      </c>
      <c r="K226" s="57">
        <f>IF(IF(K229=0,0,3),3,0)</f>
        <v>3</v>
      </c>
      <c r="L226" s="57">
        <f>IF(IF(L229=0,0,3),3,0)</f>
        <v>3</v>
      </c>
      <c r="M226" s="57">
        <f>IF(IF(M229=0,0,3),3,0)</f>
        <v>3</v>
      </c>
      <c r="N226" s="57">
        <f>SUM(F226:M226)</f>
        <v>15</v>
      </c>
      <c r="O226" s="58"/>
      <c r="P226" s="113"/>
      <c r="Q226" s="113"/>
      <c r="R226" s="127"/>
    </row>
    <row r="227" spans="2:18" ht="19.5" thickTop="1" thickBot="1" x14ac:dyDescent="0.3">
      <c r="B227" s="118"/>
      <c r="C227" s="107"/>
      <c r="D227" s="101"/>
      <c r="E227" s="2" t="s">
        <v>216</v>
      </c>
      <c r="F227" s="6"/>
      <c r="G227" s="6">
        <v>20</v>
      </c>
      <c r="H227" s="6"/>
      <c r="I227" s="7"/>
      <c r="J227" s="7">
        <v>24</v>
      </c>
      <c r="K227" s="94">
        <v>22</v>
      </c>
      <c r="L227" s="7">
        <v>34</v>
      </c>
      <c r="M227" s="7">
        <v>20</v>
      </c>
      <c r="N227" s="4"/>
      <c r="O227" s="15"/>
      <c r="P227" s="101"/>
      <c r="Q227" s="101"/>
      <c r="R227" s="128"/>
    </row>
    <row r="228" spans="2:18" ht="19.5" thickTop="1" thickBot="1" x14ac:dyDescent="0.3">
      <c r="B228" s="118"/>
      <c r="C228" s="107"/>
      <c r="D228" s="101"/>
      <c r="E228" s="1" t="s">
        <v>3</v>
      </c>
      <c r="F228" s="3"/>
      <c r="G228" s="3"/>
      <c r="H228" s="3"/>
      <c r="I228" s="3"/>
      <c r="J228" s="3"/>
      <c r="K228" s="95">
        <v>6</v>
      </c>
      <c r="L228" s="3"/>
      <c r="M228" s="3"/>
      <c r="N228" s="4"/>
      <c r="O228" s="15"/>
      <c r="P228" s="101"/>
      <c r="Q228" s="101"/>
      <c r="R228" s="128"/>
    </row>
    <row r="229" spans="2:18" ht="19.5" thickTop="1" thickBot="1" x14ac:dyDescent="0.3">
      <c r="B229" s="118"/>
      <c r="C229" s="107"/>
      <c r="D229" s="101"/>
      <c r="E229" s="17" t="s">
        <v>4</v>
      </c>
      <c r="F229" s="18">
        <f t="shared" ref="F229:M229" si="88">IF(F228&lt;30,F227,F227+F228)</f>
        <v>0</v>
      </c>
      <c r="G229" s="18">
        <f t="shared" si="88"/>
        <v>20</v>
      </c>
      <c r="H229" s="18">
        <f t="shared" si="88"/>
        <v>0</v>
      </c>
      <c r="I229" s="18">
        <f t="shared" si="88"/>
        <v>0</v>
      </c>
      <c r="J229" s="18">
        <f t="shared" si="88"/>
        <v>24</v>
      </c>
      <c r="K229" s="95">
        <f t="shared" si="88"/>
        <v>22</v>
      </c>
      <c r="L229" s="18">
        <f t="shared" si="88"/>
        <v>34</v>
      </c>
      <c r="M229" s="18">
        <f t="shared" si="88"/>
        <v>20</v>
      </c>
      <c r="N229" s="19"/>
      <c r="O229" s="20"/>
      <c r="P229" s="101"/>
      <c r="Q229" s="101"/>
      <c r="R229" s="128"/>
    </row>
    <row r="230" spans="2:18" ht="37.5" thickTop="1" thickBot="1" x14ac:dyDescent="0.3">
      <c r="B230" s="124"/>
      <c r="C230" s="108"/>
      <c r="D230" s="102"/>
      <c r="E230" s="8" t="s">
        <v>6</v>
      </c>
      <c r="F230" s="12">
        <f t="shared" ref="F230:M230" si="89">SUM(F226*F229)</f>
        <v>0</v>
      </c>
      <c r="G230" s="12">
        <f t="shared" si="89"/>
        <v>60</v>
      </c>
      <c r="H230" s="12">
        <f t="shared" si="89"/>
        <v>0</v>
      </c>
      <c r="I230" s="12">
        <f t="shared" si="89"/>
        <v>0</v>
      </c>
      <c r="J230" s="12">
        <f t="shared" si="89"/>
        <v>72</v>
      </c>
      <c r="K230" s="12">
        <f t="shared" si="89"/>
        <v>66</v>
      </c>
      <c r="L230" s="12">
        <f t="shared" si="89"/>
        <v>102</v>
      </c>
      <c r="M230" s="12">
        <f t="shared" si="89"/>
        <v>60</v>
      </c>
      <c r="N230" s="13">
        <f>SUM(F230:M230)</f>
        <v>360</v>
      </c>
      <c r="O230" s="16">
        <f>SUM(N230/N226)</f>
        <v>24</v>
      </c>
      <c r="P230" s="102"/>
      <c r="Q230" s="102"/>
      <c r="R230" s="129"/>
    </row>
    <row r="231" spans="2:18" ht="20.25" thickTop="1" thickBot="1" x14ac:dyDescent="0.35">
      <c r="B231" s="125">
        <v>-46</v>
      </c>
      <c r="C231" s="106" t="s">
        <v>113</v>
      </c>
      <c r="D231" s="101" t="s">
        <v>283</v>
      </c>
      <c r="E231" s="10" t="s">
        <v>5</v>
      </c>
      <c r="F231" s="57">
        <f>IF(IF(F234=0,0,3),3,0)</f>
        <v>0</v>
      </c>
      <c r="G231" s="57">
        <f>IF(IF(G234=0,0,3),3,0)</f>
        <v>0</v>
      </c>
      <c r="H231" s="57">
        <f>IF(IF(H234=0,0,2),2,0)</f>
        <v>0</v>
      </c>
      <c r="I231" s="57">
        <f>IF(IF(I234=0,0,2),2,0)</f>
        <v>0</v>
      </c>
      <c r="J231" s="57">
        <f>IF(IF(J234=0,0,3),3,0)</f>
        <v>0</v>
      </c>
      <c r="K231" s="57">
        <f>IF(IF(K234=0,0,3),3,0)</f>
        <v>0</v>
      </c>
      <c r="L231" s="57">
        <f>IF(IF(L234=0,0,3),3,0)</f>
        <v>0</v>
      </c>
      <c r="M231" s="57">
        <f>IF(IF(M234=0,0,3),3,0)</f>
        <v>0</v>
      </c>
      <c r="N231" s="57">
        <f>SUM(F231:M231)</f>
        <v>0</v>
      </c>
      <c r="O231" s="58"/>
      <c r="P231" s="113"/>
      <c r="Q231" s="113"/>
      <c r="R231" s="133" t="s">
        <v>101</v>
      </c>
    </row>
    <row r="232" spans="2:18" ht="19.5" thickTop="1" thickBot="1" x14ac:dyDescent="0.3">
      <c r="B232" s="118"/>
      <c r="C232" s="107"/>
      <c r="D232" s="101"/>
      <c r="E232" s="2" t="s">
        <v>216</v>
      </c>
      <c r="F232" s="6"/>
      <c r="G232" s="6"/>
      <c r="H232" s="6"/>
      <c r="I232" s="7"/>
      <c r="J232" s="7"/>
      <c r="K232" s="7"/>
      <c r="L232" s="7"/>
      <c r="M232" s="7"/>
      <c r="N232" s="4"/>
      <c r="O232" s="15"/>
      <c r="P232" s="101"/>
      <c r="Q232" s="101"/>
      <c r="R232" s="134"/>
    </row>
    <row r="233" spans="2:18" ht="19.5" thickTop="1" thickBot="1" x14ac:dyDescent="0.3">
      <c r="B233" s="118"/>
      <c r="C233" s="107"/>
      <c r="D233" s="101"/>
      <c r="E233" s="1" t="s">
        <v>3</v>
      </c>
      <c r="F233" s="3"/>
      <c r="G233" s="3"/>
      <c r="H233" s="3"/>
      <c r="I233" s="3"/>
      <c r="J233" s="3"/>
      <c r="K233" s="3"/>
      <c r="L233" s="3"/>
      <c r="M233" s="3"/>
      <c r="N233" s="4"/>
      <c r="O233" s="15"/>
      <c r="P233" s="101"/>
      <c r="Q233" s="101"/>
      <c r="R233" s="134"/>
    </row>
    <row r="234" spans="2:18" ht="19.5" thickTop="1" thickBot="1" x14ac:dyDescent="0.3">
      <c r="B234" s="118"/>
      <c r="C234" s="107"/>
      <c r="D234" s="101"/>
      <c r="E234" s="17" t="s">
        <v>4</v>
      </c>
      <c r="F234" s="18">
        <f t="shared" ref="F234:M234" si="90">IF(F233&lt;30,F232,F232+F233)</f>
        <v>0</v>
      </c>
      <c r="G234" s="18">
        <f t="shared" si="90"/>
        <v>0</v>
      </c>
      <c r="H234" s="18">
        <f t="shared" si="90"/>
        <v>0</v>
      </c>
      <c r="I234" s="18">
        <f t="shared" si="90"/>
        <v>0</v>
      </c>
      <c r="J234" s="18">
        <f t="shared" si="90"/>
        <v>0</v>
      </c>
      <c r="K234" s="18">
        <f t="shared" si="90"/>
        <v>0</v>
      </c>
      <c r="L234" s="18">
        <f t="shared" si="90"/>
        <v>0</v>
      </c>
      <c r="M234" s="18">
        <f t="shared" si="90"/>
        <v>0</v>
      </c>
      <c r="N234" s="19"/>
      <c r="O234" s="20"/>
      <c r="P234" s="101"/>
      <c r="Q234" s="101"/>
      <c r="R234" s="134"/>
    </row>
    <row r="235" spans="2:18" ht="37.5" thickTop="1" thickBot="1" x14ac:dyDescent="0.3">
      <c r="B235" s="124"/>
      <c r="C235" s="108"/>
      <c r="D235" s="102"/>
      <c r="E235" s="8" t="s">
        <v>6</v>
      </c>
      <c r="F235" s="12">
        <f t="shared" ref="F235:M235" si="91">SUM(F231*F234)</f>
        <v>0</v>
      </c>
      <c r="G235" s="12">
        <f t="shared" si="91"/>
        <v>0</v>
      </c>
      <c r="H235" s="12">
        <f t="shared" si="91"/>
        <v>0</v>
      </c>
      <c r="I235" s="12">
        <f t="shared" si="91"/>
        <v>0</v>
      </c>
      <c r="J235" s="12">
        <f t="shared" si="91"/>
        <v>0</v>
      </c>
      <c r="K235" s="12">
        <f t="shared" si="91"/>
        <v>0</v>
      </c>
      <c r="L235" s="12">
        <f t="shared" si="91"/>
        <v>0</v>
      </c>
      <c r="M235" s="12">
        <f t="shared" si="91"/>
        <v>0</v>
      </c>
      <c r="N235" s="13">
        <f>SUM(F235:M235)</f>
        <v>0</v>
      </c>
      <c r="O235" s="16" t="e">
        <f>SUM(N235/N231)</f>
        <v>#DIV/0!</v>
      </c>
      <c r="P235" s="102"/>
      <c r="Q235" s="102"/>
      <c r="R235" s="137"/>
    </row>
    <row r="236" spans="2:18" ht="20.25" thickTop="1" thickBot="1" x14ac:dyDescent="0.35">
      <c r="B236" s="125">
        <v>-47</v>
      </c>
      <c r="C236" s="106" t="s">
        <v>114</v>
      </c>
      <c r="D236" s="112" t="s">
        <v>282</v>
      </c>
      <c r="E236" s="10" t="s">
        <v>5</v>
      </c>
      <c r="F236" s="57">
        <f>IF(IF(F239=0,0,3),3,0)</f>
        <v>0</v>
      </c>
      <c r="G236" s="57">
        <f>IF(IF(G239=0,0,3),3,0)</f>
        <v>3</v>
      </c>
      <c r="H236" s="57">
        <f>IF(IF(H239=0,0,2),2,0)</f>
        <v>0</v>
      </c>
      <c r="I236" s="57">
        <f>IF(IF(I239=0,0,2),2,0)</f>
        <v>0</v>
      </c>
      <c r="J236" s="57">
        <f>IF(IF(J239=0,0,3),3,0)</f>
        <v>3</v>
      </c>
      <c r="K236" s="57">
        <f>IF(IF(K239=0,0,3),3,0)</f>
        <v>3</v>
      </c>
      <c r="L236" s="57">
        <f>IF(IF(L239=0,0,3),3,0)</f>
        <v>3</v>
      </c>
      <c r="M236" s="57">
        <f>IF(IF(M239=0,0,3),3,0)</f>
        <v>3</v>
      </c>
      <c r="N236" s="57">
        <f>SUM(F236:M236)</f>
        <v>15</v>
      </c>
      <c r="O236" s="58"/>
      <c r="P236" s="113"/>
      <c r="Q236" s="113"/>
      <c r="R236" s="127"/>
    </row>
    <row r="237" spans="2:18" ht="19.5" thickTop="1" thickBot="1" x14ac:dyDescent="0.3">
      <c r="B237" s="118"/>
      <c r="C237" s="107"/>
      <c r="D237" s="101"/>
      <c r="E237" s="2" t="s">
        <v>216</v>
      </c>
      <c r="F237" s="6"/>
      <c r="G237" s="6">
        <v>20</v>
      </c>
      <c r="H237" s="6"/>
      <c r="I237" s="7"/>
      <c r="J237" s="7">
        <v>20</v>
      </c>
      <c r="K237" s="94">
        <v>10</v>
      </c>
      <c r="L237" s="7">
        <v>34</v>
      </c>
      <c r="M237" s="7">
        <v>37</v>
      </c>
      <c r="N237" s="4"/>
      <c r="O237" s="15"/>
      <c r="P237" s="101"/>
      <c r="Q237" s="101"/>
      <c r="R237" s="128"/>
    </row>
    <row r="238" spans="2:18" ht="19.5" thickTop="1" thickBot="1" x14ac:dyDescent="0.3">
      <c r="B238" s="118"/>
      <c r="C238" s="107"/>
      <c r="D238" s="101"/>
      <c r="E238" s="1" t="s">
        <v>3</v>
      </c>
      <c r="F238" s="3"/>
      <c r="G238" s="3"/>
      <c r="H238" s="3"/>
      <c r="I238" s="3"/>
      <c r="J238" s="3"/>
      <c r="K238" s="95">
        <v>0</v>
      </c>
      <c r="L238" s="3"/>
      <c r="M238" s="3"/>
      <c r="N238" s="4"/>
      <c r="O238" s="15"/>
      <c r="P238" s="101"/>
      <c r="Q238" s="101"/>
      <c r="R238" s="128"/>
    </row>
    <row r="239" spans="2:18" ht="19.5" thickTop="1" thickBot="1" x14ac:dyDescent="0.3">
      <c r="B239" s="118"/>
      <c r="C239" s="107"/>
      <c r="D239" s="101"/>
      <c r="E239" s="17" t="s">
        <v>4</v>
      </c>
      <c r="F239" s="18">
        <f t="shared" ref="F239:M239" si="92">IF(F238&lt;30,F237,F237+F238)</f>
        <v>0</v>
      </c>
      <c r="G239" s="18">
        <f t="shared" si="92"/>
        <v>20</v>
      </c>
      <c r="H239" s="18">
        <f t="shared" si="92"/>
        <v>0</v>
      </c>
      <c r="I239" s="18">
        <f t="shared" si="92"/>
        <v>0</v>
      </c>
      <c r="J239" s="18">
        <f t="shared" si="92"/>
        <v>20</v>
      </c>
      <c r="K239" s="95">
        <f t="shared" si="92"/>
        <v>10</v>
      </c>
      <c r="L239" s="18">
        <f t="shared" si="92"/>
        <v>34</v>
      </c>
      <c r="M239" s="18">
        <f t="shared" si="92"/>
        <v>37</v>
      </c>
      <c r="N239" s="19"/>
      <c r="O239" s="20"/>
      <c r="P239" s="101"/>
      <c r="Q239" s="101"/>
      <c r="R239" s="128"/>
    </row>
    <row r="240" spans="2:18" ht="37.5" thickTop="1" thickBot="1" x14ac:dyDescent="0.3">
      <c r="B240" s="124"/>
      <c r="C240" s="108"/>
      <c r="D240" s="102"/>
      <c r="E240" s="8" t="s">
        <v>6</v>
      </c>
      <c r="F240" s="12">
        <f t="shared" ref="F240:M240" si="93">SUM(F236*F239)</f>
        <v>0</v>
      </c>
      <c r="G240" s="12">
        <f t="shared" si="93"/>
        <v>60</v>
      </c>
      <c r="H240" s="12">
        <f t="shared" si="93"/>
        <v>0</v>
      </c>
      <c r="I240" s="12">
        <f t="shared" si="93"/>
        <v>0</v>
      </c>
      <c r="J240" s="12">
        <f t="shared" si="93"/>
        <v>60</v>
      </c>
      <c r="K240" s="12">
        <f t="shared" si="93"/>
        <v>30</v>
      </c>
      <c r="L240" s="12">
        <f t="shared" si="93"/>
        <v>102</v>
      </c>
      <c r="M240" s="12">
        <f t="shared" si="93"/>
        <v>111</v>
      </c>
      <c r="N240" s="13">
        <f>SUM(F240:M240)</f>
        <v>363</v>
      </c>
      <c r="O240" s="16">
        <f>SUM(N240/N236)</f>
        <v>24.2</v>
      </c>
      <c r="P240" s="102"/>
      <c r="Q240" s="102"/>
      <c r="R240" s="129"/>
    </row>
    <row r="241" spans="2:18" ht="20.25" thickTop="1" thickBot="1" x14ac:dyDescent="0.35">
      <c r="B241" s="125">
        <v>-48</v>
      </c>
      <c r="C241" s="106" t="s">
        <v>115</v>
      </c>
      <c r="D241" s="112" t="s">
        <v>281</v>
      </c>
      <c r="E241" s="10" t="s">
        <v>5</v>
      </c>
      <c r="F241" s="57">
        <f>IF(IF(F244=0,0,3),3,0)</f>
        <v>0</v>
      </c>
      <c r="G241" s="57">
        <f>IF(IF(G244=0,0,3),3,0)</f>
        <v>0</v>
      </c>
      <c r="H241" s="57">
        <f>IF(IF(H244=0,0,2),2,0)</f>
        <v>0</v>
      </c>
      <c r="I241" s="57">
        <f>IF(IF(I244=0,0,2),2,0)</f>
        <v>0</v>
      </c>
      <c r="J241" s="57">
        <f>IF(IF(J244=0,0,3),3,0)</f>
        <v>0</v>
      </c>
      <c r="K241" s="57">
        <f>IF(IF(K244=0,0,3),3,0)</f>
        <v>0</v>
      </c>
      <c r="L241" s="57">
        <f>IF(IF(L244=0,0,3),3,0)</f>
        <v>0</v>
      </c>
      <c r="M241" s="57">
        <f>IF(IF(M244=0,0,3),3,0)</f>
        <v>0</v>
      </c>
      <c r="N241" s="57">
        <f>SUM(F241:M241)</f>
        <v>0</v>
      </c>
      <c r="O241" s="58"/>
      <c r="P241" s="113"/>
      <c r="Q241" s="113"/>
      <c r="R241" s="136" t="s">
        <v>101</v>
      </c>
    </row>
    <row r="242" spans="2:18" ht="19.5" thickTop="1" thickBot="1" x14ac:dyDescent="0.3">
      <c r="B242" s="118"/>
      <c r="C242" s="107"/>
      <c r="D242" s="101"/>
      <c r="E242" s="2" t="s">
        <v>216</v>
      </c>
      <c r="F242" s="6"/>
      <c r="G242" s="6"/>
      <c r="H242" s="6"/>
      <c r="I242" s="7"/>
      <c r="J242" s="7"/>
      <c r="K242" s="7"/>
      <c r="L242" s="7"/>
      <c r="M242" s="7"/>
      <c r="N242" s="4"/>
      <c r="O242" s="15"/>
      <c r="P242" s="101"/>
      <c r="Q242" s="101"/>
      <c r="R242" s="134"/>
    </row>
    <row r="243" spans="2:18" ht="19.5" thickTop="1" thickBot="1" x14ac:dyDescent="0.3">
      <c r="B243" s="118"/>
      <c r="C243" s="107"/>
      <c r="D243" s="101"/>
      <c r="E243" s="1" t="s">
        <v>3</v>
      </c>
      <c r="F243" s="3"/>
      <c r="G243" s="3"/>
      <c r="H243" s="3"/>
      <c r="I243" s="3"/>
      <c r="J243" s="3"/>
      <c r="K243" s="3"/>
      <c r="L243" s="3"/>
      <c r="M243" s="3"/>
      <c r="N243" s="4"/>
      <c r="O243" s="15"/>
      <c r="P243" s="101"/>
      <c r="Q243" s="101"/>
      <c r="R243" s="134"/>
    </row>
    <row r="244" spans="2:18" ht="19.5" thickTop="1" thickBot="1" x14ac:dyDescent="0.3">
      <c r="B244" s="118"/>
      <c r="C244" s="107"/>
      <c r="D244" s="101"/>
      <c r="E244" s="17" t="s">
        <v>4</v>
      </c>
      <c r="F244" s="18">
        <f t="shared" ref="F244:M244" si="94">IF(F243&lt;30,F242,F242+F243)</f>
        <v>0</v>
      </c>
      <c r="G244" s="18">
        <f t="shared" si="94"/>
        <v>0</v>
      </c>
      <c r="H244" s="18">
        <f t="shared" si="94"/>
        <v>0</v>
      </c>
      <c r="I244" s="18">
        <f t="shared" si="94"/>
        <v>0</v>
      </c>
      <c r="J244" s="18">
        <f t="shared" si="94"/>
        <v>0</v>
      </c>
      <c r="K244" s="18">
        <f t="shared" si="94"/>
        <v>0</v>
      </c>
      <c r="L244" s="18">
        <f t="shared" si="94"/>
        <v>0</v>
      </c>
      <c r="M244" s="18">
        <f t="shared" si="94"/>
        <v>0</v>
      </c>
      <c r="N244" s="19"/>
      <c r="O244" s="20"/>
      <c r="P244" s="101"/>
      <c r="Q244" s="101"/>
      <c r="R244" s="134"/>
    </row>
    <row r="245" spans="2:18" ht="37.5" thickTop="1" thickBot="1" x14ac:dyDescent="0.3">
      <c r="B245" s="124"/>
      <c r="C245" s="108"/>
      <c r="D245" s="102"/>
      <c r="E245" s="11" t="s">
        <v>6</v>
      </c>
      <c r="F245" s="12">
        <f t="shared" ref="F245:M245" si="95">SUM(F241*F244)</f>
        <v>0</v>
      </c>
      <c r="G245" s="12">
        <f t="shared" si="95"/>
        <v>0</v>
      </c>
      <c r="H245" s="12">
        <f t="shared" si="95"/>
        <v>0</v>
      </c>
      <c r="I245" s="12">
        <f t="shared" si="95"/>
        <v>0</v>
      </c>
      <c r="J245" s="12">
        <f t="shared" si="95"/>
        <v>0</v>
      </c>
      <c r="K245" s="12">
        <f t="shared" si="95"/>
        <v>0</v>
      </c>
      <c r="L245" s="12">
        <f t="shared" si="95"/>
        <v>0</v>
      </c>
      <c r="M245" s="12">
        <f t="shared" si="95"/>
        <v>0</v>
      </c>
      <c r="N245" s="13">
        <f>SUM(F245:M245)</f>
        <v>0</v>
      </c>
      <c r="O245" s="16" t="e">
        <f>SUM(N245/N241)</f>
        <v>#DIV/0!</v>
      </c>
      <c r="P245" s="102"/>
      <c r="Q245" s="102"/>
      <c r="R245" s="137"/>
    </row>
    <row r="246" spans="2:18" ht="20.25" thickTop="1" thickBot="1" x14ac:dyDescent="0.35">
      <c r="B246" s="125">
        <v>-49</v>
      </c>
      <c r="C246" s="106" t="s">
        <v>215</v>
      </c>
      <c r="D246" s="112" t="s">
        <v>280</v>
      </c>
      <c r="E246" s="10" t="s">
        <v>5</v>
      </c>
      <c r="F246" s="57">
        <f>IF(IF(F249=0,0,3),3,0)</f>
        <v>0</v>
      </c>
      <c r="G246" s="57">
        <f>IF(IF(G249=0,0,3),3,0)</f>
        <v>3</v>
      </c>
      <c r="H246" s="57">
        <f>IF(IF(H249=0,0,2),2,0)</f>
        <v>0</v>
      </c>
      <c r="I246" s="57">
        <f>IF(IF(I249=0,0,2),2,0)</f>
        <v>0</v>
      </c>
      <c r="J246" s="57">
        <f>IF(IF(J249=0,0,3),3,0)</f>
        <v>3</v>
      </c>
      <c r="K246" s="57">
        <f>IF(IF(K249=0,0,3),3,0)</f>
        <v>3</v>
      </c>
      <c r="L246" s="57">
        <f>IF(IF(L249=0,0,3),3,0)</f>
        <v>3</v>
      </c>
      <c r="M246" s="57">
        <f>IF(IF(M249=0,0,3),3,0)</f>
        <v>3</v>
      </c>
      <c r="N246" s="57">
        <f>SUM(F246:M246)</f>
        <v>15</v>
      </c>
      <c r="O246" s="58"/>
      <c r="P246" s="113"/>
      <c r="Q246" s="113"/>
      <c r="R246" s="127"/>
    </row>
    <row r="247" spans="2:18" ht="19.5" thickTop="1" thickBot="1" x14ac:dyDescent="0.3">
      <c r="B247" s="118"/>
      <c r="C247" s="107"/>
      <c r="D247" s="101"/>
      <c r="E247" s="2" t="s">
        <v>216</v>
      </c>
      <c r="F247" s="6"/>
      <c r="G247" s="6">
        <v>25</v>
      </c>
      <c r="H247" s="6"/>
      <c r="I247" s="7"/>
      <c r="J247" s="7">
        <v>28</v>
      </c>
      <c r="K247" s="7">
        <v>38</v>
      </c>
      <c r="L247" s="7">
        <v>38</v>
      </c>
      <c r="M247" s="7">
        <v>40</v>
      </c>
      <c r="N247" s="4"/>
      <c r="O247" s="15"/>
      <c r="P247" s="101"/>
      <c r="Q247" s="101"/>
      <c r="R247" s="128"/>
    </row>
    <row r="248" spans="2:18" ht="19.5" thickTop="1" thickBot="1" x14ac:dyDescent="0.3">
      <c r="B248" s="118"/>
      <c r="C248" s="107"/>
      <c r="D248" s="101"/>
      <c r="E248" s="1" t="s">
        <v>3</v>
      </c>
      <c r="F248" s="3"/>
      <c r="G248" s="3"/>
      <c r="H248" s="3"/>
      <c r="I248" s="3"/>
      <c r="J248" s="3"/>
      <c r="K248" s="3">
        <v>40</v>
      </c>
      <c r="L248" s="3"/>
      <c r="M248" s="3"/>
      <c r="N248" s="4"/>
      <c r="O248" s="15"/>
      <c r="P248" s="101"/>
      <c r="Q248" s="101"/>
      <c r="R248" s="128"/>
    </row>
    <row r="249" spans="2:18" ht="19.5" thickTop="1" thickBot="1" x14ac:dyDescent="0.3">
      <c r="B249" s="118"/>
      <c r="C249" s="107"/>
      <c r="D249" s="101"/>
      <c r="E249" s="17" t="s">
        <v>4</v>
      </c>
      <c r="F249" s="18">
        <f t="shared" ref="F249:M249" si="96">IF(F248&lt;30,F247,F247+F248)</f>
        <v>0</v>
      </c>
      <c r="G249" s="18">
        <f t="shared" si="96"/>
        <v>25</v>
      </c>
      <c r="H249" s="18">
        <f t="shared" si="96"/>
        <v>0</v>
      </c>
      <c r="I249" s="18">
        <f t="shared" si="96"/>
        <v>0</v>
      </c>
      <c r="J249" s="18">
        <f t="shared" si="96"/>
        <v>28</v>
      </c>
      <c r="K249" s="18">
        <f t="shared" si="96"/>
        <v>78</v>
      </c>
      <c r="L249" s="18">
        <f t="shared" si="96"/>
        <v>38</v>
      </c>
      <c r="M249" s="18">
        <f t="shared" si="96"/>
        <v>40</v>
      </c>
      <c r="N249" s="19"/>
      <c r="O249" s="20"/>
      <c r="P249" s="101"/>
      <c r="Q249" s="101"/>
      <c r="R249" s="128"/>
    </row>
    <row r="250" spans="2:18" ht="37.5" thickTop="1" thickBot="1" x14ac:dyDescent="0.3">
      <c r="B250" s="119"/>
      <c r="C250" s="108"/>
      <c r="D250" s="102"/>
      <c r="E250" s="68" t="s">
        <v>6</v>
      </c>
      <c r="F250" s="12">
        <f t="shared" ref="F250:M250" si="97">SUM(F246*F249)</f>
        <v>0</v>
      </c>
      <c r="G250" s="12">
        <f t="shared" si="97"/>
        <v>75</v>
      </c>
      <c r="H250" s="12">
        <f t="shared" si="97"/>
        <v>0</v>
      </c>
      <c r="I250" s="12">
        <f t="shared" si="97"/>
        <v>0</v>
      </c>
      <c r="J250" s="12">
        <f t="shared" si="97"/>
        <v>84</v>
      </c>
      <c r="K250" s="12">
        <f t="shared" si="97"/>
        <v>234</v>
      </c>
      <c r="L250" s="12">
        <f t="shared" si="97"/>
        <v>114</v>
      </c>
      <c r="M250" s="12">
        <f t="shared" si="97"/>
        <v>120</v>
      </c>
      <c r="N250" s="13">
        <f>SUM(F250:M250)</f>
        <v>627</v>
      </c>
      <c r="O250" s="16">
        <f>SUM(N250/N246)</f>
        <v>41.8</v>
      </c>
      <c r="P250" s="102"/>
      <c r="Q250" s="102"/>
      <c r="R250" s="129"/>
    </row>
    <row r="251" spans="2:18" ht="20.25" thickTop="1" thickBot="1" x14ac:dyDescent="0.35">
      <c r="B251" s="117">
        <v>-50</v>
      </c>
      <c r="C251" s="106" t="s">
        <v>116</v>
      </c>
      <c r="D251" s="101" t="s">
        <v>279</v>
      </c>
      <c r="E251" s="56" t="s">
        <v>5</v>
      </c>
      <c r="F251" s="57">
        <f>IF(IF(F254=0,0,3),3,0)</f>
        <v>0</v>
      </c>
      <c r="G251" s="57">
        <f>IF(IF(G254=0,0,3),3,0)</f>
        <v>3</v>
      </c>
      <c r="H251" s="57">
        <f>IF(IF(H254=0,0,2),2,0)</f>
        <v>0</v>
      </c>
      <c r="I251" s="57">
        <f>IF(IF(I254=0,0,2),2,0)</f>
        <v>0</v>
      </c>
      <c r="J251" s="57">
        <f>IF(IF(J254=0,0,3),3,0)</f>
        <v>3</v>
      </c>
      <c r="K251" s="57">
        <f>IF(IF(K254=0,0,3),3,0)</f>
        <v>3</v>
      </c>
      <c r="L251" s="57">
        <f>IF(IF(L254=0,0,3),3,0)</f>
        <v>3</v>
      </c>
      <c r="M251" s="57">
        <f>IF(IF(M254=0,0,3),3,0)</f>
        <v>3</v>
      </c>
      <c r="N251" s="57">
        <f>SUM(F251:M251)</f>
        <v>15</v>
      </c>
      <c r="O251" s="58"/>
      <c r="P251" s="113"/>
      <c r="Q251" s="113"/>
      <c r="R251" s="127"/>
    </row>
    <row r="252" spans="2:18" ht="19.5" thickTop="1" thickBot="1" x14ac:dyDescent="0.3">
      <c r="B252" s="118"/>
      <c r="C252" s="107"/>
      <c r="D252" s="101"/>
      <c r="E252" s="5" t="s">
        <v>216</v>
      </c>
      <c r="F252" s="6"/>
      <c r="G252" s="6">
        <v>25</v>
      </c>
      <c r="H252" s="6"/>
      <c r="I252" s="7"/>
      <c r="J252" s="7">
        <v>37</v>
      </c>
      <c r="K252" s="94">
        <v>18</v>
      </c>
      <c r="L252" s="7">
        <v>36</v>
      </c>
      <c r="M252" s="7">
        <v>29</v>
      </c>
      <c r="N252" s="4"/>
      <c r="O252" s="15"/>
      <c r="P252" s="101"/>
      <c r="Q252" s="101"/>
      <c r="R252" s="128"/>
    </row>
    <row r="253" spans="2:18" ht="19.5" thickTop="1" thickBot="1" x14ac:dyDescent="0.3">
      <c r="B253" s="118"/>
      <c r="C253" s="107"/>
      <c r="D253" s="101"/>
      <c r="E253" s="1" t="s">
        <v>3</v>
      </c>
      <c r="F253" s="3"/>
      <c r="G253" s="3"/>
      <c r="H253" s="3"/>
      <c r="I253" s="3"/>
      <c r="J253" s="3"/>
      <c r="K253" s="95">
        <v>12</v>
      </c>
      <c r="L253" s="3"/>
      <c r="M253" s="3"/>
      <c r="N253" s="4"/>
      <c r="O253" s="15"/>
      <c r="P253" s="101"/>
      <c r="Q253" s="101"/>
      <c r="R253" s="128"/>
    </row>
    <row r="254" spans="2:18" ht="19.5" thickTop="1" thickBot="1" x14ac:dyDescent="0.3">
      <c r="B254" s="118"/>
      <c r="C254" s="107"/>
      <c r="D254" s="101"/>
      <c r="E254" s="17" t="s">
        <v>4</v>
      </c>
      <c r="F254" s="18">
        <f t="shared" ref="F254:M254" si="98">IF(F253&lt;30,F252,F252+F253)</f>
        <v>0</v>
      </c>
      <c r="G254" s="18">
        <f t="shared" si="98"/>
        <v>25</v>
      </c>
      <c r="H254" s="18">
        <f t="shared" si="98"/>
        <v>0</v>
      </c>
      <c r="I254" s="18">
        <f t="shared" si="98"/>
        <v>0</v>
      </c>
      <c r="J254" s="18">
        <f t="shared" si="98"/>
        <v>37</v>
      </c>
      <c r="K254" s="95">
        <f t="shared" si="98"/>
        <v>18</v>
      </c>
      <c r="L254" s="18">
        <f t="shared" si="98"/>
        <v>36</v>
      </c>
      <c r="M254" s="18">
        <f t="shared" si="98"/>
        <v>29</v>
      </c>
      <c r="N254" s="19"/>
      <c r="O254" s="20"/>
      <c r="P254" s="101"/>
      <c r="Q254" s="101"/>
      <c r="R254" s="128"/>
    </row>
    <row r="255" spans="2:18" ht="37.5" thickTop="1" thickBot="1" x14ac:dyDescent="0.3">
      <c r="B255" s="118"/>
      <c r="C255" s="108"/>
      <c r="D255" s="102"/>
      <c r="E255" s="11" t="s">
        <v>6</v>
      </c>
      <c r="F255" s="12">
        <f t="shared" ref="F255:M255" si="99">SUM(F251*F254)</f>
        <v>0</v>
      </c>
      <c r="G255" s="12">
        <f t="shared" si="99"/>
        <v>75</v>
      </c>
      <c r="H255" s="12">
        <f t="shared" si="99"/>
        <v>0</v>
      </c>
      <c r="I255" s="12">
        <f t="shared" si="99"/>
        <v>0</v>
      </c>
      <c r="J255" s="12">
        <f t="shared" si="99"/>
        <v>111</v>
      </c>
      <c r="K255" s="12">
        <f t="shared" si="99"/>
        <v>54</v>
      </c>
      <c r="L255" s="12">
        <f t="shared" si="99"/>
        <v>108</v>
      </c>
      <c r="M255" s="12">
        <f t="shared" si="99"/>
        <v>87</v>
      </c>
      <c r="N255" s="13">
        <f>SUM(F255:M255)</f>
        <v>435</v>
      </c>
      <c r="O255" s="16">
        <f>SUM(N255/N251)</f>
        <v>29</v>
      </c>
      <c r="P255" s="101"/>
      <c r="Q255" s="101"/>
      <c r="R255" s="129"/>
    </row>
    <row r="256" spans="2:18" ht="20.25" thickTop="1" thickBot="1" x14ac:dyDescent="0.35">
      <c r="B256" s="125">
        <v>-51</v>
      </c>
      <c r="C256" s="106" t="s">
        <v>117</v>
      </c>
      <c r="D256" s="101" t="s">
        <v>278</v>
      </c>
      <c r="E256" s="14" t="s">
        <v>5</v>
      </c>
      <c r="F256" s="57">
        <f>IF(IF(F259=0,0,3),3,0)</f>
        <v>0</v>
      </c>
      <c r="G256" s="57">
        <f>IF(IF(G259=0,0,3),3,0)</f>
        <v>3</v>
      </c>
      <c r="H256" s="57">
        <f>IF(IF(H259=0,0,2),2,0)</f>
        <v>0</v>
      </c>
      <c r="I256" s="57">
        <f>IF(IF(I259=0,0,2),2,0)</f>
        <v>0</v>
      </c>
      <c r="J256" s="57">
        <f>IF(IF(J259=0,0,3),3,0)</f>
        <v>3</v>
      </c>
      <c r="K256" s="57">
        <f>IF(IF(K259=0,0,3),3,0)</f>
        <v>0</v>
      </c>
      <c r="L256" s="57">
        <f>IF(IF(L259=0,0,3),3,0)</f>
        <v>0</v>
      </c>
      <c r="M256" s="57">
        <f>IF(IF(M259=0,0,3),3,0)</f>
        <v>0</v>
      </c>
      <c r="N256" s="57">
        <f>SUM(F256:M256)</f>
        <v>6</v>
      </c>
      <c r="O256" s="58"/>
      <c r="P256" s="113"/>
      <c r="Q256" s="113"/>
      <c r="R256" s="127"/>
    </row>
    <row r="257" spans="2:18" ht="19.5" thickTop="1" thickBot="1" x14ac:dyDescent="0.3">
      <c r="B257" s="118"/>
      <c r="C257" s="107"/>
      <c r="D257" s="101"/>
      <c r="E257" s="2" t="s">
        <v>216</v>
      </c>
      <c r="F257" s="6"/>
      <c r="G257" s="6">
        <v>38</v>
      </c>
      <c r="H257" s="6"/>
      <c r="I257" s="7"/>
      <c r="J257" s="7">
        <v>20</v>
      </c>
      <c r="K257" s="7"/>
      <c r="L257" s="7">
        <v>0</v>
      </c>
      <c r="M257" s="7"/>
      <c r="N257" s="4"/>
      <c r="O257" s="15"/>
      <c r="P257" s="101"/>
      <c r="Q257" s="101"/>
      <c r="R257" s="128"/>
    </row>
    <row r="258" spans="2:18" ht="19.5" thickTop="1" thickBot="1" x14ac:dyDescent="0.3">
      <c r="B258" s="118"/>
      <c r="C258" s="107"/>
      <c r="D258" s="101"/>
      <c r="E258" s="1" t="s">
        <v>3</v>
      </c>
      <c r="F258" s="3"/>
      <c r="G258" s="3"/>
      <c r="H258" s="3"/>
      <c r="I258" s="3"/>
      <c r="J258" s="3"/>
      <c r="K258" s="93"/>
      <c r="L258" s="93"/>
      <c r="M258" s="93"/>
      <c r="N258" s="4"/>
      <c r="O258" s="15"/>
      <c r="P258" s="101"/>
      <c r="Q258" s="101"/>
      <c r="R258" s="128"/>
    </row>
    <row r="259" spans="2:18" ht="19.5" thickTop="1" thickBot="1" x14ac:dyDescent="0.3">
      <c r="B259" s="118"/>
      <c r="C259" s="107"/>
      <c r="D259" s="101"/>
      <c r="E259" s="17" t="s">
        <v>4</v>
      </c>
      <c r="F259" s="18">
        <f t="shared" ref="F259:M259" si="100">IF(F258&lt;30,F257,F257+F258)</f>
        <v>0</v>
      </c>
      <c r="G259" s="18">
        <f t="shared" si="100"/>
        <v>38</v>
      </c>
      <c r="H259" s="18">
        <f t="shared" si="100"/>
        <v>0</v>
      </c>
      <c r="I259" s="18">
        <f t="shared" si="100"/>
        <v>0</v>
      </c>
      <c r="J259" s="18">
        <f t="shared" si="100"/>
        <v>20</v>
      </c>
      <c r="K259" s="18">
        <f t="shared" si="100"/>
        <v>0</v>
      </c>
      <c r="L259" s="18">
        <f t="shared" si="100"/>
        <v>0</v>
      </c>
      <c r="M259" s="18">
        <f t="shared" si="100"/>
        <v>0</v>
      </c>
      <c r="N259" s="19"/>
      <c r="O259" s="20"/>
      <c r="P259" s="101"/>
      <c r="Q259" s="101"/>
      <c r="R259" s="128"/>
    </row>
    <row r="260" spans="2:18" ht="37.5" thickTop="1" thickBot="1" x14ac:dyDescent="0.3">
      <c r="B260" s="124"/>
      <c r="C260" s="108"/>
      <c r="D260" s="102"/>
      <c r="E260" s="11" t="s">
        <v>6</v>
      </c>
      <c r="F260" s="12">
        <f t="shared" ref="F260:M260" si="101">SUM(F256*F259)</f>
        <v>0</v>
      </c>
      <c r="G260" s="12">
        <f t="shared" si="101"/>
        <v>114</v>
      </c>
      <c r="H260" s="12">
        <f t="shared" si="101"/>
        <v>0</v>
      </c>
      <c r="I260" s="12">
        <f t="shared" si="101"/>
        <v>0</v>
      </c>
      <c r="J260" s="12">
        <f t="shared" si="101"/>
        <v>60</v>
      </c>
      <c r="K260" s="12">
        <f t="shared" si="101"/>
        <v>0</v>
      </c>
      <c r="L260" s="12">
        <f t="shared" si="101"/>
        <v>0</v>
      </c>
      <c r="M260" s="12">
        <f t="shared" si="101"/>
        <v>0</v>
      </c>
      <c r="N260" s="13">
        <f>SUM(F260:M260)</f>
        <v>174</v>
      </c>
      <c r="O260" s="16">
        <f>SUM(N260/N256)</f>
        <v>29</v>
      </c>
      <c r="P260" s="101"/>
      <c r="Q260" s="101"/>
      <c r="R260" s="129"/>
    </row>
    <row r="261" spans="2:18" ht="20.25" thickTop="1" thickBot="1" x14ac:dyDescent="0.35">
      <c r="B261" s="125">
        <v>-52</v>
      </c>
      <c r="C261" s="106" t="s">
        <v>118</v>
      </c>
      <c r="D261" s="101" t="s">
        <v>269</v>
      </c>
      <c r="E261" s="14" t="s">
        <v>5</v>
      </c>
      <c r="F261" s="57">
        <f>IF(IF(F264=0,0,3),3,0)</f>
        <v>0</v>
      </c>
      <c r="G261" s="57">
        <f>IF(IF(G264=0,0,3),3,0)</f>
        <v>3</v>
      </c>
      <c r="H261" s="57">
        <f>IF(IF(H264=0,0,2),2,0)</f>
        <v>0</v>
      </c>
      <c r="I261" s="57">
        <f>IF(IF(I264=0,0,2),2,0)</f>
        <v>0</v>
      </c>
      <c r="J261" s="57">
        <f>IF(IF(J264=0,0,3),3,0)</f>
        <v>3</v>
      </c>
      <c r="K261" s="57">
        <f>IF(IF(K264=0,0,3),3,0)</f>
        <v>3</v>
      </c>
      <c r="L261" s="57">
        <f>IF(IF(L264=0,0,3),3,0)</f>
        <v>3</v>
      </c>
      <c r="M261" s="57">
        <f>IF(IF(M264=0,0,3),3,0)</f>
        <v>3</v>
      </c>
      <c r="N261" s="57">
        <f>SUM(F261:M261)</f>
        <v>15</v>
      </c>
      <c r="O261" s="58"/>
      <c r="P261" s="113"/>
      <c r="Q261" s="113"/>
      <c r="R261" s="127"/>
    </row>
    <row r="262" spans="2:18" ht="19.5" thickTop="1" thickBot="1" x14ac:dyDescent="0.3">
      <c r="B262" s="118"/>
      <c r="C262" s="107"/>
      <c r="D262" s="101"/>
      <c r="E262" s="2" t="s">
        <v>216</v>
      </c>
      <c r="F262" s="6"/>
      <c r="G262" s="6">
        <v>22</v>
      </c>
      <c r="H262" s="6"/>
      <c r="I262" s="7"/>
      <c r="J262" s="7">
        <v>17</v>
      </c>
      <c r="K262" s="7">
        <v>33</v>
      </c>
      <c r="L262" s="7">
        <v>32</v>
      </c>
      <c r="M262" s="7">
        <v>20</v>
      </c>
      <c r="N262" s="4"/>
      <c r="O262" s="15"/>
      <c r="P262" s="101"/>
      <c r="Q262" s="101"/>
      <c r="R262" s="128"/>
    </row>
    <row r="263" spans="2:18" ht="20.25" thickTop="1" thickBot="1" x14ac:dyDescent="0.3">
      <c r="B263" s="118"/>
      <c r="C263" s="107"/>
      <c r="D263" s="101"/>
      <c r="E263" s="1" t="s">
        <v>3</v>
      </c>
      <c r="F263" s="3"/>
      <c r="G263" s="3"/>
      <c r="H263" s="3"/>
      <c r="I263" s="3"/>
      <c r="J263" s="3"/>
      <c r="K263" s="57">
        <v>25</v>
      </c>
      <c r="L263" s="3"/>
      <c r="M263" s="3"/>
      <c r="N263" s="4"/>
      <c r="O263" s="15"/>
      <c r="P263" s="101"/>
      <c r="Q263" s="101"/>
      <c r="R263" s="128"/>
    </row>
    <row r="264" spans="2:18" ht="19.5" thickTop="1" thickBot="1" x14ac:dyDescent="0.3">
      <c r="B264" s="118"/>
      <c r="C264" s="107"/>
      <c r="D264" s="101"/>
      <c r="E264" s="17" t="s">
        <v>4</v>
      </c>
      <c r="F264" s="18">
        <f t="shared" ref="F264:M264" si="102">IF(F263&lt;30,F262,F262+F263)</f>
        <v>0</v>
      </c>
      <c r="G264" s="18">
        <f t="shared" si="102"/>
        <v>22</v>
      </c>
      <c r="H264" s="18">
        <f t="shared" si="102"/>
        <v>0</v>
      </c>
      <c r="I264" s="18">
        <f t="shared" si="102"/>
        <v>0</v>
      </c>
      <c r="J264" s="18">
        <f t="shared" si="102"/>
        <v>17</v>
      </c>
      <c r="K264" s="18">
        <f t="shared" si="102"/>
        <v>33</v>
      </c>
      <c r="L264" s="18">
        <f t="shared" si="102"/>
        <v>32</v>
      </c>
      <c r="M264" s="18">
        <f t="shared" si="102"/>
        <v>20</v>
      </c>
      <c r="N264" s="19"/>
      <c r="O264" s="20"/>
      <c r="P264" s="101"/>
      <c r="Q264" s="101"/>
      <c r="R264" s="128"/>
    </row>
    <row r="265" spans="2:18" ht="37.5" thickTop="1" thickBot="1" x14ac:dyDescent="0.3">
      <c r="B265" s="124"/>
      <c r="C265" s="108"/>
      <c r="D265" s="102"/>
      <c r="E265" s="8" t="s">
        <v>6</v>
      </c>
      <c r="F265" s="12">
        <f t="shared" ref="F265:M265" si="103">SUM(F261*F264)</f>
        <v>0</v>
      </c>
      <c r="G265" s="12">
        <f t="shared" si="103"/>
        <v>66</v>
      </c>
      <c r="H265" s="12">
        <f t="shared" si="103"/>
        <v>0</v>
      </c>
      <c r="I265" s="12">
        <f t="shared" si="103"/>
        <v>0</v>
      </c>
      <c r="J265" s="12">
        <f t="shared" si="103"/>
        <v>51</v>
      </c>
      <c r="K265" s="12">
        <f t="shared" si="103"/>
        <v>99</v>
      </c>
      <c r="L265" s="12">
        <f t="shared" si="103"/>
        <v>96</v>
      </c>
      <c r="M265" s="12">
        <f t="shared" si="103"/>
        <v>60</v>
      </c>
      <c r="N265" s="13">
        <f>SUM(F265:M265)</f>
        <v>372</v>
      </c>
      <c r="O265" s="16">
        <f>SUM(N265/N261)</f>
        <v>24.8</v>
      </c>
      <c r="P265" s="101"/>
      <c r="Q265" s="101"/>
      <c r="R265" s="129"/>
    </row>
    <row r="266" spans="2:18" ht="20.25" thickTop="1" thickBot="1" x14ac:dyDescent="0.35">
      <c r="B266" s="125">
        <v>-53</v>
      </c>
      <c r="C266" s="106" t="s">
        <v>119</v>
      </c>
      <c r="D266" s="101" t="s">
        <v>268</v>
      </c>
      <c r="E266" s="10" t="s">
        <v>5</v>
      </c>
      <c r="F266" s="57">
        <f>IF(IF(F269=0,0,3),3,0)</f>
        <v>0</v>
      </c>
      <c r="G266" s="57">
        <f>IF(IF(G269=0,0,3),3,0)</f>
        <v>3</v>
      </c>
      <c r="H266" s="57">
        <f>IF(IF(H269=0,0,2),2,0)</f>
        <v>0</v>
      </c>
      <c r="I266" s="57">
        <f>IF(IF(I269=0,0,2),2,0)</f>
        <v>0</v>
      </c>
      <c r="J266" s="57">
        <f>IF(IF(J269=0,0,3),3,0)</f>
        <v>3</v>
      </c>
      <c r="K266" s="57">
        <f>IF(IF(K269=0,0,3),3,0)</f>
        <v>3</v>
      </c>
      <c r="L266" s="57">
        <f>IF(IF(L269=0,0,3),3,0)</f>
        <v>3</v>
      </c>
      <c r="M266" s="57">
        <f>IF(IF(M269=0,0,3),3,0)</f>
        <v>3</v>
      </c>
      <c r="N266" s="57">
        <f>SUM(F266:M266)</f>
        <v>15</v>
      </c>
      <c r="O266" s="58"/>
      <c r="P266" s="113"/>
      <c r="Q266" s="113"/>
      <c r="R266" s="127"/>
    </row>
    <row r="267" spans="2:18" ht="19.5" thickTop="1" thickBot="1" x14ac:dyDescent="0.3">
      <c r="B267" s="118"/>
      <c r="C267" s="107"/>
      <c r="D267" s="101"/>
      <c r="E267" s="2" t="s">
        <v>216</v>
      </c>
      <c r="F267" s="6"/>
      <c r="G267" s="6">
        <v>20</v>
      </c>
      <c r="H267" s="6"/>
      <c r="I267" s="7"/>
      <c r="J267" s="7">
        <v>25</v>
      </c>
      <c r="K267" s="7">
        <v>18</v>
      </c>
      <c r="L267" s="7">
        <v>34</v>
      </c>
      <c r="M267" s="7">
        <v>20</v>
      </c>
      <c r="N267" s="4"/>
      <c r="O267" s="15"/>
      <c r="P267" s="101"/>
      <c r="Q267" s="101"/>
      <c r="R267" s="128"/>
    </row>
    <row r="268" spans="2:18" ht="19.5" thickTop="1" thickBot="1" x14ac:dyDescent="0.3">
      <c r="B268" s="118"/>
      <c r="C268" s="107"/>
      <c r="D268" s="101"/>
      <c r="E268" s="1" t="s">
        <v>3</v>
      </c>
      <c r="F268" s="3"/>
      <c r="G268" s="3"/>
      <c r="H268" s="3"/>
      <c r="I268" s="3"/>
      <c r="J268" s="3"/>
      <c r="K268" s="3">
        <v>32</v>
      </c>
      <c r="L268" s="3"/>
      <c r="M268" s="3"/>
      <c r="N268" s="4"/>
      <c r="O268" s="15"/>
      <c r="P268" s="101"/>
      <c r="Q268" s="101"/>
      <c r="R268" s="128"/>
    </row>
    <row r="269" spans="2:18" ht="19.5" thickTop="1" thickBot="1" x14ac:dyDescent="0.3">
      <c r="B269" s="118"/>
      <c r="C269" s="107"/>
      <c r="D269" s="101"/>
      <c r="E269" s="17" t="s">
        <v>4</v>
      </c>
      <c r="F269" s="18">
        <f t="shared" ref="F269:M269" si="104">IF(F268&lt;30,F267,F267+F268)</f>
        <v>0</v>
      </c>
      <c r="G269" s="18">
        <f t="shared" si="104"/>
        <v>20</v>
      </c>
      <c r="H269" s="18">
        <f t="shared" si="104"/>
        <v>0</v>
      </c>
      <c r="I269" s="18">
        <f t="shared" si="104"/>
        <v>0</v>
      </c>
      <c r="J269" s="18">
        <f t="shared" si="104"/>
        <v>25</v>
      </c>
      <c r="K269" s="18">
        <f t="shared" si="104"/>
        <v>50</v>
      </c>
      <c r="L269" s="18">
        <f t="shared" si="104"/>
        <v>34</v>
      </c>
      <c r="M269" s="18">
        <f t="shared" si="104"/>
        <v>20</v>
      </c>
      <c r="N269" s="19"/>
      <c r="O269" s="20"/>
      <c r="P269" s="101"/>
      <c r="Q269" s="101"/>
      <c r="R269" s="128"/>
    </row>
    <row r="270" spans="2:18" ht="37.5" thickTop="1" thickBot="1" x14ac:dyDescent="0.3">
      <c r="B270" s="124"/>
      <c r="C270" s="108"/>
      <c r="D270" s="102"/>
      <c r="E270" s="8" t="s">
        <v>6</v>
      </c>
      <c r="F270" s="12">
        <f t="shared" ref="F270:M270" si="105">SUM(F266*F269)</f>
        <v>0</v>
      </c>
      <c r="G270" s="12">
        <f t="shared" si="105"/>
        <v>60</v>
      </c>
      <c r="H270" s="12">
        <f t="shared" si="105"/>
        <v>0</v>
      </c>
      <c r="I270" s="12">
        <f t="shared" si="105"/>
        <v>0</v>
      </c>
      <c r="J270" s="12">
        <f t="shared" si="105"/>
        <v>75</v>
      </c>
      <c r="K270" s="12">
        <f t="shared" si="105"/>
        <v>150</v>
      </c>
      <c r="L270" s="12">
        <f t="shared" si="105"/>
        <v>102</v>
      </c>
      <c r="M270" s="12">
        <f t="shared" si="105"/>
        <v>60</v>
      </c>
      <c r="N270" s="13">
        <f>SUM(F270:M270)</f>
        <v>447</v>
      </c>
      <c r="O270" s="16">
        <f>SUM(N270/N266)</f>
        <v>29.8</v>
      </c>
      <c r="P270" s="101"/>
      <c r="Q270" s="101"/>
      <c r="R270" s="129"/>
    </row>
    <row r="271" spans="2:18" ht="20.25" thickTop="1" thickBot="1" x14ac:dyDescent="0.35">
      <c r="B271" s="125">
        <v>-54</v>
      </c>
      <c r="C271" s="106" t="s">
        <v>120</v>
      </c>
      <c r="D271" s="112" t="s">
        <v>267</v>
      </c>
      <c r="E271" s="10" t="s">
        <v>5</v>
      </c>
      <c r="F271" s="57">
        <f>IF(IF(F274=0,0,3),3,0)</f>
        <v>0</v>
      </c>
      <c r="G271" s="57">
        <f>IF(IF(G274=0,0,3),3,0)</f>
        <v>3</v>
      </c>
      <c r="H271" s="57">
        <f>IF(IF(H274=0,0,2),2,0)</f>
        <v>0</v>
      </c>
      <c r="I271" s="57">
        <f>IF(IF(I274=0,0,2),2,0)</f>
        <v>0</v>
      </c>
      <c r="J271" s="57">
        <f>IF(IF(J274=0,0,3),3,0)</f>
        <v>3</v>
      </c>
      <c r="K271" s="57">
        <f>IF(IF(K274=0,0,3),3,0)</f>
        <v>3</v>
      </c>
      <c r="L271" s="57">
        <f>IF(IF(L274=0,0,3),3,0)</f>
        <v>3</v>
      </c>
      <c r="M271" s="57">
        <f>IF(IF(M274=0,0,3),3,0)</f>
        <v>3</v>
      </c>
      <c r="N271" s="57">
        <f>SUM(F271:M271)</f>
        <v>15</v>
      </c>
      <c r="O271" s="58"/>
      <c r="P271" s="113"/>
      <c r="Q271" s="113"/>
      <c r="R271" s="127"/>
    </row>
    <row r="272" spans="2:18" ht="19.5" thickTop="1" thickBot="1" x14ac:dyDescent="0.3">
      <c r="B272" s="118"/>
      <c r="C272" s="107"/>
      <c r="D272" s="101"/>
      <c r="E272" s="2" t="s">
        <v>216</v>
      </c>
      <c r="F272" s="6"/>
      <c r="G272" s="6">
        <v>26</v>
      </c>
      <c r="H272" s="6"/>
      <c r="I272" s="7"/>
      <c r="J272" s="7">
        <v>27</v>
      </c>
      <c r="K272" s="7">
        <v>17</v>
      </c>
      <c r="L272" s="7">
        <v>32</v>
      </c>
      <c r="M272" s="7">
        <v>29</v>
      </c>
      <c r="N272" s="4"/>
      <c r="O272" s="15"/>
      <c r="P272" s="101"/>
      <c r="Q272" s="101"/>
      <c r="R272" s="128"/>
    </row>
    <row r="273" spans="2:18" ht="19.5" thickTop="1" thickBot="1" x14ac:dyDescent="0.3">
      <c r="B273" s="118"/>
      <c r="C273" s="107"/>
      <c r="D273" s="101"/>
      <c r="E273" s="1" t="s">
        <v>3</v>
      </c>
      <c r="F273" s="3"/>
      <c r="G273" s="3"/>
      <c r="H273" s="3"/>
      <c r="I273" s="3"/>
      <c r="J273" s="3"/>
      <c r="K273" s="3">
        <v>33</v>
      </c>
      <c r="L273" s="3"/>
      <c r="M273" s="3"/>
      <c r="N273" s="4"/>
      <c r="O273" s="15"/>
      <c r="P273" s="101"/>
      <c r="Q273" s="101"/>
      <c r="R273" s="128"/>
    </row>
    <row r="274" spans="2:18" ht="19.5" thickTop="1" thickBot="1" x14ac:dyDescent="0.3">
      <c r="B274" s="118"/>
      <c r="C274" s="107"/>
      <c r="D274" s="101"/>
      <c r="E274" s="17" t="s">
        <v>4</v>
      </c>
      <c r="F274" s="18">
        <f t="shared" ref="F274:M274" si="106">IF(F273&lt;30,F272,F272+F273)</f>
        <v>0</v>
      </c>
      <c r="G274" s="18">
        <f t="shared" si="106"/>
        <v>26</v>
      </c>
      <c r="H274" s="18">
        <f t="shared" si="106"/>
        <v>0</v>
      </c>
      <c r="I274" s="18">
        <f t="shared" si="106"/>
        <v>0</v>
      </c>
      <c r="J274" s="18">
        <f t="shared" si="106"/>
        <v>27</v>
      </c>
      <c r="K274" s="18">
        <f t="shared" si="106"/>
        <v>50</v>
      </c>
      <c r="L274" s="18">
        <f t="shared" si="106"/>
        <v>32</v>
      </c>
      <c r="M274" s="18">
        <f t="shared" si="106"/>
        <v>29</v>
      </c>
      <c r="N274" s="19"/>
      <c r="O274" s="20"/>
      <c r="P274" s="101"/>
      <c r="Q274" s="101"/>
      <c r="R274" s="128"/>
    </row>
    <row r="275" spans="2:18" ht="37.5" thickTop="1" thickBot="1" x14ac:dyDescent="0.3">
      <c r="B275" s="124"/>
      <c r="C275" s="108"/>
      <c r="D275" s="102"/>
      <c r="E275" s="8" t="s">
        <v>6</v>
      </c>
      <c r="F275" s="12">
        <f t="shared" ref="F275:M275" si="107">SUM(F271*F274)</f>
        <v>0</v>
      </c>
      <c r="G275" s="12">
        <f t="shared" si="107"/>
        <v>78</v>
      </c>
      <c r="H275" s="12">
        <f t="shared" si="107"/>
        <v>0</v>
      </c>
      <c r="I275" s="12">
        <f t="shared" si="107"/>
        <v>0</v>
      </c>
      <c r="J275" s="12">
        <f t="shared" si="107"/>
        <v>81</v>
      </c>
      <c r="K275" s="12">
        <f t="shared" si="107"/>
        <v>150</v>
      </c>
      <c r="L275" s="12">
        <f t="shared" si="107"/>
        <v>96</v>
      </c>
      <c r="M275" s="12">
        <f t="shared" si="107"/>
        <v>87</v>
      </c>
      <c r="N275" s="13">
        <f>SUM(F275:M275)</f>
        <v>492</v>
      </c>
      <c r="O275" s="16">
        <f>SUM(N275/N271)</f>
        <v>32.799999999999997</v>
      </c>
      <c r="P275" s="101"/>
      <c r="Q275" s="101"/>
      <c r="R275" s="129"/>
    </row>
    <row r="276" spans="2:18" ht="20.25" thickTop="1" thickBot="1" x14ac:dyDescent="0.35">
      <c r="B276" s="125">
        <v>-55</v>
      </c>
      <c r="C276" s="106" t="s">
        <v>121</v>
      </c>
      <c r="D276" s="112" t="s">
        <v>266</v>
      </c>
      <c r="E276" s="10" t="s">
        <v>5</v>
      </c>
      <c r="F276" s="57">
        <f>IF(IF(F279=0,0,3),3,0)</f>
        <v>0</v>
      </c>
      <c r="G276" s="57">
        <f>IF(IF(G279=0,0,3),3,0)</f>
        <v>3</v>
      </c>
      <c r="H276" s="57">
        <f>IF(IF(H279=0,0,2),2,0)</f>
        <v>0</v>
      </c>
      <c r="I276" s="57">
        <f>IF(IF(I279=0,0,2),2,0)</f>
        <v>0</v>
      </c>
      <c r="J276" s="57">
        <f>IF(IF(J279=0,0,3),3,0)</f>
        <v>3</v>
      </c>
      <c r="K276" s="57">
        <f>IF(IF(K279=0,0,3),3,0)</f>
        <v>3</v>
      </c>
      <c r="L276" s="57">
        <f>IF(IF(L279=0,0,3),3,0)</f>
        <v>3</v>
      </c>
      <c r="M276" s="57">
        <f>IF(IF(M279=0,0,3),3,0)</f>
        <v>3</v>
      </c>
      <c r="N276" s="57">
        <f>SUM(F276:M276)</f>
        <v>15</v>
      </c>
      <c r="O276" s="58"/>
      <c r="P276" s="113"/>
      <c r="Q276" s="113"/>
      <c r="R276" s="127"/>
    </row>
    <row r="277" spans="2:18" ht="19.5" thickTop="1" thickBot="1" x14ac:dyDescent="0.3">
      <c r="B277" s="118"/>
      <c r="C277" s="107"/>
      <c r="D277" s="101"/>
      <c r="E277" s="2" t="s">
        <v>216</v>
      </c>
      <c r="F277" s="6"/>
      <c r="G277" s="6">
        <v>20</v>
      </c>
      <c r="H277" s="6"/>
      <c r="I277" s="7"/>
      <c r="J277" s="7">
        <v>33</v>
      </c>
      <c r="K277" s="7">
        <v>18</v>
      </c>
      <c r="L277" s="7">
        <v>34</v>
      </c>
      <c r="M277" s="7">
        <v>23</v>
      </c>
      <c r="N277" s="4"/>
      <c r="O277" s="15"/>
      <c r="P277" s="101"/>
      <c r="Q277" s="101"/>
      <c r="R277" s="128"/>
    </row>
    <row r="278" spans="2:18" ht="19.5" thickTop="1" thickBot="1" x14ac:dyDescent="0.3">
      <c r="B278" s="118"/>
      <c r="C278" s="107"/>
      <c r="D278" s="101"/>
      <c r="E278" s="1" t="s">
        <v>3</v>
      </c>
      <c r="F278" s="3"/>
      <c r="G278" s="3"/>
      <c r="H278" s="3"/>
      <c r="I278" s="3"/>
      <c r="J278" s="3"/>
      <c r="K278" s="3">
        <v>34</v>
      </c>
      <c r="L278" s="3"/>
      <c r="M278" s="3"/>
      <c r="N278" s="4"/>
      <c r="O278" s="15"/>
      <c r="P278" s="101"/>
      <c r="Q278" s="101"/>
      <c r="R278" s="128"/>
    </row>
    <row r="279" spans="2:18" ht="19.5" thickTop="1" thickBot="1" x14ac:dyDescent="0.3">
      <c r="B279" s="118"/>
      <c r="C279" s="107"/>
      <c r="D279" s="101"/>
      <c r="E279" s="17" t="s">
        <v>4</v>
      </c>
      <c r="F279" s="18">
        <f t="shared" ref="F279:M279" si="108">IF(F278&lt;30,F277,F277+F278)</f>
        <v>0</v>
      </c>
      <c r="G279" s="18">
        <f t="shared" si="108"/>
        <v>20</v>
      </c>
      <c r="H279" s="18">
        <f t="shared" si="108"/>
        <v>0</v>
      </c>
      <c r="I279" s="18">
        <f t="shared" si="108"/>
        <v>0</v>
      </c>
      <c r="J279" s="18">
        <f t="shared" si="108"/>
        <v>33</v>
      </c>
      <c r="K279" s="18">
        <f t="shared" si="108"/>
        <v>52</v>
      </c>
      <c r="L279" s="18">
        <f t="shared" si="108"/>
        <v>34</v>
      </c>
      <c r="M279" s="18">
        <f t="shared" si="108"/>
        <v>23</v>
      </c>
      <c r="N279" s="19"/>
      <c r="O279" s="20"/>
      <c r="P279" s="101"/>
      <c r="Q279" s="101"/>
      <c r="R279" s="128"/>
    </row>
    <row r="280" spans="2:18" ht="37.5" thickTop="1" thickBot="1" x14ac:dyDescent="0.3">
      <c r="B280" s="124"/>
      <c r="C280" s="108"/>
      <c r="D280" s="102"/>
      <c r="E280" s="11" t="s">
        <v>6</v>
      </c>
      <c r="F280" s="12">
        <f t="shared" ref="F280:M280" si="109">SUM(F276*F279)</f>
        <v>0</v>
      </c>
      <c r="G280" s="12">
        <f t="shared" si="109"/>
        <v>60</v>
      </c>
      <c r="H280" s="12">
        <f t="shared" si="109"/>
        <v>0</v>
      </c>
      <c r="I280" s="12">
        <f t="shared" si="109"/>
        <v>0</v>
      </c>
      <c r="J280" s="12">
        <f t="shared" si="109"/>
        <v>99</v>
      </c>
      <c r="K280" s="12">
        <f t="shared" si="109"/>
        <v>156</v>
      </c>
      <c r="L280" s="12">
        <f t="shared" si="109"/>
        <v>102</v>
      </c>
      <c r="M280" s="12">
        <f t="shared" si="109"/>
        <v>69</v>
      </c>
      <c r="N280" s="13">
        <f>SUM(F280:M280)</f>
        <v>486</v>
      </c>
      <c r="O280" s="16">
        <f>SUM(N280/N276)</f>
        <v>32.4</v>
      </c>
      <c r="P280" s="101"/>
      <c r="Q280" s="101"/>
      <c r="R280" s="129"/>
    </row>
    <row r="281" spans="2:18" ht="20.25" thickTop="1" thickBot="1" x14ac:dyDescent="0.35">
      <c r="B281" s="125">
        <v>-56</v>
      </c>
      <c r="C281" s="106" t="s">
        <v>122</v>
      </c>
      <c r="D281" s="112" t="s">
        <v>265</v>
      </c>
      <c r="E281" s="10" t="s">
        <v>5</v>
      </c>
      <c r="F281" s="57">
        <f>IF(IF(F284=0,0,3),3,0)</f>
        <v>0</v>
      </c>
      <c r="G281" s="57">
        <f>IF(IF(G284=0,0,3),3,0)</f>
        <v>3</v>
      </c>
      <c r="H281" s="57">
        <f>IF(IF(H284=0,0,2),2,0)</f>
        <v>0</v>
      </c>
      <c r="I281" s="57">
        <f>IF(IF(I284=0,0,2),2,0)</f>
        <v>0</v>
      </c>
      <c r="J281" s="57">
        <f>IF(IF(J284=0,0,3),3,0)</f>
        <v>3</v>
      </c>
      <c r="K281" s="57">
        <f>IF(IF(K284=0,0,3),3,0)</f>
        <v>3</v>
      </c>
      <c r="L281" s="57">
        <f>IF(IF(G284=0,0,3),3,0)</f>
        <v>3</v>
      </c>
      <c r="M281" s="57">
        <f>IF(IF(G284=0,0,3),3,0)</f>
        <v>3</v>
      </c>
      <c r="N281" s="57">
        <f>SUM(F281:M281)</f>
        <v>15</v>
      </c>
      <c r="O281" s="58"/>
      <c r="P281" s="103"/>
      <c r="Q281" s="103"/>
      <c r="R281" s="127"/>
    </row>
    <row r="282" spans="2:18" ht="19.5" thickTop="1" thickBot="1" x14ac:dyDescent="0.3">
      <c r="B282" s="118"/>
      <c r="C282" s="107"/>
      <c r="D282" s="101"/>
      <c r="E282" s="2" t="s">
        <v>216</v>
      </c>
      <c r="F282" s="6">
        <v>0</v>
      </c>
      <c r="G282" s="6">
        <v>20</v>
      </c>
      <c r="H282" s="6">
        <v>0</v>
      </c>
      <c r="I282" s="7">
        <v>0</v>
      </c>
      <c r="J282" s="7">
        <v>22</v>
      </c>
      <c r="K282" s="7">
        <v>32</v>
      </c>
      <c r="L282" s="7">
        <v>34</v>
      </c>
      <c r="M282" s="7">
        <v>30</v>
      </c>
      <c r="N282" s="4"/>
      <c r="O282" s="15"/>
      <c r="P282" s="104"/>
      <c r="Q282" s="104"/>
      <c r="R282" s="128"/>
    </row>
    <row r="283" spans="2:18" ht="19.5" thickTop="1" thickBot="1" x14ac:dyDescent="0.3">
      <c r="B283" s="118"/>
      <c r="C283" s="107"/>
      <c r="D283" s="101"/>
      <c r="E283" s="1" t="s">
        <v>3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30</v>
      </c>
      <c r="L283" s="3">
        <v>0</v>
      </c>
      <c r="M283" s="3">
        <v>0</v>
      </c>
      <c r="N283" s="4"/>
      <c r="O283" s="15"/>
      <c r="P283" s="104"/>
      <c r="Q283" s="104"/>
      <c r="R283" s="128"/>
    </row>
    <row r="284" spans="2:18" ht="19.5" thickTop="1" thickBot="1" x14ac:dyDescent="0.3">
      <c r="B284" s="118"/>
      <c r="C284" s="107"/>
      <c r="D284" s="101"/>
      <c r="E284" s="17" t="s">
        <v>4</v>
      </c>
      <c r="F284" s="18">
        <f t="shared" ref="F284:M284" si="110">IF(F283&lt;30,F282,F282+F283)</f>
        <v>0</v>
      </c>
      <c r="G284" s="18">
        <f t="shared" si="110"/>
        <v>20</v>
      </c>
      <c r="H284" s="18">
        <f t="shared" si="110"/>
        <v>0</v>
      </c>
      <c r="I284" s="18">
        <f t="shared" si="110"/>
        <v>0</v>
      </c>
      <c r="J284" s="18">
        <f t="shared" si="110"/>
        <v>22</v>
      </c>
      <c r="K284" s="18">
        <f t="shared" si="110"/>
        <v>62</v>
      </c>
      <c r="L284" s="18">
        <f t="shared" si="110"/>
        <v>34</v>
      </c>
      <c r="M284" s="18">
        <f t="shared" si="110"/>
        <v>30</v>
      </c>
      <c r="N284" s="19"/>
      <c r="O284" s="20"/>
      <c r="P284" s="104"/>
      <c r="Q284" s="104"/>
      <c r="R284" s="128"/>
    </row>
    <row r="285" spans="2:18" ht="37.5" thickTop="1" thickBot="1" x14ac:dyDescent="0.3">
      <c r="B285" s="119"/>
      <c r="C285" s="108"/>
      <c r="D285" s="102"/>
      <c r="E285" s="68" t="s">
        <v>6</v>
      </c>
      <c r="F285" s="69">
        <f t="shared" ref="F285:M285" si="111">SUM(F281*F284)</f>
        <v>0</v>
      </c>
      <c r="G285" s="69">
        <f t="shared" si="111"/>
        <v>60</v>
      </c>
      <c r="H285" s="69">
        <f t="shared" si="111"/>
        <v>0</v>
      </c>
      <c r="I285" s="69">
        <f t="shared" si="111"/>
        <v>0</v>
      </c>
      <c r="J285" s="69">
        <f t="shared" si="111"/>
        <v>66</v>
      </c>
      <c r="K285" s="69">
        <f t="shared" si="111"/>
        <v>186</v>
      </c>
      <c r="L285" s="69">
        <f t="shared" si="111"/>
        <v>102</v>
      </c>
      <c r="M285" s="69">
        <f t="shared" si="111"/>
        <v>90</v>
      </c>
      <c r="N285" s="70">
        <f>SUM(F285:M285)</f>
        <v>504</v>
      </c>
      <c r="O285" s="69">
        <f>SUM(N285/N281)</f>
        <v>33.6</v>
      </c>
      <c r="P285" s="105"/>
      <c r="Q285" s="105"/>
      <c r="R285" s="129"/>
    </row>
    <row r="286" spans="2:18" ht="20.25" thickTop="1" thickBot="1" x14ac:dyDescent="0.35">
      <c r="B286" s="117">
        <v>-57</v>
      </c>
      <c r="C286" s="106" t="s">
        <v>123</v>
      </c>
      <c r="D286" s="101" t="s">
        <v>264</v>
      </c>
      <c r="E286" s="56" t="s">
        <v>5</v>
      </c>
      <c r="F286" s="57">
        <f>IF(IF(F289=0,0,3),3,0)</f>
        <v>0</v>
      </c>
      <c r="G286" s="57">
        <f>IF(IF(G289=0,0,3),3,0)</f>
        <v>3</v>
      </c>
      <c r="H286" s="57">
        <f>IF(IF(H289=0,0,2),2,0)</f>
        <v>0</v>
      </c>
      <c r="I286" s="57">
        <f>IF(IF(I289=0,0,2),2,0)</f>
        <v>0</v>
      </c>
      <c r="J286" s="57">
        <f>IF(IF(J289=0,0,3),3,0)</f>
        <v>3</v>
      </c>
      <c r="K286" s="57">
        <f>IF(IF(K289=0,0,3),3,0)</f>
        <v>3</v>
      </c>
      <c r="L286" s="57">
        <f>IF(IF(G289=0,0,3),3,0)</f>
        <v>3</v>
      </c>
      <c r="M286" s="57">
        <f>IF(IF(G289=0,0,3),3,0)</f>
        <v>3</v>
      </c>
      <c r="N286" s="57">
        <f>SUM(F286:M286)</f>
        <v>15</v>
      </c>
      <c r="O286" s="58"/>
      <c r="P286" s="109"/>
      <c r="Q286" s="109"/>
      <c r="R286" s="127"/>
    </row>
    <row r="287" spans="2:18" ht="19.5" thickTop="1" thickBot="1" x14ac:dyDescent="0.3">
      <c r="B287" s="118"/>
      <c r="C287" s="107"/>
      <c r="D287" s="101"/>
      <c r="E287" s="5" t="s">
        <v>216</v>
      </c>
      <c r="F287" s="6">
        <v>0</v>
      </c>
      <c r="G287" s="6">
        <v>26</v>
      </c>
      <c r="H287" s="6">
        <v>0</v>
      </c>
      <c r="I287" s="7">
        <v>0</v>
      </c>
      <c r="J287" s="7">
        <v>27</v>
      </c>
      <c r="K287" s="94">
        <v>20</v>
      </c>
      <c r="L287" s="7">
        <v>32</v>
      </c>
      <c r="M287" s="7">
        <v>20</v>
      </c>
      <c r="N287" s="4"/>
      <c r="O287" s="15"/>
      <c r="P287" s="110"/>
      <c r="Q287" s="110"/>
      <c r="R287" s="128"/>
    </row>
    <row r="288" spans="2:18" ht="19.5" thickTop="1" thickBot="1" x14ac:dyDescent="0.3">
      <c r="B288" s="118"/>
      <c r="C288" s="107"/>
      <c r="D288" s="101"/>
      <c r="E288" s="1" t="s">
        <v>3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95">
        <v>0</v>
      </c>
      <c r="L288" s="7">
        <v>0</v>
      </c>
      <c r="M288" s="3">
        <v>0</v>
      </c>
      <c r="N288" s="4"/>
      <c r="O288" s="15"/>
      <c r="P288" s="110"/>
      <c r="Q288" s="110"/>
      <c r="R288" s="128"/>
    </row>
    <row r="289" spans="2:18" ht="19.5" thickTop="1" thickBot="1" x14ac:dyDescent="0.3">
      <c r="B289" s="118"/>
      <c r="C289" s="107"/>
      <c r="D289" s="101"/>
      <c r="E289" s="17" t="s">
        <v>4</v>
      </c>
      <c r="F289" s="18">
        <f t="shared" ref="F289:M289" si="112">IF(F288&lt;30,F287,F287+F288)</f>
        <v>0</v>
      </c>
      <c r="G289" s="18">
        <f t="shared" si="112"/>
        <v>26</v>
      </c>
      <c r="H289" s="18">
        <f t="shared" si="112"/>
        <v>0</v>
      </c>
      <c r="I289" s="18">
        <f t="shared" si="112"/>
        <v>0</v>
      </c>
      <c r="J289" s="18">
        <f t="shared" si="112"/>
        <v>27</v>
      </c>
      <c r="K289" s="95">
        <f t="shared" si="112"/>
        <v>20</v>
      </c>
      <c r="L289" s="18">
        <f t="shared" si="112"/>
        <v>32</v>
      </c>
      <c r="M289" s="18">
        <f t="shared" si="112"/>
        <v>20</v>
      </c>
      <c r="N289" s="19"/>
      <c r="O289" s="20"/>
      <c r="P289" s="110"/>
      <c r="Q289" s="110"/>
      <c r="R289" s="128"/>
    </row>
    <row r="290" spans="2:18" ht="37.5" thickTop="1" thickBot="1" x14ac:dyDescent="0.3">
      <c r="B290" s="118"/>
      <c r="C290" s="108"/>
      <c r="D290" s="102"/>
      <c r="E290" s="11" t="s">
        <v>6</v>
      </c>
      <c r="F290" s="12">
        <f t="shared" ref="F290:M290" si="113">SUM(F286*F289)</f>
        <v>0</v>
      </c>
      <c r="G290" s="12">
        <f t="shared" si="113"/>
        <v>78</v>
      </c>
      <c r="H290" s="12">
        <f t="shared" si="113"/>
        <v>0</v>
      </c>
      <c r="I290" s="12">
        <f t="shared" si="113"/>
        <v>0</v>
      </c>
      <c r="J290" s="12">
        <f t="shared" si="113"/>
        <v>81</v>
      </c>
      <c r="K290" s="12">
        <f t="shared" si="113"/>
        <v>60</v>
      </c>
      <c r="L290" s="12">
        <f t="shared" si="113"/>
        <v>96</v>
      </c>
      <c r="M290" s="12">
        <f t="shared" si="113"/>
        <v>60</v>
      </c>
      <c r="N290" s="13">
        <f>SUM(F290:M290)</f>
        <v>375</v>
      </c>
      <c r="O290" s="16">
        <f>SUM(N290/N286)</f>
        <v>25</v>
      </c>
      <c r="P290" s="111"/>
      <c r="Q290" s="111"/>
      <c r="R290" s="129"/>
    </row>
    <row r="291" spans="2:18" ht="20.25" thickTop="1" thickBot="1" x14ac:dyDescent="0.35">
      <c r="B291" s="125">
        <v>-58</v>
      </c>
      <c r="C291" s="106" t="s">
        <v>124</v>
      </c>
      <c r="D291" s="101" t="s">
        <v>263</v>
      </c>
      <c r="E291" s="14" t="s">
        <v>5</v>
      </c>
      <c r="F291" s="57">
        <f>IF(IF(F294=0,0,3),3,0)</f>
        <v>0</v>
      </c>
      <c r="G291" s="57">
        <f>IF(IF(G294=0,0,3),3,0)</f>
        <v>3</v>
      </c>
      <c r="H291" s="57">
        <f>IF(IF(H294=0,0,2),2,0)</f>
        <v>0</v>
      </c>
      <c r="I291" s="57">
        <f>IF(IF(I294=0,0,2),2,0)</f>
        <v>0</v>
      </c>
      <c r="J291" s="57">
        <f>IF(IF(J294=0,0,3),3,0)</f>
        <v>3</v>
      </c>
      <c r="K291" s="57">
        <f>IF(IF(K294=0,0,3),3,0)</f>
        <v>3</v>
      </c>
      <c r="L291" s="57">
        <f>IF(IF(G294=0,0,3),3,0)</f>
        <v>3</v>
      </c>
      <c r="M291" s="57">
        <f>IF(IF(G294=0,0,3),3,0)</f>
        <v>3</v>
      </c>
      <c r="N291" s="57">
        <f>SUM(F291:M291)</f>
        <v>15</v>
      </c>
      <c r="O291" s="58"/>
      <c r="P291" s="103"/>
      <c r="Q291" s="103"/>
      <c r="R291" s="127"/>
    </row>
    <row r="292" spans="2:18" ht="19.5" thickTop="1" thickBot="1" x14ac:dyDescent="0.3">
      <c r="B292" s="118"/>
      <c r="C292" s="107"/>
      <c r="D292" s="101"/>
      <c r="E292" s="2" t="s">
        <v>216</v>
      </c>
      <c r="F292" s="6">
        <v>0</v>
      </c>
      <c r="G292" s="6">
        <v>30</v>
      </c>
      <c r="H292" s="6">
        <v>0</v>
      </c>
      <c r="I292" s="7">
        <v>0</v>
      </c>
      <c r="J292" s="7">
        <v>27</v>
      </c>
      <c r="K292" s="94">
        <v>18</v>
      </c>
      <c r="L292" s="7">
        <v>34</v>
      </c>
      <c r="M292" s="7">
        <v>20</v>
      </c>
      <c r="N292" s="4"/>
      <c r="O292" s="15"/>
      <c r="P292" s="104"/>
      <c r="Q292" s="104"/>
      <c r="R292" s="128"/>
    </row>
    <row r="293" spans="2:18" ht="19.5" thickTop="1" thickBot="1" x14ac:dyDescent="0.3">
      <c r="B293" s="118"/>
      <c r="C293" s="107"/>
      <c r="D293" s="101"/>
      <c r="E293" s="1" t="s">
        <v>3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95">
        <v>23</v>
      </c>
      <c r="L293" s="3">
        <v>0</v>
      </c>
      <c r="M293" s="3">
        <v>0</v>
      </c>
      <c r="N293" s="4"/>
      <c r="O293" s="15"/>
      <c r="P293" s="104"/>
      <c r="Q293" s="104"/>
      <c r="R293" s="128"/>
    </row>
    <row r="294" spans="2:18" ht="19.5" thickTop="1" thickBot="1" x14ac:dyDescent="0.3">
      <c r="B294" s="118"/>
      <c r="C294" s="107"/>
      <c r="D294" s="101"/>
      <c r="E294" s="17" t="s">
        <v>4</v>
      </c>
      <c r="F294" s="18">
        <f t="shared" ref="F294:M294" si="114">IF(F293&lt;30,F292,F292+F293)</f>
        <v>0</v>
      </c>
      <c r="G294" s="18">
        <f t="shared" si="114"/>
        <v>30</v>
      </c>
      <c r="H294" s="18">
        <f t="shared" si="114"/>
        <v>0</v>
      </c>
      <c r="I294" s="18">
        <f t="shared" si="114"/>
        <v>0</v>
      </c>
      <c r="J294" s="18">
        <f t="shared" si="114"/>
        <v>27</v>
      </c>
      <c r="K294" s="95">
        <f t="shared" si="114"/>
        <v>18</v>
      </c>
      <c r="L294" s="18">
        <f t="shared" si="114"/>
        <v>34</v>
      </c>
      <c r="M294" s="18">
        <f t="shared" si="114"/>
        <v>20</v>
      </c>
      <c r="N294" s="19"/>
      <c r="O294" s="20"/>
      <c r="P294" s="104"/>
      <c r="Q294" s="104"/>
      <c r="R294" s="128"/>
    </row>
    <row r="295" spans="2:18" ht="37.5" thickTop="1" thickBot="1" x14ac:dyDescent="0.3">
      <c r="B295" s="124"/>
      <c r="C295" s="108"/>
      <c r="D295" s="102"/>
      <c r="E295" s="11" t="s">
        <v>6</v>
      </c>
      <c r="F295" s="12">
        <f t="shared" ref="F295:M295" si="115">SUM(F291*F294)</f>
        <v>0</v>
      </c>
      <c r="G295" s="12">
        <f t="shared" si="115"/>
        <v>90</v>
      </c>
      <c r="H295" s="12">
        <f t="shared" si="115"/>
        <v>0</v>
      </c>
      <c r="I295" s="12">
        <f t="shared" si="115"/>
        <v>0</v>
      </c>
      <c r="J295" s="12">
        <f t="shared" si="115"/>
        <v>81</v>
      </c>
      <c r="K295" s="12">
        <f t="shared" si="115"/>
        <v>54</v>
      </c>
      <c r="L295" s="12">
        <f t="shared" si="115"/>
        <v>102</v>
      </c>
      <c r="M295" s="12">
        <f t="shared" si="115"/>
        <v>60</v>
      </c>
      <c r="N295" s="13">
        <f>SUM(F295:M295)</f>
        <v>387</v>
      </c>
      <c r="O295" s="16">
        <f>SUM(N295/N291)</f>
        <v>25.8</v>
      </c>
      <c r="P295" s="105"/>
      <c r="Q295" s="105"/>
      <c r="R295" s="129"/>
    </row>
    <row r="296" spans="2:18" ht="20.25" thickTop="1" thickBot="1" x14ac:dyDescent="0.35">
      <c r="B296" s="125">
        <v>-59</v>
      </c>
      <c r="C296" s="106" t="s">
        <v>125</v>
      </c>
      <c r="D296" s="101" t="s">
        <v>262</v>
      </c>
      <c r="E296" s="14" t="s">
        <v>5</v>
      </c>
      <c r="F296" s="57">
        <f>IF(IF(F299=0,0,3),3,0)</f>
        <v>0</v>
      </c>
      <c r="G296" s="57">
        <f>IF(IF(G299=0,0,3),3,0)</f>
        <v>3</v>
      </c>
      <c r="H296" s="57">
        <f>IF(IF(H299=0,0,2),2,0)</f>
        <v>0</v>
      </c>
      <c r="I296" s="57">
        <f>IF(IF(I299=0,0,2),2,0)</f>
        <v>0</v>
      </c>
      <c r="J296" s="57">
        <f>IF(IF(J299=0,0,3),3,0)</f>
        <v>3</v>
      </c>
      <c r="K296" s="57">
        <f>IF(IF(K299=0,0,3),3,0)</f>
        <v>0</v>
      </c>
      <c r="L296" s="57">
        <f>IF(IF(G299=0,0,3),3,0)</f>
        <v>3</v>
      </c>
      <c r="M296" s="57">
        <f>IF(IF(G299=0,0,3),3,0)</f>
        <v>3</v>
      </c>
      <c r="N296" s="57">
        <f>SUM(F296:M296)</f>
        <v>12</v>
      </c>
      <c r="O296" s="58"/>
      <c r="P296" s="103"/>
      <c r="Q296" s="103"/>
      <c r="R296" s="127"/>
    </row>
    <row r="297" spans="2:18" ht="19.5" thickTop="1" thickBot="1" x14ac:dyDescent="0.3">
      <c r="B297" s="118"/>
      <c r="C297" s="107"/>
      <c r="D297" s="101"/>
      <c r="E297" s="2" t="s">
        <v>216</v>
      </c>
      <c r="F297" s="6">
        <v>0</v>
      </c>
      <c r="G297" s="6">
        <v>20</v>
      </c>
      <c r="H297" s="6">
        <v>0</v>
      </c>
      <c r="I297" s="7">
        <v>0</v>
      </c>
      <c r="J297" s="7">
        <v>19</v>
      </c>
      <c r="K297" s="7">
        <v>0</v>
      </c>
      <c r="L297" s="92">
        <v>0</v>
      </c>
      <c r="M297" s="7">
        <v>0</v>
      </c>
      <c r="N297" s="4"/>
      <c r="O297" s="15"/>
      <c r="P297" s="104"/>
      <c r="Q297" s="104"/>
      <c r="R297" s="128"/>
    </row>
    <row r="298" spans="2:18" ht="19.5" thickTop="1" thickBot="1" x14ac:dyDescent="0.3">
      <c r="B298" s="118"/>
      <c r="C298" s="107"/>
      <c r="D298" s="101"/>
      <c r="E298" s="1" t="s">
        <v>3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93">
        <v>0</v>
      </c>
      <c r="M298" s="3">
        <v>0</v>
      </c>
      <c r="N298" s="4"/>
      <c r="O298" s="15"/>
      <c r="P298" s="104"/>
      <c r="Q298" s="104"/>
      <c r="R298" s="128"/>
    </row>
    <row r="299" spans="2:18" ht="19.5" thickTop="1" thickBot="1" x14ac:dyDescent="0.3">
      <c r="B299" s="118"/>
      <c r="C299" s="107"/>
      <c r="D299" s="101"/>
      <c r="E299" s="17" t="s">
        <v>4</v>
      </c>
      <c r="F299" s="18">
        <f t="shared" ref="F299:M299" si="116">IF(F298&lt;30,F297,F297+F298)</f>
        <v>0</v>
      </c>
      <c r="G299" s="18">
        <f t="shared" si="116"/>
        <v>20</v>
      </c>
      <c r="H299" s="18">
        <f t="shared" si="116"/>
        <v>0</v>
      </c>
      <c r="I299" s="18">
        <f t="shared" si="116"/>
        <v>0</v>
      </c>
      <c r="J299" s="18">
        <f t="shared" si="116"/>
        <v>19</v>
      </c>
      <c r="K299" s="18">
        <f t="shared" si="116"/>
        <v>0</v>
      </c>
      <c r="L299" s="18">
        <f t="shared" si="116"/>
        <v>0</v>
      </c>
      <c r="M299" s="18">
        <f t="shared" si="116"/>
        <v>0</v>
      </c>
      <c r="N299" s="19"/>
      <c r="O299" s="20"/>
      <c r="P299" s="104"/>
      <c r="Q299" s="104"/>
      <c r="R299" s="128"/>
    </row>
    <row r="300" spans="2:18" ht="37.5" thickTop="1" thickBot="1" x14ac:dyDescent="0.3">
      <c r="B300" s="124"/>
      <c r="C300" s="108"/>
      <c r="D300" s="102"/>
      <c r="E300" s="8" t="s">
        <v>6</v>
      </c>
      <c r="F300" s="12">
        <f t="shared" ref="F300:M300" si="117">SUM(F296*F299)</f>
        <v>0</v>
      </c>
      <c r="G300" s="12">
        <f t="shared" si="117"/>
        <v>60</v>
      </c>
      <c r="H300" s="12">
        <f t="shared" si="117"/>
        <v>0</v>
      </c>
      <c r="I300" s="12">
        <f t="shared" si="117"/>
        <v>0</v>
      </c>
      <c r="J300" s="12">
        <f t="shared" si="117"/>
        <v>57</v>
      </c>
      <c r="K300" s="12">
        <f t="shared" si="117"/>
        <v>0</v>
      </c>
      <c r="L300" s="12">
        <f t="shared" si="117"/>
        <v>0</v>
      </c>
      <c r="M300" s="12">
        <f t="shared" si="117"/>
        <v>0</v>
      </c>
      <c r="N300" s="13">
        <f>SUM(F300:M300)</f>
        <v>117</v>
      </c>
      <c r="O300" s="16">
        <f>SUM(N300/N296)</f>
        <v>9.75</v>
      </c>
      <c r="P300" s="105"/>
      <c r="Q300" s="105"/>
      <c r="R300" s="129"/>
    </row>
    <row r="301" spans="2:18" ht="20.25" thickTop="1" thickBot="1" x14ac:dyDescent="0.35">
      <c r="B301" s="125">
        <v>-60</v>
      </c>
      <c r="C301" s="106" t="s">
        <v>126</v>
      </c>
      <c r="D301" s="101" t="s">
        <v>261</v>
      </c>
      <c r="E301" s="10" t="s">
        <v>5</v>
      </c>
      <c r="F301" s="57">
        <f>IF(IF(F304=0,0,3),3,0)</f>
        <v>0</v>
      </c>
      <c r="G301" s="57">
        <f>IF(IF(G304=0,0,3),3,0)</f>
        <v>3</v>
      </c>
      <c r="H301" s="57">
        <f>IF(IF(H304=0,0,2),2,0)</f>
        <v>0</v>
      </c>
      <c r="I301" s="57">
        <f>IF(IF(I304=0,0,2),2,0)</f>
        <v>0</v>
      </c>
      <c r="J301" s="57">
        <f>IF(IF(J304=0,0,3),3,0)</f>
        <v>3</v>
      </c>
      <c r="K301" s="57">
        <f>IF(IF(K304=0,0,3),3,0)</f>
        <v>3</v>
      </c>
      <c r="L301" s="57">
        <f>IF(IF(G304=0,0,3),3,0)</f>
        <v>3</v>
      </c>
      <c r="M301" s="57">
        <f>IF(IF(G304=0,0,3),3,0)</f>
        <v>3</v>
      </c>
      <c r="N301" s="57">
        <f>SUM(F301:M301)</f>
        <v>15</v>
      </c>
      <c r="O301" s="58"/>
      <c r="P301" s="103"/>
      <c r="Q301" s="103"/>
      <c r="R301" s="127"/>
    </row>
    <row r="302" spans="2:18" ht="19.5" thickTop="1" thickBot="1" x14ac:dyDescent="0.3">
      <c r="B302" s="118"/>
      <c r="C302" s="107"/>
      <c r="D302" s="101"/>
      <c r="E302" s="2" t="s">
        <v>216</v>
      </c>
      <c r="F302" s="6">
        <v>0</v>
      </c>
      <c r="G302" s="6">
        <v>28</v>
      </c>
      <c r="H302" s="6">
        <v>0</v>
      </c>
      <c r="I302" s="7">
        <v>0</v>
      </c>
      <c r="J302" s="7">
        <v>27</v>
      </c>
      <c r="K302" s="94">
        <v>14</v>
      </c>
      <c r="L302" s="92">
        <v>0</v>
      </c>
      <c r="M302" s="7">
        <v>13</v>
      </c>
      <c r="N302" s="4"/>
      <c r="O302" s="15"/>
      <c r="P302" s="104"/>
      <c r="Q302" s="104"/>
      <c r="R302" s="128"/>
    </row>
    <row r="303" spans="2:18" ht="19.5" thickTop="1" thickBot="1" x14ac:dyDescent="0.3">
      <c r="B303" s="118"/>
      <c r="C303" s="107"/>
      <c r="D303" s="101"/>
      <c r="E303" s="1" t="s">
        <v>3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95">
        <v>5</v>
      </c>
      <c r="L303" s="93">
        <v>0</v>
      </c>
      <c r="M303" s="3">
        <v>0</v>
      </c>
      <c r="N303" s="4"/>
      <c r="O303" s="15"/>
      <c r="P303" s="104"/>
      <c r="Q303" s="104"/>
      <c r="R303" s="128"/>
    </row>
    <row r="304" spans="2:18" ht="19.5" thickTop="1" thickBot="1" x14ac:dyDescent="0.3">
      <c r="B304" s="118"/>
      <c r="C304" s="107"/>
      <c r="D304" s="101"/>
      <c r="E304" s="17" t="s">
        <v>4</v>
      </c>
      <c r="F304" s="18">
        <f t="shared" ref="F304:M304" si="118">IF(F303&lt;30,F302,F302+F303)</f>
        <v>0</v>
      </c>
      <c r="G304" s="18">
        <f t="shared" si="118"/>
        <v>28</v>
      </c>
      <c r="H304" s="18">
        <f t="shared" si="118"/>
        <v>0</v>
      </c>
      <c r="I304" s="18">
        <f t="shared" si="118"/>
        <v>0</v>
      </c>
      <c r="J304" s="18">
        <f t="shared" si="118"/>
        <v>27</v>
      </c>
      <c r="K304" s="95">
        <f t="shared" si="118"/>
        <v>14</v>
      </c>
      <c r="L304" s="18">
        <f t="shared" si="118"/>
        <v>0</v>
      </c>
      <c r="M304" s="18">
        <f t="shared" si="118"/>
        <v>13</v>
      </c>
      <c r="N304" s="19"/>
      <c r="O304" s="20"/>
      <c r="P304" s="104"/>
      <c r="Q304" s="104"/>
      <c r="R304" s="128"/>
    </row>
    <row r="305" spans="2:18" ht="37.5" thickTop="1" thickBot="1" x14ac:dyDescent="0.3">
      <c r="B305" s="124"/>
      <c r="C305" s="108"/>
      <c r="D305" s="102"/>
      <c r="E305" s="8" t="s">
        <v>6</v>
      </c>
      <c r="F305" s="12">
        <f t="shared" ref="F305:M305" si="119">SUM(F301*F304)</f>
        <v>0</v>
      </c>
      <c r="G305" s="12">
        <f t="shared" si="119"/>
        <v>84</v>
      </c>
      <c r="H305" s="12">
        <f t="shared" si="119"/>
        <v>0</v>
      </c>
      <c r="I305" s="12">
        <f t="shared" si="119"/>
        <v>0</v>
      </c>
      <c r="J305" s="12">
        <f t="shared" si="119"/>
        <v>81</v>
      </c>
      <c r="K305" s="12">
        <f t="shared" si="119"/>
        <v>42</v>
      </c>
      <c r="L305" s="12">
        <f t="shared" si="119"/>
        <v>0</v>
      </c>
      <c r="M305" s="12">
        <f t="shared" si="119"/>
        <v>39</v>
      </c>
      <c r="N305" s="13">
        <f>SUM(F305:M305)</f>
        <v>246</v>
      </c>
      <c r="O305" s="16">
        <f>SUM(N305/N301)</f>
        <v>16.399999999999999</v>
      </c>
      <c r="P305" s="105"/>
      <c r="Q305" s="105"/>
      <c r="R305" s="129"/>
    </row>
    <row r="306" spans="2:18" ht="20.25" thickTop="1" thickBot="1" x14ac:dyDescent="0.35">
      <c r="B306" s="125">
        <v>-61</v>
      </c>
      <c r="C306" s="106" t="s">
        <v>127</v>
      </c>
      <c r="D306" s="112" t="s">
        <v>260</v>
      </c>
      <c r="E306" s="10" t="s">
        <v>5</v>
      </c>
      <c r="F306" s="57">
        <f>IF(IF(F309=0,0,3),3,0)</f>
        <v>0</v>
      </c>
      <c r="G306" s="57">
        <f>IF(IF(G309=0,0,3),3,0)</f>
        <v>3</v>
      </c>
      <c r="H306" s="57">
        <f>IF(IF(H309=0,0,2),2,0)</f>
        <v>0</v>
      </c>
      <c r="I306" s="57">
        <f>IF(IF(I309=0,0,2),2,0)</f>
        <v>0</v>
      </c>
      <c r="J306" s="57">
        <f>IF(IF(J309=0,0,3),3,0)</f>
        <v>3</v>
      </c>
      <c r="K306" s="57">
        <f>IF(IF(K309=0,0,3),3,0)</f>
        <v>3</v>
      </c>
      <c r="L306" s="57">
        <f>IF(IF(G309=0,0,3),3,0)</f>
        <v>3</v>
      </c>
      <c r="M306" s="57">
        <f>IF(IF(G309=0,0,3),3,0)</f>
        <v>3</v>
      </c>
      <c r="N306" s="57">
        <f>SUM(F306:M306)</f>
        <v>15</v>
      </c>
      <c r="O306" s="58"/>
      <c r="P306" s="103"/>
      <c r="Q306" s="103"/>
      <c r="R306" s="127"/>
    </row>
    <row r="307" spans="2:18" ht="19.5" thickTop="1" thickBot="1" x14ac:dyDescent="0.3">
      <c r="B307" s="118"/>
      <c r="C307" s="107"/>
      <c r="D307" s="101"/>
      <c r="E307" s="2" t="s">
        <v>216</v>
      </c>
      <c r="F307" s="6">
        <v>0</v>
      </c>
      <c r="G307" s="6">
        <v>26</v>
      </c>
      <c r="H307" s="6">
        <v>0</v>
      </c>
      <c r="I307" s="7">
        <v>0</v>
      </c>
      <c r="J307" s="7">
        <v>29</v>
      </c>
      <c r="K307" s="7">
        <v>23</v>
      </c>
      <c r="L307" s="7">
        <v>30</v>
      </c>
      <c r="M307" s="7">
        <v>32</v>
      </c>
      <c r="N307" s="4"/>
      <c r="O307" s="15"/>
      <c r="P307" s="104"/>
      <c r="Q307" s="104"/>
      <c r="R307" s="128"/>
    </row>
    <row r="308" spans="2:18" ht="19.5" thickTop="1" thickBot="1" x14ac:dyDescent="0.3">
      <c r="B308" s="118"/>
      <c r="C308" s="107"/>
      <c r="D308" s="101"/>
      <c r="E308" s="1" t="s">
        <v>3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50</v>
      </c>
      <c r="L308" s="3">
        <v>0</v>
      </c>
      <c r="M308" s="3">
        <v>0</v>
      </c>
      <c r="N308" s="4"/>
      <c r="O308" s="15"/>
      <c r="P308" s="104"/>
      <c r="Q308" s="104"/>
      <c r="R308" s="128"/>
    </row>
    <row r="309" spans="2:18" ht="19.5" thickTop="1" thickBot="1" x14ac:dyDescent="0.3">
      <c r="B309" s="118"/>
      <c r="C309" s="107"/>
      <c r="D309" s="101"/>
      <c r="E309" s="17" t="s">
        <v>4</v>
      </c>
      <c r="F309" s="18">
        <f t="shared" ref="F309:M309" si="120">IF(F308&lt;30,F307,F307+F308)</f>
        <v>0</v>
      </c>
      <c r="G309" s="18">
        <f t="shared" si="120"/>
        <v>26</v>
      </c>
      <c r="H309" s="18">
        <f t="shared" si="120"/>
        <v>0</v>
      </c>
      <c r="I309" s="18">
        <f t="shared" si="120"/>
        <v>0</v>
      </c>
      <c r="J309" s="18">
        <f t="shared" si="120"/>
        <v>29</v>
      </c>
      <c r="K309" s="18">
        <f t="shared" si="120"/>
        <v>73</v>
      </c>
      <c r="L309" s="18">
        <f t="shared" si="120"/>
        <v>30</v>
      </c>
      <c r="M309" s="18">
        <f t="shared" si="120"/>
        <v>32</v>
      </c>
      <c r="N309" s="19"/>
      <c r="O309" s="20"/>
      <c r="P309" s="104"/>
      <c r="Q309" s="104"/>
      <c r="R309" s="128"/>
    </row>
    <row r="310" spans="2:18" ht="37.5" thickTop="1" thickBot="1" x14ac:dyDescent="0.3">
      <c r="B310" s="124"/>
      <c r="C310" s="108"/>
      <c r="D310" s="102"/>
      <c r="E310" s="8" t="s">
        <v>6</v>
      </c>
      <c r="F310" s="12">
        <f t="shared" ref="F310:M310" si="121">SUM(F306*F309)</f>
        <v>0</v>
      </c>
      <c r="G310" s="12">
        <f t="shared" si="121"/>
        <v>78</v>
      </c>
      <c r="H310" s="12">
        <f t="shared" si="121"/>
        <v>0</v>
      </c>
      <c r="I310" s="12">
        <f t="shared" si="121"/>
        <v>0</v>
      </c>
      <c r="J310" s="12">
        <f t="shared" si="121"/>
        <v>87</v>
      </c>
      <c r="K310" s="12">
        <f t="shared" si="121"/>
        <v>219</v>
      </c>
      <c r="L310" s="12">
        <f t="shared" si="121"/>
        <v>90</v>
      </c>
      <c r="M310" s="12">
        <f t="shared" si="121"/>
        <v>96</v>
      </c>
      <c r="N310" s="13">
        <f>SUM(F310:M310)</f>
        <v>570</v>
      </c>
      <c r="O310" s="16">
        <f>SUM(N310/N306)</f>
        <v>38</v>
      </c>
      <c r="P310" s="105"/>
      <c r="Q310" s="105"/>
      <c r="R310" s="129"/>
    </row>
    <row r="311" spans="2:18" ht="20.25" thickTop="1" thickBot="1" x14ac:dyDescent="0.35">
      <c r="B311" s="125">
        <v>-62</v>
      </c>
      <c r="C311" s="106" t="s">
        <v>128</v>
      </c>
      <c r="D311" s="112" t="s">
        <v>259</v>
      </c>
      <c r="E311" s="10" t="s">
        <v>5</v>
      </c>
      <c r="F311" s="57">
        <f>IF(IF(F314=0,0,3),3,0)</f>
        <v>0</v>
      </c>
      <c r="G311" s="57">
        <f>IF(IF(G314=0,0,3),3,0)</f>
        <v>3</v>
      </c>
      <c r="H311" s="57">
        <f>IF(IF(H314=0,0,2),2,0)</f>
        <v>0</v>
      </c>
      <c r="I311" s="57">
        <f>IF(IF(I314=0,0,2),2,0)</f>
        <v>0</v>
      </c>
      <c r="J311" s="57">
        <f>IF(IF(J314=0,0,3),3,0)</f>
        <v>3</v>
      </c>
      <c r="K311" s="57">
        <f>IF(IF(K314=0,0,3),3,0)</f>
        <v>0</v>
      </c>
      <c r="L311" s="57">
        <f>IF(IF(G314=0,0,3),3,0)</f>
        <v>3</v>
      </c>
      <c r="M311" s="57">
        <f>IF(IF(G314=0,0,3),3,0)</f>
        <v>3</v>
      </c>
      <c r="N311" s="57">
        <f>SUM(F311:M311)</f>
        <v>12</v>
      </c>
      <c r="O311" s="58"/>
      <c r="P311" s="103"/>
      <c r="Q311" s="103"/>
      <c r="R311" s="127"/>
    </row>
    <row r="312" spans="2:18" ht="19.5" thickTop="1" thickBot="1" x14ac:dyDescent="0.3">
      <c r="B312" s="118"/>
      <c r="C312" s="107"/>
      <c r="D312" s="101"/>
      <c r="E312" s="2" t="s">
        <v>216</v>
      </c>
      <c r="F312" s="6">
        <v>0</v>
      </c>
      <c r="G312" s="6">
        <v>22</v>
      </c>
      <c r="H312" s="6">
        <v>0</v>
      </c>
      <c r="I312" s="7">
        <v>0</v>
      </c>
      <c r="J312" s="7">
        <v>31</v>
      </c>
      <c r="K312" s="7">
        <v>0</v>
      </c>
      <c r="L312" s="7">
        <v>33</v>
      </c>
      <c r="M312" s="7">
        <v>38</v>
      </c>
      <c r="N312" s="4"/>
      <c r="O312" s="15"/>
      <c r="P312" s="104"/>
      <c r="Q312" s="104"/>
      <c r="R312" s="128"/>
    </row>
    <row r="313" spans="2:18" ht="19.5" thickTop="1" thickBot="1" x14ac:dyDescent="0.3">
      <c r="B313" s="118"/>
      <c r="C313" s="107"/>
      <c r="D313" s="101"/>
      <c r="E313" s="1" t="s">
        <v>3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4"/>
      <c r="O313" s="15"/>
      <c r="P313" s="104"/>
      <c r="Q313" s="104"/>
      <c r="R313" s="128"/>
    </row>
    <row r="314" spans="2:18" ht="19.5" thickTop="1" thickBot="1" x14ac:dyDescent="0.3">
      <c r="B314" s="118"/>
      <c r="C314" s="107"/>
      <c r="D314" s="101"/>
      <c r="E314" s="17" t="s">
        <v>4</v>
      </c>
      <c r="F314" s="18">
        <f t="shared" ref="F314:M314" si="122">IF(F313&lt;30,F312,F312+F313)</f>
        <v>0</v>
      </c>
      <c r="G314" s="18">
        <f t="shared" si="122"/>
        <v>22</v>
      </c>
      <c r="H314" s="18">
        <f t="shared" si="122"/>
        <v>0</v>
      </c>
      <c r="I314" s="18">
        <f t="shared" si="122"/>
        <v>0</v>
      </c>
      <c r="J314" s="18">
        <f t="shared" si="122"/>
        <v>31</v>
      </c>
      <c r="K314" s="18">
        <f t="shared" si="122"/>
        <v>0</v>
      </c>
      <c r="L314" s="18">
        <f t="shared" si="122"/>
        <v>33</v>
      </c>
      <c r="M314" s="18">
        <f t="shared" si="122"/>
        <v>38</v>
      </c>
      <c r="N314" s="19"/>
      <c r="O314" s="20"/>
      <c r="P314" s="104"/>
      <c r="Q314" s="104"/>
      <c r="R314" s="128"/>
    </row>
    <row r="315" spans="2:18" ht="37.5" thickTop="1" thickBot="1" x14ac:dyDescent="0.3">
      <c r="B315" s="124"/>
      <c r="C315" s="108"/>
      <c r="D315" s="102"/>
      <c r="E315" s="11" t="s">
        <v>6</v>
      </c>
      <c r="F315" s="12">
        <f t="shared" ref="F315:M315" si="123">SUM(F311*F314)</f>
        <v>0</v>
      </c>
      <c r="G315" s="12">
        <f t="shared" si="123"/>
        <v>66</v>
      </c>
      <c r="H315" s="12">
        <f t="shared" si="123"/>
        <v>0</v>
      </c>
      <c r="I315" s="12">
        <f t="shared" si="123"/>
        <v>0</v>
      </c>
      <c r="J315" s="12">
        <f t="shared" si="123"/>
        <v>93</v>
      </c>
      <c r="K315" s="12">
        <f t="shared" si="123"/>
        <v>0</v>
      </c>
      <c r="L315" s="12">
        <f t="shared" si="123"/>
        <v>99</v>
      </c>
      <c r="M315" s="12">
        <f t="shared" si="123"/>
        <v>114</v>
      </c>
      <c r="N315" s="13">
        <f>SUM(F315:M315)</f>
        <v>372</v>
      </c>
      <c r="O315" s="16">
        <f>SUM(N315/N311)</f>
        <v>31</v>
      </c>
      <c r="P315" s="105"/>
      <c r="Q315" s="105"/>
      <c r="R315" s="129"/>
    </row>
    <row r="316" spans="2:18" ht="20.25" thickTop="1" thickBot="1" x14ac:dyDescent="0.35">
      <c r="B316" s="125">
        <v>-63</v>
      </c>
      <c r="C316" s="106" t="s">
        <v>129</v>
      </c>
      <c r="D316" s="112" t="s">
        <v>258</v>
      </c>
      <c r="E316" s="10" t="s">
        <v>5</v>
      </c>
      <c r="F316" s="57">
        <f>IF(IF(F319=0,0,3),3,0)</f>
        <v>0</v>
      </c>
      <c r="G316" s="57">
        <f>IF(IF(G319=0,0,3),3,0)</f>
        <v>0</v>
      </c>
      <c r="H316" s="57">
        <f>IF(IF(H319=0,0,2),2,0)</f>
        <v>0</v>
      </c>
      <c r="I316" s="57">
        <f>IF(IF(I319=0,0,2),2,0)</f>
        <v>0</v>
      </c>
      <c r="J316" s="57">
        <f>IF(IF(J319=0,0,3),3,0)</f>
        <v>0</v>
      </c>
      <c r="K316" s="57">
        <f>IF(IF(K319=0,0,3),3,0)</f>
        <v>0</v>
      </c>
      <c r="L316" s="57">
        <f>IF(IF(G319=0,0,3),3,0)</f>
        <v>0</v>
      </c>
      <c r="M316" s="57">
        <f>IF(IF(G319=0,0,3),3,0)</f>
        <v>0</v>
      </c>
      <c r="N316" s="57">
        <f>SUM(F316:M316)</f>
        <v>0</v>
      </c>
      <c r="O316" s="58"/>
      <c r="P316" s="103"/>
      <c r="Q316" s="103"/>
      <c r="R316" s="133" t="s">
        <v>101</v>
      </c>
    </row>
    <row r="317" spans="2:18" ht="19.5" thickTop="1" thickBot="1" x14ac:dyDescent="0.3">
      <c r="B317" s="118"/>
      <c r="C317" s="107"/>
      <c r="D317" s="101"/>
      <c r="E317" s="2" t="s">
        <v>216</v>
      </c>
      <c r="F317" s="6">
        <v>0</v>
      </c>
      <c r="G317" s="6">
        <v>0</v>
      </c>
      <c r="H317" s="6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4"/>
      <c r="O317" s="15"/>
      <c r="P317" s="104"/>
      <c r="Q317" s="104"/>
      <c r="R317" s="134"/>
    </row>
    <row r="318" spans="2:18" ht="19.5" thickTop="1" thickBot="1" x14ac:dyDescent="0.3">
      <c r="B318" s="118"/>
      <c r="C318" s="107"/>
      <c r="D318" s="101"/>
      <c r="E318" s="1" t="s">
        <v>3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4"/>
      <c r="O318" s="15"/>
      <c r="P318" s="104"/>
      <c r="Q318" s="104"/>
      <c r="R318" s="134"/>
    </row>
    <row r="319" spans="2:18" ht="19.5" thickTop="1" thickBot="1" x14ac:dyDescent="0.3">
      <c r="B319" s="118"/>
      <c r="C319" s="107"/>
      <c r="D319" s="101"/>
      <c r="E319" s="17" t="s">
        <v>4</v>
      </c>
      <c r="F319" s="18">
        <f t="shared" ref="F319:M319" si="124">IF(F318&lt;30,F317,F317+F318)</f>
        <v>0</v>
      </c>
      <c r="G319" s="18">
        <f t="shared" si="124"/>
        <v>0</v>
      </c>
      <c r="H319" s="18">
        <f t="shared" si="124"/>
        <v>0</v>
      </c>
      <c r="I319" s="18">
        <f t="shared" si="124"/>
        <v>0</v>
      </c>
      <c r="J319" s="18">
        <f t="shared" si="124"/>
        <v>0</v>
      </c>
      <c r="K319" s="18">
        <f t="shared" si="124"/>
        <v>0</v>
      </c>
      <c r="L319" s="18">
        <f t="shared" si="124"/>
        <v>0</v>
      </c>
      <c r="M319" s="18">
        <f t="shared" si="124"/>
        <v>0</v>
      </c>
      <c r="N319" s="19"/>
      <c r="O319" s="20"/>
      <c r="P319" s="104"/>
      <c r="Q319" s="104"/>
      <c r="R319" s="134"/>
    </row>
    <row r="320" spans="2:18" ht="37.5" thickTop="1" thickBot="1" x14ac:dyDescent="0.3">
      <c r="B320" s="119"/>
      <c r="C320" s="108"/>
      <c r="D320" s="102"/>
      <c r="E320" s="68" t="s">
        <v>6</v>
      </c>
      <c r="F320" s="69">
        <f t="shared" ref="F320:M320" si="125">SUM(F316*F319)</f>
        <v>0</v>
      </c>
      <c r="G320" s="69">
        <f t="shared" si="125"/>
        <v>0</v>
      </c>
      <c r="H320" s="69">
        <f t="shared" si="125"/>
        <v>0</v>
      </c>
      <c r="I320" s="69">
        <f t="shared" si="125"/>
        <v>0</v>
      </c>
      <c r="J320" s="69">
        <f t="shared" si="125"/>
        <v>0</v>
      </c>
      <c r="K320" s="69">
        <f t="shared" si="125"/>
        <v>0</v>
      </c>
      <c r="L320" s="69">
        <f t="shared" si="125"/>
        <v>0</v>
      </c>
      <c r="M320" s="69">
        <f t="shared" si="125"/>
        <v>0</v>
      </c>
      <c r="N320" s="70">
        <f>SUM(F320:M320)</f>
        <v>0</v>
      </c>
      <c r="O320" s="69" t="e">
        <f>SUM(N320/N316)</f>
        <v>#DIV/0!</v>
      </c>
      <c r="P320" s="105"/>
      <c r="Q320" s="105"/>
      <c r="R320" s="135"/>
    </row>
    <row r="321" spans="2:18" ht="20.25" thickTop="1" thickBot="1" x14ac:dyDescent="0.35">
      <c r="B321" s="117">
        <v>-64</v>
      </c>
      <c r="C321" s="106" t="s">
        <v>130</v>
      </c>
      <c r="D321" s="101" t="s">
        <v>257</v>
      </c>
      <c r="E321" s="56" t="s">
        <v>5</v>
      </c>
      <c r="F321" s="57">
        <f>IF(IF(F324=0,0,3),3,0)</f>
        <v>0</v>
      </c>
      <c r="G321" s="57">
        <f>IF(IF(G324=0,0,3),3,0)</f>
        <v>0</v>
      </c>
      <c r="H321" s="57">
        <f>IF(IF(H324=0,0,2),2,0)</f>
        <v>0</v>
      </c>
      <c r="I321" s="57">
        <f>IF(IF(I324=0,0,2),2,0)</f>
        <v>0</v>
      </c>
      <c r="J321" s="57">
        <f>IF(IF(J324=0,0,3),3,0)</f>
        <v>0</v>
      </c>
      <c r="K321" s="57">
        <f>IF(IF(K324=0,0,3),3,0)</f>
        <v>0</v>
      </c>
      <c r="L321" s="57">
        <f>IF(IF(G324=0,0,3),3,0)</f>
        <v>0</v>
      </c>
      <c r="M321" s="57">
        <f>IF(IF(G324=0,0,3),3,0)</f>
        <v>0</v>
      </c>
      <c r="N321" s="57">
        <f>SUM(F321:M321)</f>
        <v>0</v>
      </c>
      <c r="O321" s="58"/>
      <c r="P321" s="109"/>
      <c r="Q321" s="109"/>
      <c r="R321" s="127"/>
    </row>
    <row r="322" spans="2:18" ht="19.5" thickTop="1" thickBot="1" x14ac:dyDescent="0.3">
      <c r="B322" s="118"/>
      <c r="C322" s="107"/>
      <c r="D322" s="101"/>
      <c r="E322" s="5" t="s">
        <v>216</v>
      </c>
      <c r="F322" s="6">
        <v>0</v>
      </c>
      <c r="G322" s="6">
        <v>0</v>
      </c>
      <c r="H322" s="6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4"/>
      <c r="O322" s="15"/>
      <c r="P322" s="110"/>
      <c r="Q322" s="110"/>
      <c r="R322" s="128"/>
    </row>
    <row r="323" spans="2:18" ht="19.5" thickTop="1" thickBot="1" x14ac:dyDescent="0.3">
      <c r="B323" s="118"/>
      <c r="C323" s="107"/>
      <c r="D323" s="101"/>
      <c r="E323" s="1" t="s">
        <v>3</v>
      </c>
      <c r="F323" s="3">
        <v>0</v>
      </c>
      <c r="G323" s="3">
        <v>0</v>
      </c>
      <c r="H323" s="3">
        <v>0</v>
      </c>
      <c r="I323" s="3">
        <v>0</v>
      </c>
      <c r="J323" s="93">
        <v>0</v>
      </c>
      <c r="K323" s="3">
        <v>0</v>
      </c>
      <c r="L323" s="3">
        <v>0</v>
      </c>
      <c r="M323" s="3">
        <v>0</v>
      </c>
      <c r="N323" s="4"/>
      <c r="O323" s="15"/>
      <c r="P323" s="110"/>
      <c r="Q323" s="110"/>
      <c r="R323" s="128"/>
    </row>
    <row r="324" spans="2:18" ht="19.5" thickTop="1" thickBot="1" x14ac:dyDescent="0.3">
      <c r="B324" s="118"/>
      <c r="C324" s="107"/>
      <c r="D324" s="101"/>
      <c r="E324" s="17" t="s">
        <v>4</v>
      </c>
      <c r="F324" s="18">
        <f t="shared" ref="F324:M324" si="126">IF(F323&lt;30,F322,F322+F323)</f>
        <v>0</v>
      </c>
      <c r="G324" s="18">
        <f t="shared" si="126"/>
        <v>0</v>
      </c>
      <c r="H324" s="18">
        <f t="shared" si="126"/>
        <v>0</v>
      </c>
      <c r="I324" s="18">
        <f t="shared" si="126"/>
        <v>0</v>
      </c>
      <c r="J324" s="18">
        <f t="shared" si="126"/>
        <v>0</v>
      </c>
      <c r="K324" s="18">
        <f t="shared" si="126"/>
        <v>0</v>
      </c>
      <c r="L324" s="18">
        <f t="shared" si="126"/>
        <v>0</v>
      </c>
      <c r="M324" s="18">
        <f t="shared" si="126"/>
        <v>0</v>
      </c>
      <c r="N324" s="19"/>
      <c r="O324" s="20"/>
      <c r="P324" s="110"/>
      <c r="Q324" s="110"/>
      <c r="R324" s="128"/>
    </row>
    <row r="325" spans="2:18" ht="37.5" thickTop="1" thickBot="1" x14ac:dyDescent="0.3">
      <c r="B325" s="124"/>
      <c r="C325" s="108"/>
      <c r="D325" s="102"/>
      <c r="E325" s="11" t="s">
        <v>6</v>
      </c>
      <c r="F325" s="12">
        <f t="shared" ref="F325:M325" si="127">SUM(F321*F324)</f>
        <v>0</v>
      </c>
      <c r="G325" s="12">
        <f t="shared" si="127"/>
        <v>0</v>
      </c>
      <c r="H325" s="12">
        <f t="shared" si="127"/>
        <v>0</v>
      </c>
      <c r="I325" s="12">
        <f t="shared" si="127"/>
        <v>0</v>
      </c>
      <c r="J325" s="12">
        <f t="shared" si="127"/>
        <v>0</v>
      </c>
      <c r="K325" s="12">
        <f t="shared" si="127"/>
        <v>0</v>
      </c>
      <c r="L325" s="12">
        <f t="shared" si="127"/>
        <v>0</v>
      </c>
      <c r="M325" s="12">
        <f t="shared" si="127"/>
        <v>0</v>
      </c>
      <c r="N325" s="13">
        <f>SUM(F325:M325)</f>
        <v>0</v>
      </c>
      <c r="O325" s="16" t="e">
        <f>SUM(N325/N321)</f>
        <v>#DIV/0!</v>
      </c>
      <c r="P325" s="111"/>
      <c r="Q325" s="111"/>
      <c r="R325" s="129"/>
    </row>
    <row r="326" spans="2:18" ht="20.25" thickTop="1" thickBot="1" x14ac:dyDescent="0.35">
      <c r="B326" s="125">
        <v>-65</v>
      </c>
      <c r="C326" s="106" t="s">
        <v>131</v>
      </c>
      <c r="D326" s="101" t="s">
        <v>256</v>
      </c>
      <c r="E326" s="14" t="s">
        <v>5</v>
      </c>
      <c r="F326" s="57">
        <f>IF(IF(F329=0,0,3),3,0)</f>
        <v>0</v>
      </c>
      <c r="G326" s="57">
        <f>IF(IF(G329=0,0,3),3,0)</f>
        <v>3</v>
      </c>
      <c r="H326" s="57">
        <f>IF(IF(H329=0,0,2),2,0)</f>
        <v>0</v>
      </c>
      <c r="I326" s="57">
        <f>IF(IF(I329=0,0,2),2,0)</f>
        <v>0</v>
      </c>
      <c r="J326" s="57">
        <f>IF(IF(J329=0,0,3),3,0)</f>
        <v>3</v>
      </c>
      <c r="K326" s="57">
        <f>IF(IF(K329=0,0,3),3,0)</f>
        <v>3</v>
      </c>
      <c r="L326" s="57">
        <f>IF(IF(G329=0,0,3),3,0)</f>
        <v>3</v>
      </c>
      <c r="M326" s="57">
        <f>IF(IF(G329=0,0,3),3,0)</f>
        <v>3</v>
      </c>
      <c r="N326" s="57">
        <f>SUM(F326:M326)</f>
        <v>15</v>
      </c>
      <c r="O326" s="58"/>
      <c r="P326" s="103"/>
      <c r="Q326" s="103"/>
      <c r="R326" s="127"/>
    </row>
    <row r="327" spans="2:18" ht="19.5" thickTop="1" thickBot="1" x14ac:dyDescent="0.3">
      <c r="B327" s="118"/>
      <c r="C327" s="107"/>
      <c r="D327" s="101"/>
      <c r="E327" s="2" t="s">
        <v>216</v>
      </c>
      <c r="F327" s="6">
        <v>0</v>
      </c>
      <c r="G327" s="6">
        <v>30</v>
      </c>
      <c r="H327" s="6">
        <v>0</v>
      </c>
      <c r="I327" s="7">
        <v>0</v>
      </c>
      <c r="J327" s="7">
        <v>30</v>
      </c>
      <c r="K327" s="7">
        <v>34</v>
      </c>
      <c r="L327" s="7">
        <v>34</v>
      </c>
      <c r="M327" s="7">
        <v>40</v>
      </c>
      <c r="N327" s="4"/>
      <c r="O327" s="15"/>
      <c r="P327" s="104"/>
      <c r="Q327" s="104"/>
      <c r="R327" s="128"/>
    </row>
    <row r="328" spans="2:18" ht="19.5" thickTop="1" thickBot="1" x14ac:dyDescent="0.3">
      <c r="B328" s="118"/>
      <c r="C328" s="107"/>
      <c r="D328" s="101"/>
      <c r="E328" s="1" t="s">
        <v>3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48</v>
      </c>
      <c r="L328" s="3">
        <v>0</v>
      </c>
      <c r="M328" s="3">
        <v>0</v>
      </c>
      <c r="N328" s="4"/>
      <c r="O328" s="15"/>
      <c r="P328" s="104"/>
      <c r="Q328" s="104"/>
      <c r="R328" s="128"/>
    </row>
    <row r="329" spans="2:18" ht="19.5" thickTop="1" thickBot="1" x14ac:dyDescent="0.3">
      <c r="B329" s="118"/>
      <c r="C329" s="107"/>
      <c r="D329" s="101"/>
      <c r="E329" s="17" t="s">
        <v>4</v>
      </c>
      <c r="F329" s="18">
        <f t="shared" ref="F329:M329" si="128">IF(F328&lt;30,F327,F327+F328)</f>
        <v>0</v>
      </c>
      <c r="G329" s="18">
        <f t="shared" si="128"/>
        <v>30</v>
      </c>
      <c r="H329" s="18">
        <f t="shared" si="128"/>
        <v>0</v>
      </c>
      <c r="I329" s="18">
        <f t="shared" si="128"/>
        <v>0</v>
      </c>
      <c r="J329" s="18">
        <f t="shared" si="128"/>
        <v>30</v>
      </c>
      <c r="K329" s="18">
        <f t="shared" si="128"/>
        <v>82</v>
      </c>
      <c r="L329" s="18">
        <f t="shared" si="128"/>
        <v>34</v>
      </c>
      <c r="M329" s="18">
        <f t="shared" si="128"/>
        <v>40</v>
      </c>
      <c r="N329" s="19"/>
      <c r="O329" s="20"/>
      <c r="P329" s="104"/>
      <c r="Q329" s="104"/>
      <c r="R329" s="128"/>
    </row>
    <row r="330" spans="2:18" ht="37.5" thickTop="1" thickBot="1" x14ac:dyDescent="0.3">
      <c r="B330" s="124"/>
      <c r="C330" s="108"/>
      <c r="D330" s="102"/>
      <c r="E330" s="11" t="s">
        <v>6</v>
      </c>
      <c r="F330" s="12">
        <f t="shared" ref="F330:M330" si="129">SUM(F326*F329)</f>
        <v>0</v>
      </c>
      <c r="G330" s="12">
        <f t="shared" si="129"/>
        <v>90</v>
      </c>
      <c r="H330" s="12">
        <f t="shared" si="129"/>
        <v>0</v>
      </c>
      <c r="I330" s="12">
        <f t="shared" si="129"/>
        <v>0</v>
      </c>
      <c r="J330" s="12">
        <f t="shared" si="129"/>
        <v>90</v>
      </c>
      <c r="K330" s="12">
        <f t="shared" si="129"/>
        <v>246</v>
      </c>
      <c r="L330" s="12">
        <f t="shared" si="129"/>
        <v>102</v>
      </c>
      <c r="M330" s="12">
        <f t="shared" si="129"/>
        <v>120</v>
      </c>
      <c r="N330" s="13">
        <f>SUM(F330:M330)</f>
        <v>648</v>
      </c>
      <c r="O330" s="16">
        <f>SUM(N330/N326)</f>
        <v>43.2</v>
      </c>
      <c r="P330" s="105"/>
      <c r="Q330" s="105"/>
      <c r="R330" s="129"/>
    </row>
    <row r="331" spans="2:18" ht="20.25" thickTop="1" thickBot="1" x14ac:dyDescent="0.35">
      <c r="B331" s="125">
        <v>-66</v>
      </c>
      <c r="C331" s="138" t="s">
        <v>132</v>
      </c>
      <c r="D331" s="101" t="s">
        <v>255</v>
      </c>
      <c r="E331" s="14" t="s">
        <v>5</v>
      </c>
      <c r="F331" s="57">
        <f>IF(IF(F334=0,0,3),3,0)</f>
        <v>0</v>
      </c>
      <c r="G331" s="57">
        <f>IF(IF(G334=0,0,3),3,0)</f>
        <v>3</v>
      </c>
      <c r="H331" s="57">
        <f>IF(IF(H334=0,0,2),2,0)</f>
        <v>0</v>
      </c>
      <c r="I331" s="57">
        <f>IF(IF(I334=0,0,2),2,0)</f>
        <v>0</v>
      </c>
      <c r="J331" s="57">
        <f>IF(IF(J334=0,0,3),3,0)</f>
        <v>0</v>
      </c>
      <c r="K331" s="57">
        <f>IF(IF(K334=0,0,3),3,0)</f>
        <v>3</v>
      </c>
      <c r="L331" s="57">
        <f>IF(IF(G334=0,0,3),3,0)</f>
        <v>3</v>
      </c>
      <c r="M331" s="57">
        <f>IF(IF(G334=0,0,3),3,0)</f>
        <v>3</v>
      </c>
      <c r="N331" s="57">
        <f>SUM(F331:M331)</f>
        <v>12</v>
      </c>
      <c r="O331" s="58"/>
      <c r="P331" s="103"/>
      <c r="Q331" s="103"/>
      <c r="R331" s="139" t="s">
        <v>370</v>
      </c>
    </row>
    <row r="332" spans="2:18" ht="19.5" thickTop="1" thickBot="1" x14ac:dyDescent="0.3">
      <c r="B332" s="118"/>
      <c r="C332" s="107"/>
      <c r="D332" s="101"/>
      <c r="E332" s="2" t="s">
        <v>216</v>
      </c>
      <c r="F332" s="6">
        <v>0</v>
      </c>
      <c r="G332" s="6">
        <v>20</v>
      </c>
      <c r="H332" s="6">
        <v>0</v>
      </c>
      <c r="I332" s="7">
        <v>0</v>
      </c>
      <c r="J332" s="7">
        <v>0</v>
      </c>
      <c r="K332" s="94">
        <v>20</v>
      </c>
      <c r="L332" s="7">
        <v>20</v>
      </c>
      <c r="M332" s="7">
        <v>20</v>
      </c>
      <c r="N332" s="4"/>
      <c r="O332" s="15"/>
      <c r="P332" s="104"/>
      <c r="Q332" s="104"/>
      <c r="R332" s="131"/>
    </row>
    <row r="333" spans="2:18" ht="19.5" thickTop="1" thickBot="1" x14ac:dyDescent="0.3">
      <c r="B333" s="118"/>
      <c r="C333" s="107"/>
      <c r="D333" s="101"/>
      <c r="E333" s="1" t="s">
        <v>3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95">
        <v>0</v>
      </c>
      <c r="L333" s="3">
        <v>0</v>
      </c>
      <c r="M333" s="3">
        <v>0</v>
      </c>
      <c r="N333" s="4"/>
      <c r="O333" s="15"/>
      <c r="P333" s="104"/>
      <c r="Q333" s="104"/>
      <c r="R333" s="131"/>
    </row>
    <row r="334" spans="2:18" ht="19.5" thickTop="1" thickBot="1" x14ac:dyDescent="0.3">
      <c r="B334" s="118"/>
      <c r="C334" s="107"/>
      <c r="D334" s="101"/>
      <c r="E334" s="17" t="s">
        <v>4</v>
      </c>
      <c r="F334" s="18">
        <f t="shared" ref="F334:M334" si="130">IF(F333&lt;30,F332,F332+F333)</f>
        <v>0</v>
      </c>
      <c r="G334" s="18">
        <f t="shared" si="130"/>
        <v>20</v>
      </c>
      <c r="H334" s="18">
        <f t="shared" si="130"/>
        <v>0</v>
      </c>
      <c r="I334" s="18">
        <f t="shared" si="130"/>
        <v>0</v>
      </c>
      <c r="J334" s="18">
        <f t="shared" si="130"/>
        <v>0</v>
      </c>
      <c r="K334" s="95">
        <f t="shared" si="130"/>
        <v>20</v>
      </c>
      <c r="L334" s="18">
        <f t="shared" si="130"/>
        <v>20</v>
      </c>
      <c r="M334" s="18">
        <f t="shared" si="130"/>
        <v>20</v>
      </c>
      <c r="N334" s="19"/>
      <c r="O334" s="20"/>
      <c r="P334" s="104"/>
      <c r="Q334" s="104"/>
      <c r="R334" s="131"/>
    </row>
    <row r="335" spans="2:18" ht="37.5" thickTop="1" thickBot="1" x14ac:dyDescent="0.3">
      <c r="B335" s="124"/>
      <c r="C335" s="108"/>
      <c r="D335" s="102"/>
      <c r="E335" s="8" t="s">
        <v>6</v>
      </c>
      <c r="F335" s="12">
        <f t="shared" ref="F335:M335" si="131">SUM(F331*F334)</f>
        <v>0</v>
      </c>
      <c r="G335" s="12">
        <f t="shared" si="131"/>
        <v>60</v>
      </c>
      <c r="H335" s="12">
        <f t="shared" si="131"/>
        <v>0</v>
      </c>
      <c r="I335" s="12">
        <f t="shared" si="131"/>
        <v>0</v>
      </c>
      <c r="J335" s="12">
        <f t="shared" si="131"/>
        <v>0</v>
      </c>
      <c r="K335" s="12">
        <f t="shared" si="131"/>
        <v>60</v>
      </c>
      <c r="L335" s="12">
        <f t="shared" si="131"/>
        <v>60</v>
      </c>
      <c r="M335" s="12">
        <f t="shared" si="131"/>
        <v>60</v>
      </c>
      <c r="N335" s="13">
        <f>SUM(F335:M335)</f>
        <v>240</v>
      </c>
      <c r="O335" s="16">
        <f>SUM(N335/N331)</f>
        <v>20</v>
      </c>
      <c r="P335" s="105"/>
      <c r="Q335" s="105"/>
      <c r="R335" s="140"/>
    </row>
    <row r="336" spans="2:18" ht="20.25" thickTop="1" thickBot="1" x14ac:dyDescent="0.35">
      <c r="B336" s="125">
        <v>-67</v>
      </c>
      <c r="C336" s="106" t="s">
        <v>133</v>
      </c>
      <c r="D336" s="101" t="s">
        <v>254</v>
      </c>
      <c r="E336" s="10" t="s">
        <v>5</v>
      </c>
      <c r="F336" s="57">
        <f>IF(IF(F339=0,0,3),3,0)</f>
        <v>0</v>
      </c>
      <c r="G336" s="57">
        <f>IF(IF(G339=0,0,3),3,0)</f>
        <v>3</v>
      </c>
      <c r="H336" s="57">
        <f>IF(IF(H339=0,0,2),2,0)</f>
        <v>0</v>
      </c>
      <c r="I336" s="57">
        <f>IF(IF(I339=0,0,2),2,0)</f>
        <v>0</v>
      </c>
      <c r="J336" s="57">
        <f>IF(IF(J339=0,0,3),3,0)</f>
        <v>3</v>
      </c>
      <c r="K336" s="57">
        <f>IF(IF(K339=0,0,3),3,0)</f>
        <v>3</v>
      </c>
      <c r="L336" s="57">
        <f>IF(IF(G339=0,0,3),3,0)</f>
        <v>3</v>
      </c>
      <c r="M336" s="57">
        <f>IF(IF(G339=0,0,3),3,0)</f>
        <v>3</v>
      </c>
      <c r="N336" s="57">
        <f>SUM(F336:M336)</f>
        <v>15</v>
      </c>
      <c r="O336" s="58"/>
      <c r="P336" s="103"/>
      <c r="Q336" s="103"/>
      <c r="R336" s="127"/>
    </row>
    <row r="337" spans="2:18" ht="19.5" thickTop="1" thickBot="1" x14ac:dyDescent="0.3">
      <c r="B337" s="118"/>
      <c r="C337" s="107"/>
      <c r="D337" s="101"/>
      <c r="E337" s="2" t="s">
        <v>216</v>
      </c>
      <c r="F337" s="6">
        <v>0</v>
      </c>
      <c r="G337" s="6">
        <v>23</v>
      </c>
      <c r="H337" s="6">
        <v>0</v>
      </c>
      <c r="I337" s="7">
        <v>0</v>
      </c>
      <c r="J337" s="7">
        <v>26</v>
      </c>
      <c r="K337" s="94">
        <v>18</v>
      </c>
      <c r="L337" s="7">
        <v>38</v>
      </c>
      <c r="M337" s="7">
        <v>25</v>
      </c>
      <c r="N337" s="4"/>
      <c r="O337" s="15"/>
      <c r="P337" s="104"/>
      <c r="Q337" s="104"/>
      <c r="R337" s="128"/>
    </row>
    <row r="338" spans="2:18" ht="19.5" thickTop="1" thickBot="1" x14ac:dyDescent="0.3">
      <c r="B338" s="118"/>
      <c r="C338" s="107"/>
      <c r="D338" s="101"/>
      <c r="E338" s="1" t="s">
        <v>3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95">
        <v>25</v>
      </c>
      <c r="L338" s="3">
        <v>0</v>
      </c>
      <c r="M338" s="3">
        <v>0</v>
      </c>
      <c r="N338" s="4"/>
      <c r="O338" s="15"/>
      <c r="P338" s="104"/>
      <c r="Q338" s="104"/>
      <c r="R338" s="128"/>
    </row>
    <row r="339" spans="2:18" ht="19.5" thickTop="1" thickBot="1" x14ac:dyDescent="0.3">
      <c r="B339" s="118"/>
      <c r="C339" s="107"/>
      <c r="D339" s="101"/>
      <c r="E339" s="17" t="s">
        <v>4</v>
      </c>
      <c r="F339" s="18">
        <f t="shared" ref="F339:M339" si="132">IF(F338&lt;30,F337,F337+F338)</f>
        <v>0</v>
      </c>
      <c r="G339" s="18">
        <f t="shared" si="132"/>
        <v>23</v>
      </c>
      <c r="H339" s="18">
        <f t="shared" si="132"/>
        <v>0</v>
      </c>
      <c r="I339" s="18">
        <f t="shared" si="132"/>
        <v>0</v>
      </c>
      <c r="J339" s="18">
        <f t="shared" si="132"/>
        <v>26</v>
      </c>
      <c r="K339" s="95">
        <f t="shared" si="132"/>
        <v>18</v>
      </c>
      <c r="L339" s="18">
        <f t="shared" si="132"/>
        <v>38</v>
      </c>
      <c r="M339" s="18">
        <f t="shared" si="132"/>
        <v>25</v>
      </c>
      <c r="N339" s="19"/>
      <c r="O339" s="20"/>
      <c r="P339" s="104"/>
      <c r="Q339" s="104"/>
      <c r="R339" s="128"/>
    </row>
    <row r="340" spans="2:18" ht="37.5" thickTop="1" thickBot="1" x14ac:dyDescent="0.3">
      <c r="B340" s="124"/>
      <c r="C340" s="108"/>
      <c r="D340" s="102"/>
      <c r="E340" s="8" t="s">
        <v>6</v>
      </c>
      <c r="F340" s="12">
        <f t="shared" ref="F340:M340" si="133">SUM(F336*F339)</f>
        <v>0</v>
      </c>
      <c r="G340" s="12">
        <f t="shared" si="133"/>
        <v>69</v>
      </c>
      <c r="H340" s="12">
        <f t="shared" si="133"/>
        <v>0</v>
      </c>
      <c r="I340" s="12">
        <f t="shared" si="133"/>
        <v>0</v>
      </c>
      <c r="J340" s="12">
        <f t="shared" si="133"/>
        <v>78</v>
      </c>
      <c r="K340" s="12">
        <f t="shared" si="133"/>
        <v>54</v>
      </c>
      <c r="L340" s="12">
        <f t="shared" si="133"/>
        <v>114</v>
      </c>
      <c r="M340" s="12">
        <f t="shared" si="133"/>
        <v>75</v>
      </c>
      <c r="N340" s="13">
        <f>SUM(F340:M340)</f>
        <v>390</v>
      </c>
      <c r="O340" s="16">
        <f>SUM(N340/N336)</f>
        <v>26</v>
      </c>
      <c r="P340" s="105"/>
      <c r="Q340" s="105"/>
      <c r="R340" s="129"/>
    </row>
    <row r="341" spans="2:18" ht="20.25" thickTop="1" thickBot="1" x14ac:dyDescent="0.35">
      <c r="B341" s="125">
        <v>-68</v>
      </c>
      <c r="C341" s="106" t="s">
        <v>134</v>
      </c>
      <c r="D341" s="112" t="s">
        <v>253</v>
      </c>
      <c r="E341" s="10" t="s">
        <v>5</v>
      </c>
      <c r="F341" s="57">
        <f>IF(IF(F344=0,0,3),3,0)</f>
        <v>0</v>
      </c>
      <c r="G341" s="57">
        <f>IF(IF(G344=0,0,3),3,0)</f>
        <v>3</v>
      </c>
      <c r="H341" s="57">
        <f>IF(IF(H344=0,0,2),2,0)</f>
        <v>0</v>
      </c>
      <c r="I341" s="57">
        <f>IF(IF(I344=0,0,2),2,0)</f>
        <v>0</v>
      </c>
      <c r="J341" s="57">
        <f>IF(IF(J344=0,0,3),3,0)</f>
        <v>3</v>
      </c>
      <c r="K341" s="57">
        <f>IF(IF(K344=0,0,3),3,0)</f>
        <v>3</v>
      </c>
      <c r="L341" s="57">
        <f>IF(IF(G344=0,0,3),3,0)</f>
        <v>3</v>
      </c>
      <c r="M341" s="57">
        <f>IF(IF(G344=0,0,3),3,0)</f>
        <v>3</v>
      </c>
      <c r="N341" s="57">
        <f>SUM(F341:M341)</f>
        <v>15</v>
      </c>
      <c r="O341" s="58"/>
      <c r="P341" s="103"/>
      <c r="Q341" s="103"/>
      <c r="R341" s="130" t="s">
        <v>370</v>
      </c>
    </row>
    <row r="342" spans="2:18" ht="19.5" thickTop="1" thickBot="1" x14ac:dyDescent="0.3">
      <c r="B342" s="118"/>
      <c r="C342" s="107"/>
      <c r="D342" s="101"/>
      <c r="E342" s="2" t="s">
        <v>216</v>
      </c>
      <c r="F342" s="6">
        <v>0</v>
      </c>
      <c r="G342" s="6">
        <v>20</v>
      </c>
      <c r="H342" s="6">
        <v>0</v>
      </c>
      <c r="I342" s="7">
        <v>0</v>
      </c>
      <c r="J342" s="7">
        <v>16</v>
      </c>
      <c r="K342" s="94">
        <v>15</v>
      </c>
      <c r="L342" s="7">
        <v>30</v>
      </c>
      <c r="M342" s="7">
        <v>5</v>
      </c>
      <c r="N342" s="4"/>
      <c r="O342" s="15"/>
      <c r="P342" s="104"/>
      <c r="Q342" s="104"/>
      <c r="R342" s="131"/>
    </row>
    <row r="343" spans="2:18" ht="19.5" thickTop="1" thickBot="1" x14ac:dyDescent="0.3">
      <c r="B343" s="118"/>
      <c r="C343" s="107"/>
      <c r="D343" s="101"/>
      <c r="E343" s="1" t="s">
        <v>3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95">
        <v>0</v>
      </c>
      <c r="L343" s="3">
        <v>0</v>
      </c>
      <c r="M343" s="3">
        <v>0</v>
      </c>
      <c r="N343" s="4"/>
      <c r="O343" s="15"/>
      <c r="P343" s="104"/>
      <c r="Q343" s="104"/>
      <c r="R343" s="131"/>
    </row>
    <row r="344" spans="2:18" ht="19.5" thickTop="1" thickBot="1" x14ac:dyDescent="0.3">
      <c r="B344" s="118"/>
      <c r="C344" s="107"/>
      <c r="D344" s="101"/>
      <c r="E344" s="17" t="s">
        <v>4</v>
      </c>
      <c r="F344" s="18">
        <f t="shared" ref="F344:M344" si="134">IF(F343&lt;30,F342,F342+F343)</f>
        <v>0</v>
      </c>
      <c r="G344" s="18">
        <f t="shared" si="134"/>
        <v>20</v>
      </c>
      <c r="H344" s="18">
        <f t="shared" si="134"/>
        <v>0</v>
      </c>
      <c r="I344" s="18">
        <f t="shared" si="134"/>
        <v>0</v>
      </c>
      <c r="J344" s="18">
        <f t="shared" si="134"/>
        <v>16</v>
      </c>
      <c r="K344" s="95">
        <f t="shared" si="134"/>
        <v>15</v>
      </c>
      <c r="L344" s="18">
        <f t="shared" si="134"/>
        <v>30</v>
      </c>
      <c r="M344" s="18">
        <f t="shared" si="134"/>
        <v>5</v>
      </c>
      <c r="N344" s="19"/>
      <c r="O344" s="20"/>
      <c r="P344" s="104"/>
      <c r="Q344" s="104"/>
      <c r="R344" s="131"/>
    </row>
    <row r="345" spans="2:18" ht="37.5" thickTop="1" thickBot="1" x14ac:dyDescent="0.3">
      <c r="B345" s="124"/>
      <c r="C345" s="108"/>
      <c r="D345" s="102"/>
      <c r="E345" s="8" t="s">
        <v>6</v>
      </c>
      <c r="F345" s="12">
        <f t="shared" ref="F345:M345" si="135">SUM(F341*F344)</f>
        <v>0</v>
      </c>
      <c r="G345" s="12">
        <f t="shared" si="135"/>
        <v>60</v>
      </c>
      <c r="H345" s="12">
        <f t="shared" si="135"/>
        <v>0</v>
      </c>
      <c r="I345" s="12">
        <f t="shared" si="135"/>
        <v>0</v>
      </c>
      <c r="J345" s="12">
        <f t="shared" si="135"/>
        <v>48</v>
      </c>
      <c r="K345" s="12">
        <f t="shared" si="135"/>
        <v>45</v>
      </c>
      <c r="L345" s="12">
        <f t="shared" si="135"/>
        <v>90</v>
      </c>
      <c r="M345" s="12">
        <f t="shared" si="135"/>
        <v>15</v>
      </c>
      <c r="N345" s="13">
        <f>SUM(F345:M345)</f>
        <v>258</v>
      </c>
      <c r="O345" s="16">
        <f>SUM(N345/N341)</f>
        <v>17.2</v>
      </c>
      <c r="P345" s="105"/>
      <c r="Q345" s="105"/>
      <c r="R345" s="132"/>
    </row>
    <row r="346" spans="2:18" ht="20.25" thickTop="1" thickBot="1" x14ac:dyDescent="0.35">
      <c r="B346" s="125">
        <v>-69</v>
      </c>
      <c r="C346" s="106" t="s">
        <v>135</v>
      </c>
      <c r="D346" s="112" t="s">
        <v>252</v>
      </c>
      <c r="E346" s="10" t="s">
        <v>5</v>
      </c>
      <c r="F346" s="57">
        <f>IF(IF(F349=0,0,3),3,0)</f>
        <v>0</v>
      </c>
      <c r="G346" s="57">
        <f>IF(IF(G349=0,0,3),3,0)</f>
        <v>3</v>
      </c>
      <c r="H346" s="57">
        <f>IF(IF(H349=0,0,2),2,0)</f>
        <v>0</v>
      </c>
      <c r="I346" s="57">
        <f>IF(IF(I349=0,0,2),2,0)</f>
        <v>0</v>
      </c>
      <c r="J346" s="57">
        <f>IF(IF(J349=0,0,3),3,0)</f>
        <v>3</v>
      </c>
      <c r="K346" s="57">
        <f>IF(IF(K349=0,0,3),3,0)</f>
        <v>3</v>
      </c>
      <c r="L346" s="57">
        <f>IF(IF(G349=0,0,3),3,0)</f>
        <v>3</v>
      </c>
      <c r="M346" s="57">
        <f>IF(IF(G349=0,0,3),3,0)</f>
        <v>3</v>
      </c>
      <c r="N346" s="57">
        <f>SUM(F346:M346)</f>
        <v>15</v>
      </c>
      <c r="O346" s="58"/>
      <c r="P346" s="103"/>
      <c r="Q346" s="103"/>
      <c r="R346" s="127"/>
    </row>
    <row r="347" spans="2:18" ht="19.5" thickTop="1" thickBot="1" x14ac:dyDescent="0.3">
      <c r="B347" s="118"/>
      <c r="C347" s="107"/>
      <c r="D347" s="101"/>
      <c r="E347" s="2" t="s">
        <v>216</v>
      </c>
      <c r="F347" s="6">
        <v>0</v>
      </c>
      <c r="G347" s="6">
        <v>22</v>
      </c>
      <c r="H347" s="6">
        <v>0</v>
      </c>
      <c r="I347" s="7">
        <v>0</v>
      </c>
      <c r="J347" s="7">
        <v>20</v>
      </c>
      <c r="K347" s="7">
        <v>25</v>
      </c>
      <c r="L347" s="7">
        <v>35</v>
      </c>
      <c r="M347" s="7">
        <v>40</v>
      </c>
      <c r="N347" s="4"/>
      <c r="O347" s="15"/>
      <c r="P347" s="104"/>
      <c r="Q347" s="104"/>
      <c r="R347" s="128"/>
    </row>
    <row r="348" spans="2:18" ht="19.5" thickTop="1" thickBot="1" x14ac:dyDescent="0.3">
      <c r="B348" s="118"/>
      <c r="C348" s="107"/>
      <c r="D348" s="101"/>
      <c r="E348" s="1" t="s">
        <v>3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33</v>
      </c>
      <c r="L348" s="3">
        <v>0</v>
      </c>
      <c r="M348" s="3">
        <v>0</v>
      </c>
      <c r="N348" s="4"/>
      <c r="O348" s="15"/>
      <c r="P348" s="104"/>
      <c r="Q348" s="104"/>
      <c r="R348" s="128"/>
    </row>
    <row r="349" spans="2:18" ht="19.5" thickTop="1" thickBot="1" x14ac:dyDescent="0.3">
      <c r="B349" s="118"/>
      <c r="C349" s="107"/>
      <c r="D349" s="101"/>
      <c r="E349" s="17" t="s">
        <v>4</v>
      </c>
      <c r="F349" s="18">
        <f t="shared" ref="F349:M349" si="136">IF(F348&lt;30,F347,F347+F348)</f>
        <v>0</v>
      </c>
      <c r="G349" s="18">
        <f t="shared" si="136"/>
        <v>22</v>
      </c>
      <c r="H349" s="18">
        <f t="shared" si="136"/>
        <v>0</v>
      </c>
      <c r="I349" s="18">
        <f t="shared" si="136"/>
        <v>0</v>
      </c>
      <c r="J349" s="18">
        <f t="shared" si="136"/>
        <v>20</v>
      </c>
      <c r="K349" s="18">
        <f t="shared" si="136"/>
        <v>58</v>
      </c>
      <c r="L349" s="18">
        <f t="shared" si="136"/>
        <v>35</v>
      </c>
      <c r="M349" s="18">
        <f t="shared" si="136"/>
        <v>40</v>
      </c>
      <c r="N349" s="19"/>
      <c r="O349" s="20"/>
      <c r="P349" s="104"/>
      <c r="Q349" s="104"/>
      <c r="R349" s="128"/>
    </row>
    <row r="350" spans="2:18" ht="37.5" thickTop="1" thickBot="1" x14ac:dyDescent="0.3">
      <c r="B350" s="124"/>
      <c r="C350" s="108"/>
      <c r="D350" s="102"/>
      <c r="E350" s="11" t="s">
        <v>6</v>
      </c>
      <c r="F350" s="12">
        <f t="shared" ref="F350:M350" si="137">SUM(F346*F349)</f>
        <v>0</v>
      </c>
      <c r="G350" s="12">
        <f t="shared" si="137"/>
        <v>66</v>
      </c>
      <c r="H350" s="12">
        <f t="shared" si="137"/>
        <v>0</v>
      </c>
      <c r="I350" s="12">
        <f t="shared" si="137"/>
        <v>0</v>
      </c>
      <c r="J350" s="12">
        <f t="shared" si="137"/>
        <v>60</v>
      </c>
      <c r="K350" s="12">
        <f t="shared" si="137"/>
        <v>174</v>
      </c>
      <c r="L350" s="12">
        <f t="shared" si="137"/>
        <v>105</v>
      </c>
      <c r="M350" s="12">
        <f t="shared" si="137"/>
        <v>120</v>
      </c>
      <c r="N350" s="13">
        <f>SUM(F350:M350)</f>
        <v>525</v>
      </c>
      <c r="O350" s="16">
        <f>SUM(N350/N346)</f>
        <v>35</v>
      </c>
      <c r="P350" s="105"/>
      <c r="Q350" s="105"/>
      <c r="R350" s="129"/>
    </row>
    <row r="351" spans="2:18" ht="20.25" thickTop="1" thickBot="1" x14ac:dyDescent="0.35">
      <c r="B351" s="125">
        <v>-70</v>
      </c>
      <c r="C351" s="106" t="s">
        <v>136</v>
      </c>
      <c r="D351" s="112" t="s">
        <v>251</v>
      </c>
      <c r="E351" s="10" t="s">
        <v>5</v>
      </c>
      <c r="F351" s="57">
        <f>IF(IF(F354=0,0,3),3,0)</f>
        <v>0</v>
      </c>
      <c r="G351" s="57">
        <f>IF(IF(G354=0,0,3),3,0)</f>
        <v>3</v>
      </c>
      <c r="H351" s="57">
        <f>IF(IF(H354=0,0,2),2,0)</f>
        <v>0</v>
      </c>
      <c r="I351" s="57">
        <f>IF(IF(I354=0,0,2),2,0)</f>
        <v>0</v>
      </c>
      <c r="J351" s="57">
        <f>IF(IF(J354=0,0,3),3,0)</f>
        <v>0</v>
      </c>
      <c r="K351" s="57">
        <f>IF(IF(K354=0,0,3),3,0)</f>
        <v>3</v>
      </c>
      <c r="L351" s="57">
        <f>IF(IF(G354=0,0,3),3,0)</f>
        <v>3</v>
      </c>
      <c r="M351" s="57">
        <f>IF(IF(G354=0,0,3),3,0)</f>
        <v>3</v>
      </c>
      <c r="N351" s="57">
        <f>SUM(F351:M351)</f>
        <v>12</v>
      </c>
      <c r="O351" s="58"/>
      <c r="P351" s="103"/>
      <c r="Q351" s="103"/>
      <c r="R351" s="127"/>
    </row>
    <row r="352" spans="2:18" ht="19.5" thickTop="1" thickBot="1" x14ac:dyDescent="0.3">
      <c r="B352" s="118"/>
      <c r="C352" s="107"/>
      <c r="D352" s="101"/>
      <c r="E352" s="2" t="s">
        <v>216</v>
      </c>
      <c r="F352" s="6">
        <v>0</v>
      </c>
      <c r="G352" s="6">
        <v>20</v>
      </c>
      <c r="H352" s="6">
        <v>0</v>
      </c>
      <c r="I352" s="7">
        <v>0</v>
      </c>
      <c r="J352" s="7">
        <v>0</v>
      </c>
      <c r="K352" s="94">
        <v>22</v>
      </c>
      <c r="L352" s="7">
        <v>30</v>
      </c>
      <c r="M352" s="7">
        <v>3</v>
      </c>
      <c r="N352" s="4"/>
      <c r="O352" s="15"/>
      <c r="P352" s="104"/>
      <c r="Q352" s="104"/>
      <c r="R352" s="128"/>
    </row>
    <row r="353" spans="2:18" ht="19.5" thickTop="1" thickBot="1" x14ac:dyDescent="0.3">
      <c r="B353" s="118"/>
      <c r="C353" s="107"/>
      <c r="D353" s="101"/>
      <c r="E353" s="1" t="s">
        <v>3</v>
      </c>
      <c r="F353" s="3">
        <v>0</v>
      </c>
      <c r="G353" s="3">
        <v>0</v>
      </c>
      <c r="H353" s="3">
        <v>0</v>
      </c>
      <c r="I353" s="3">
        <v>0</v>
      </c>
      <c r="J353" s="93">
        <v>0</v>
      </c>
      <c r="K353" s="95">
        <v>0</v>
      </c>
      <c r="L353" s="3">
        <v>0</v>
      </c>
      <c r="M353" s="3">
        <v>0</v>
      </c>
      <c r="N353" s="4"/>
      <c r="O353" s="15"/>
      <c r="P353" s="104"/>
      <c r="Q353" s="104"/>
      <c r="R353" s="128"/>
    </row>
    <row r="354" spans="2:18" ht="19.5" thickTop="1" thickBot="1" x14ac:dyDescent="0.3">
      <c r="B354" s="118"/>
      <c r="C354" s="107"/>
      <c r="D354" s="101"/>
      <c r="E354" s="17" t="s">
        <v>4</v>
      </c>
      <c r="F354" s="18">
        <f t="shared" ref="F354:M354" si="138">IF(F353&lt;30,F352,F352+F353)</f>
        <v>0</v>
      </c>
      <c r="G354" s="18">
        <f t="shared" si="138"/>
        <v>20</v>
      </c>
      <c r="H354" s="18">
        <f t="shared" si="138"/>
        <v>0</v>
      </c>
      <c r="I354" s="18">
        <f t="shared" si="138"/>
        <v>0</v>
      </c>
      <c r="J354" s="18">
        <f t="shared" si="138"/>
        <v>0</v>
      </c>
      <c r="K354" s="95">
        <f t="shared" si="138"/>
        <v>22</v>
      </c>
      <c r="L354" s="18">
        <f t="shared" si="138"/>
        <v>30</v>
      </c>
      <c r="M354" s="18">
        <f t="shared" si="138"/>
        <v>3</v>
      </c>
      <c r="N354" s="19"/>
      <c r="O354" s="20"/>
      <c r="P354" s="104"/>
      <c r="Q354" s="104"/>
      <c r="R354" s="128"/>
    </row>
    <row r="355" spans="2:18" ht="37.5" thickTop="1" thickBot="1" x14ac:dyDescent="0.3">
      <c r="B355" s="119"/>
      <c r="C355" s="108"/>
      <c r="D355" s="102"/>
      <c r="E355" s="68" t="s">
        <v>6</v>
      </c>
      <c r="F355" s="69">
        <f t="shared" ref="F355:M355" si="139">SUM(F351*F354)</f>
        <v>0</v>
      </c>
      <c r="G355" s="69">
        <f t="shared" si="139"/>
        <v>60</v>
      </c>
      <c r="H355" s="69">
        <f t="shared" si="139"/>
        <v>0</v>
      </c>
      <c r="I355" s="69">
        <f t="shared" si="139"/>
        <v>0</v>
      </c>
      <c r="J355" s="69">
        <f t="shared" si="139"/>
        <v>0</v>
      </c>
      <c r="K355" s="69">
        <f t="shared" si="139"/>
        <v>66</v>
      </c>
      <c r="L355" s="69">
        <f t="shared" si="139"/>
        <v>90</v>
      </c>
      <c r="M355" s="69">
        <f t="shared" si="139"/>
        <v>9</v>
      </c>
      <c r="N355" s="70">
        <f>SUM(F355:M355)</f>
        <v>225</v>
      </c>
      <c r="O355" s="69">
        <f>SUM(N355/N351)</f>
        <v>18.75</v>
      </c>
      <c r="P355" s="105"/>
      <c r="Q355" s="105"/>
      <c r="R355" s="129"/>
    </row>
    <row r="356" spans="2:18" ht="20.25" thickTop="1" thickBot="1" x14ac:dyDescent="0.35">
      <c r="B356" s="117">
        <v>71</v>
      </c>
      <c r="C356" s="106" t="s">
        <v>137</v>
      </c>
      <c r="D356" s="101" t="s">
        <v>250</v>
      </c>
      <c r="E356" s="56" t="s">
        <v>5</v>
      </c>
      <c r="F356" s="57">
        <f>IF(IF(F359=0,0,3),3,0)</f>
        <v>0</v>
      </c>
      <c r="G356" s="57">
        <f>IF(IF(G359=0,0,3),3,0)</f>
        <v>3</v>
      </c>
      <c r="H356" s="57">
        <f>IF(IF(H359=0,0,2),2,0)</f>
        <v>0</v>
      </c>
      <c r="I356" s="57">
        <f>IF(IF(I359=0,0,2),2,0)</f>
        <v>0</v>
      </c>
      <c r="J356" s="57">
        <f>IF(IF(J359=0,0,3),3,0)</f>
        <v>0</v>
      </c>
      <c r="K356" s="57">
        <f>IF(IF(K359=0,0,3),3,0)</f>
        <v>3</v>
      </c>
      <c r="L356" s="57">
        <f>IF(IF(G359=0,0,3),3,0)</f>
        <v>3</v>
      </c>
      <c r="M356" s="57">
        <f>IF(IF(G359=0,0,3),3,0)</f>
        <v>3</v>
      </c>
      <c r="N356" s="57">
        <f>SUM(F356:M356)</f>
        <v>12</v>
      </c>
      <c r="O356" s="58"/>
      <c r="P356" s="109"/>
      <c r="Q356" s="109"/>
      <c r="R356" s="127"/>
    </row>
    <row r="357" spans="2:18" ht="19.5" thickTop="1" thickBot="1" x14ac:dyDescent="0.3">
      <c r="B357" s="118"/>
      <c r="C357" s="107"/>
      <c r="D357" s="101"/>
      <c r="E357" s="5" t="s">
        <v>216</v>
      </c>
      <c r="F357" s="6">
        <v>0</v>
      </c>
      <c r="G357" s="6">
        <v>20</v>
      </c>
      <c r="H357" s="6">
        <v>0</v>
      </c>
      <c r="I357" s="7">
        <v>0</v>
      </c>
      <c r="J357" s="7">
        <v>0</v>
      </c>
      <c r="K357" s="94">
        <v>10</v>
      </c>
      <c r="L357" s="7">
        <v>26</v>
      </c>
      <c r="M357" s="95">
        <v>0</v>
      </c>
      <c r="N357" s="4"/>
      <c r="O357" s="15"/>
      <c r="P357" s="110"/>
      <c r="Q357" s="110"/>
      <c r="R357" s="128"/>
    </row>
    <row r="358" spans="2:18" ht="19.5" thickTop="1" thickBot="1" x14ac:dyDescent="0.3">
      <c r="B358" s="118"/>
      <c r="C358" s="107"/>
      <c r="D358" s="101"/>
      <c r="E358" s="1" t="s">
        <v>3</v>
      </c>
      <c r="F358" s="3">
        <v>0</v>
      </c>
      <c r="G358" s="3">
        <v>0</v>
      </c>
      <c r="H358" s="3">
        <v>0</v>
      </c>
      <c r="I358" s="3">
        <v>0</v>
      </c>
      <c r="J358" s="93">
        <v>0</v>
      </c>
      <c r="K358" s="95">
        <v>0</v>
      </c>
      <c r="L358" s="3">
        <v>0</v>
      </c>
      <c r="M358" s="3">
        <v>0</v>
      </c>
      <c r="N358" s="4"/>
      <c r="O358" s="15"/>
      <c r="P358" s="110"/>
      <c r="Q358" s="110"/>
      <c r="R358" s="128"/>
    </row>
    <row r="359" spans="2:18" ht="19.5" thickTop="1" thickBot="1" x14ac:dyDescent="0.3">
      <c r="B359" s="118"/>
      <c r="C359" s="107"/>
      <c r="D359" s="101"/>
      <c r="E359" s="17" t="s">
        <v>4</v>
      </c>
      <c r="F359" s="18">
        <f t="shared" ref="F359:M359" si="140">IF(F358&lt;30,F357,F357+F358)</f>
        <v>0</v>
      </c>
      <c r="G359" s="18">
        <f t="shared" si="140"/>
        <v>20</v>
      </c>
      <c r="H359" s="18">
        <f t="shared" si="140"/>
        <v>0</v>
      </c>
      <c r="I359" s="18">
        <f t="shared" si="140"/>
        <v>0</v>
      </c>
      <c r="J359" s="18">
        <f t="shared" si="140"/>
        <v>0</v>
      </c>
      <c r="K359" s="95">
        <f t="shared" si="140"/>
        <v>10</v>
      </c>
      <c r="L359" s="18">
        <f t="shared" si="140"/>
        <v>26</v>
      </c>
      <c r="M359" s="18">
        <f t="shared" si="140"/>
        <v>0</v>
      </c>
      <c r="N359" s="19"/>
      <c r="O359" s="20"/>
      <c r="P359" s="110"/>
      <c r="Q359" s="110"/>
      <c r="R359" s="128"/>
    </row>
    <row r="360" spans="2:18" ht="37.5" thickTop="1" thickBot="1" x14ac:dyDescent="0.3">
      <c r="B360" s="118"/>
      <c r="C360" s="108"/>
      <c r="D360" s="102"/>
      <c r="E360" s="11" t="s">
        <v>6</v>
      </c>
      <c r="F360" s="12">
        <f t="shared" ref="F360:M360" si="141">SUM(F356*F359)</f>
        <v>0</v>
      </c>
      <c r="G360" s="12">
        <f t="shared" si="141"/>
        <v>60</v>
      </c>
      <c r="H360" s="12">
        <f t="shared" si="141"/>
        <v>0</v>
      </c>
      <c r="I360" s="12">
        <f t="shared" si="141"/>
        <v>0</v>
      </c>
      <c r="J360" s="12">
        <f t="shared" si="141"/>
        <v>0</v>
      </c>
      <c r="K360" s="12">
        <f t="shared" si="141"/>
        <v>30</v>
      </c>
      <c r="L360" s="12">
        <f t="shared" si="141"/>
        <v>78</v>
      </c>
      <c r="M360" s="12">
        <f t="shared" si="141"/>
        <v>0</v>
      </c>
      <c r="N360" s="13">
        <f>SUM(F360:M360)</f>
        <v>168</v>
      </c>
      <c r="O360" s="16">
        <f>SUM(N360/N356)</f>
        <v>14</v>
      </c>
      <c r="P360" s="111"/>
      <c r="Q360" s="111"/>
      <c r="R360" s="129"/>
    </row>
    <row r="361" spans="2:18" ht="20.25" thickTop="1" thickBot="1" x14ac:dyDescent="0.35">
      <c r="B361" s="125">
        <v>-62</v>
      </c>
      <c r="C361" s="106" t="s">
        <v>68</v>
      </c>
      <c r="D361" s="101" t="s">
        <v>69</v>
      </c>
      <c r="E361" s="14" t="s">
        <v>5</v>
      </c>
      <c r="F361" s="57">
        <f>IF(IF(F364=0,0,3),3,0)</f>
        <v>0</v>
      </c>
      <c r="G361" s="57">
        <f>IF(IF(G364=0,0,3),3,0)</f>
        <v>0</v>
      </c>
      <c r="H361" s="57">
        <f>IF(IF(H364=0,0,2),2,0)</f>
        <v>0</v>
      </c>
      <c r="I361" s="57">
        <f>IF(IF(I364=0,0,2),2,0)</f>
        <v>0</v>
      </c>
      <c r="J361" s="57">
        <f>IF(IF(J364=0,0,3),3,0)</f>
        <v>0</v>
      </c>
      <c r="K361" s="57">
        <f>IF(IF(K364=0,0,3),3,0)</f>
        <v>0</v>
      </c>
      <c r="L361" s="57">
        <f>IF(IF(G364=0,0,3),3,0)</f>
        <v>0</v>
      </c>
      <c r="M361" s="57">
        <f>IF(IF(G364=0,0,3),3,0)</f>
        <v>0</v>
      </c>
      <c r="N361" s="57">
        <f>SUM(F361:M361)</f>
        <v>0</v>
      </c>
      <c r="O361" s="58"/>
      <c r="P361" s="103"/>
      <c r="Q361" s="103"/>
      <c r="R361" s="127"/>
    </row>
    <row r="362" spans="2:18" ht="19.5" thickTop="1" thickBot="1" x14ac:dyDescent="0.3">
      <c r="B362" s="118"/>
      <c r="C362" s="107"/>
      <c r="D362" s="101"/>
      <c r="E362" s="2" t="s">
        <v>216</v>
      </c>
      <c r="F362" s="6">
        <v>0</v>
      </c>
      <c r="G362" s="6">
        <v>0</v>
      </c>
      <c r="H362" s="6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4"/>
      <c r="O362" s="15"/>
      <c r="P362" s="104"/>
      <c r="Q362" s="104"/>
      <c r="R362" s="128"/>
    </row>
    <row r="363" spans="2:18" ht="19.5" thickTop="1" thickBot="1" x14ac:dyDescent="0.3">
      <c r="B363" s="118"/>
      <c r="C363" s="107"/>
      <c r="D363" s="101"/>
      <c r="E363" s="1" t="s">
        <v>3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4"/>
      <c r="O363" s="15"/>
      <c r="P363" s="104"/>
      <c r="Q363" s="104"/>
      <c r="R363" s="128"/>
    </row>
    <row r="364" spans="2:18" ht="19.5" thickTop="1" thickBot="1" x14ac:dyDescent="0.3">
      <c r="B364" s="118"/>
      <c r="C364" s="107"/>
      <c r="D364" s="101"/>
      <c r="E364" s="17" t="s">
        <v>4</v>
      </c>
      <c r="F364" s="18">
        <f t="shared" ref="F364:M364" si="142">IF(F363&lt;30,F362,F362+F363)</f>
        <v>0</v>
      </c>
      <c r="G364" s="18">
        <f t="shared" si="142"/>
        <v>0</v>
      </c>
      <c r="H364" s="18">
        <f t="shared" si="142"/>
        <v>0</v>
      </c>
      <c r="I364" s="18">
        <f t="shared" si="142"/>
        <v>0</v>
      </c>
      <c r="J364" s="18">
        <f t="shared" si="142"/>
        <v>0</v>
      </c>
      <c r="K364" s="18">
        <f t="shared" si="142"/>
        <v>0</v>
      </c>
      <c r="L364" s="18">
        <f t="shared" si="142"/>
        <v>0</v>
      </c>
      <c r="M364" s="18">
        <f t="shared" si="142"/>
        <v>0</v>
      </c>
      <c r="N364" s="19"/>
      <c r="O364" s="20"/>
      <c r="P364" s="104"/>
      <c r="Q364" s="104"/>
      <c r="R364" s="128"/>
    </row>
    <row r="365" spans="2:18" ht="37.5" thickTop="1" thickBot="1" x14ac:dyDescent="0.3">
      <c r="B365" s="124"/>
      <c r="C365" s="108"/>
      <c r="D365" s="102"/>
      <c r="E365" s="11" t="s">
        <v>6</v>
      </c>
      <c r="F365" s="12">
        <f t="shared" ref="F365:M365" si="143">SUM(F361*F364)</f>
        <v>0</v>
      </c>
      <c r="G365" s="12">
        <f t="shared" si="143"/>
        <v>0</v>
      </c>
      <c r="H365" s="12">
        <f t="shared" si="143"/>
        <v>0</v>
      </c>
      <c r="I365" s="12">
        <f t="shared" si="143"/>
        <v>0</v>
      </c>
      <c r="J365" s="12">
        <f t="shared" si="143"/>
        <v>0</v>
      </c>
      <c r="K365" s="12">
        <f t="shared" si="143"/>
        <v>0</v>
      </c>
      <c r="L365" s="12">
        <f t="shared" si="143"/>
        <v>0</v>
      </c>
      <c r="M365" s="12">
        <f t="shared" si="143"/>
        <v>0</v>
      </c>
      <c r="N365" s="13">
        <f>SUM(F365:M365)</f>
        <v>0</v>
      </c>
      <c r="O365" s="16" t="e">
        <f>SUM(N365/N361)</f>
        <v>#DIV/0!</v>
      </c>
      <c r="P365" s="105"/>
      <c r="Q365" s="105"/>
      <c r="R365" s="129"/>
    </row>
    <row r="366" spans="2:18" ht="20.25" thickTop="1" thickBot="1" x14ac:dyDescent="0.35">
      <c r="B366" s="125">
        <v>-63</v>
      </c>
      <c r="C366" s="106"/>
      <c r="D366" s="101"/>
      <c r="E366" s="14" t="s">
        <v>5</v>
      </c>
      <c r="F366" s="57">
        <f>IF(IF(F369=0,0,3),3,0)</f>
        <v>0</v>
      </c>
      <c r="G366" s="57">
        <f>IF(IF(G369=0,0,3),3,0)</f>
        <v>0</v>
      </c>
      <c r="H366" s="57">
        <f>IF(IF(H369=0,0,2),2,0)</f>
        <v>0</v>
      </c>
      <c r="I366" s="57">
        <f>IF(IF(I369=0,0,2),2,0)</f>
        <v>0</v>
      </c>
      <c r="J366" s="57">
        <f>IF(IF(J369=0,0,3),3,0)</f>
        <v>0</v>
      </c>
      <c r="K366" s="57">
        <f>IF(IF(K369=0,0,3),3,0)</f>
        <v>0</v>
      </c>
      <c r="L366" s="57">
        <f>IF(IF(G369=0,0,3),3,0)</f>
        <v>0</v>
      </c>
      <c r="M366" s="57">
        <f>IF(IF(G369=0,0,3),3,0)</f>
        <v>0</v>
      </c>
      <c r="N366" s="57">
        <f>SUM(F366:M366)</f>
        <v>0</v>
      </c>
      <c r="O366" s="58"/>
      <c r="P366" s="103"/>
      <c r="Q366" s="103"/>
      <c r="R366" s="127"/>
    </row>
    <row r="367" spans="2:18" ht="19.5" thickTop="1" thickBot="1" x14ac:dyDescent="0.3">
      <c r="B367" s="118"/>
      <c r="C367" s="107"/>
      <c r="D367" s="101"/>
      <c r="E367" s="2" t="s">
        <v>216</v>
      </c>
      <c r="F367" s="6">
        <v>0</v>
      </c>
      <c r="G367" s="6">
        <v>0</v>
      </c>
      <c r="H367" s="6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4"/>
      <c r="O367" s="15"/>
      <c r="P367" s="104"/>
      <c r="Q367" s="104"/>
      <c r="R367" s="128"/>
    </row>
    <row r="368" spans="2:18" ht="19.5" thickTop="1" thickBot="1" x14ac:dyDescent="0.3">
      <c r="B368" s="118"/>
      <c r="C368" s="107"/>
      <c r="D368" s="101"/>
      <c r="E368" s="1" t="s">
        <v>3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4"/>
      <c r="O368" s="15"/>
      <c r="P368" s="104"/>
      <c r="Q368" s="104"/>
      <c r="R368" s="128"/>
    </row>
    <row r="369" spans="2:18" ht="19.5" thickTop="1" thickBot="1" x14ac:dyDescent="0.3">
      <c r="B369" s="118"/>
      <c r="C369" s="107"/>
      <c r="D369" s="101"/>
      <c r="E369" s="17" t="s">
        <v>4</v>
      </c>
      <c r="F369" s="18">
        <f t="shared" ref="F369:M369" si="144">IF(F368&lt;30,F367,F367+F368)</f>
        <v>0</v>
      </c>
      <c r="G369" s="18">
        <f t="shared" si="144"/>
        <v>0</v>
      </c>
      <c r="H369" s="18">
        <f t="shared" si="144"/>
        <v>0</v>
      </c>
      <c r="I369" s="18">
        <f t="shared" si="144"/>
        <v>0</v>
      </c>
      <c r="J369" s="18">
        <f t="shared" si="144"/>
        <v>0</v>
      </c>
      <c r="K369" s="18">
        <f t="shared" si="144"/>
        <v>0</v>
      </c>
      <c r="L369" s="18">
        <f t="shared" si="144"/>
        <v>0</v>
      </c>
      <c r="M369" s="18">
        <f t="shared" si="144"/>
        <v>0</v>
      </c>
      <c r="N369" s="19"/>
      <c r="O369" s="20"/>
      <c r="P369" s="104"/>
      <c r="Q369" s="104"/>
      <c r="R369" s="128"/>
    </row>
    <row r="370" spans="2:18" ht="37.5" thickTop="1" thickBot="1" x14ac:dyDescent="0.3">
      <c r="B370" s="124"/>
      <c r="C370" s="108"/>
      <c r="D370" s="102"/>
      <c r="E370" s="8" t="s">
        <v>6</v>
      </c>
      <c r="F370" s="12">
        <f t="shared" ref="F370:M370" si="145">SUM(F366*F369)</f>
        <v>0</v>
      </c>
      <c r="G370" s="12">
        <f t="shared" si="145"/>
        <v>0</v>
      </c>
      <c r="H370" s="12">
        <f t="shared" si="145"/>
        <v>0</v>
      </c>
      <c r="I370" s="12">
        <f t="shared" si="145"/>
        <v>0</v>
      </c>
      <c r="J370" s="12">
        <f t="shared" si="145"/>
        <v>0</v>
      </c>
      <c r="K370" s="12">
        <f t="shared" si="145"/>
        <v>0</v>
      </c>
      <c r="L370" s="12">
        <f t="shared" si="145"/>
        <v>0</v>
      </c>
      <c r="M370" s="12">
        <f t="shared" si="145"/>
        <v>0</v>
      </c>
      <c r="N370" s="13">
        <f>SUM(F370:M370)</f>
        <v>0</v>
      </c>
      <c r="O370" s="16" t="e">
        <f>SUM(N370/N366)</f>
        <v>#DIV/0!</v>
      </c>
      <c r="P370" s="105"/>
      <c r="Q370" s="105"/>
      <c r="R370" s="129"/>
    </row>
    <row r="371" spans="2:18" ht="20.25" thickTop="1" thickBot="1" x14ac:dyDescent="0.35">
      <c r="B371" s="125">
        <v>-64</v>
      </c>
      <c r="C371" s="106"/>
      <c r="D371" s="101"/>
      <c r="E371" s="10" t="s">
        <v>5</v>
      </c>
      <c r="F371" s="57">
        <f>IF(IF(F374=0,0,3),3,0)</f>
        <v>0</v>
      </c>
      <c r="G371" s="57">
        <f>IF(IF(G374=0,0,3),3,0)</f>
        <v>0</v>
      </c>
      <c r="H371" s="57">
        <f>IF(IF(H374=0,0,2),2,0)</f>
        <v>0</v>
      </c>
      <c r="I371" s="57">
        <f>IF(IF(I374=0,0,2),2,0)</f>
        <v>0</v>
      </c>
      <c r="J371" s="57">
        <f>IF(IF(J374=0,0,3),3,0)</f>
        <v>0</v>
      </c>
      <c r="K371" s="57">
        <f>IF(IF(K374=0,0,3),3,0)</f>
        <v>0</v>
      </c>
      <c r="L371" s="57">
        <f>IF(IF(G374=0,0,3),3,0)</f>
        <v>0</v>
      </c>
      <c r="M371" s="57">
        <f>IF(IF(G374=0,0,3),3,0)</f>
        <v>0</v>
      </c>
      <c r="N371" s="57">
        <f>SUM(F371:M371)</f>
        <v>0</v>
      </c>
      <c r="O371" s="58"/>
      <c r="P371" s="103"/>
      <c r="Q371" s="103"/>
      <c r="R371" s="127"/>
    </row>
    <row r="372" spans="2:18" ht="19.5" thickTop="1" thickBot="1" x14ac:dyDescent="0.3">
      <c r="B372" s="118"/>
      <c r="C372" s="107"/>
      <c r="D372" s="101"/>
      <c r="E372" s="2" t="s">
        <v>216</v>
      </c>
      <c r="F372" s="6">
        <v>0</v>
      </c>
      <c r="G372" s="6">
        <v>0</v>
      </c>
      <c r="H372" s="6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4"/>
      <c r="O372" s="15"/>
      <c r="P372" s="104"/>
      <c r="Q372" s="104"/>
      <c r="R372" s="128"/>
    </row>
    <row r="373" spans="2:18" ht="19.5" thickTop="1" thickBot="1" x14ac:dyDescent="0.3">
      <c r="B373" s="118"/>
      <c r="C373" s="107"/>
      <c r="D373" s="101"/>
      <c r="E373" s="1" t="s">
        <v>3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4"/>
      <c r="O373" s="15"/>
      <c r="P373" s="104"/>
      <c r="Q373" s="104"/>
      <c r="R373" s="128"/>
    </row>
    <row r="374" spans="2:18" ht="19.5" thickTop="1" thickBot="1" x14ac:dyDescent="0.3">
      <c r="B374" s="118"/>
      <c r="C374" s="107"/>
      <c r="D374" s="101"/>
      <c r="E374" s="17" t="s">
        <v>4</v>
      </c>
      <c r="F374" s="18">
        <f t="shared" ref="F374:M374" si="146">IF(F373&lt;30,F372,F372+F373)</f>
        <v>0</v>
      </c>
      <c r="G374" s="18">
        <f t="shared" si="146"/>
        <v>0</v>
      </c>
      <c r="H374" s="18">
        <f t="shared" si="146"/>
        <v>0</v>
      </c>
      <c r="I374" s="18">
        <f t="shared" si="146"/>
        <v>0</v>
      </c>
      <c r="J374" s="18">
        <f t="shared" si="146"/>
        <v>0</v>
      </c>
      <c r="K374" s="18">
        <f t="shared" si="146"/>
        <v>0</v>
      </c>
      <c r="L374" s="18">
        <f t="shared" si="146"/>
        <v>0</v>
      </c>
      <c r="M374" s="18">
        <f t="shared" si="146"/>
        <v>0</v>
      </c>
      <c r="N374" s="19"/>
      <c r="O374" s="20"/>
      <c r="P374" s="104"/>
      <c r="Q374" s="104"/>
      <c r="R374" s="128"/>
    </row>
    <row r="375" spans="2:18" ht="37.5" thickTop="1" thickBot="1" x14ac:dyDescent="0.3">
      <c r="B375" s="126"/>
      <c r="C375" s="108"/>
      <c r="D375" s="102"/>
      <c r="E375" s="8" t="s">
        <v>6</v>
      </c>
      <c r="F375" s="12">
        <f t="shared" ref="F375:M375" si="147">SUM(F371*F374)</f>
        <v>0</v>
      </c>
      <c r="G375" s="12">
        <f t="shared" si="147"/>
        <v>0</v>
      </c>
      <c r="H375" s="12">
        <f t="shared" si="147"/>
        <v>0</v>
      </c>
      <c r="I375" s="12">
        <f t="shared" si="147"/>
        <v>0</v>
      </c>
      <c r="J375" s="12">
        <f t="shared" si="147"/>
        <v>0</v>
      </c>
      <c r="K375" s="12">
        <f t="shared" si="147"/>
        <v>0</v>
      </c>
      <c r="L375" s="12">
        <f t="shared" si="147"/>
        <v>0</v>
      </c>
      <c r="M375" s="12">
        <f t="shared" si="147"/>
        <v>0</v>
      </c>
      <c r="N375" s="13">
        <f>SUM(F375:M375)</f>
        <v>0</v>
      </c>
      <c r="O375" s="16" t="e">
        <f>SUM(N375/N371)</f>
        <v>#DIV/0!</v>
      </c>
      <c r="P375" s="105"/>
      <c r="Q375" s="105"/>
      <c r="R375" s="129"/>
    </row>
    <row r="376" spans="2:18" ht="20.25" thickTop="1" thickBot="1" x14ac:dyDescent="0.35">
      <c r="B376" s="118">
        <v>-65</v>
      </c>
      <c r="C376" s="106"/>
      <c r="D376" s="101"/>
      <c r="E376" s="10" t="s">
        <v>5</v>
      </c>
      <c r="F376" s="57">
        <f>IF(IF(F379=0,0,3),3,0)</f>
        <v>0</v>
      </c>
      <c r="G376" s="57">
        <f>IF(IF(G379=0,0,3),3,0)</f>
        <v>0</v>
      </c>
      <c r="H376" s="57">
        <f>IF(IF(H379=0,0,2),2,0)</f>
        <v>0</v>
      </c>
      <c r="I376" s="57">
        <f>IF(IF(I379=0,0,2),2,0)</f>
        <v>0</v>
      </c>
      <c r="J376" s="57">
        <f>IF(IF(J379=0,0,3),3,0)</f>
        <v>0</v>
      </c>
      <c r="K376" s="57">
        <f>IF(IF(K379=0,0,3),3,0)</f>
        <v>0</v>
      </c>
      <c r="L376" s="57">
        <f>IF(IF(G379=0,0,3),3,0)</f>
        <v>0</v>
      </c>
      <c r="M376" s="57">
        <f>IF(IF(G379=0,0,3),3,0)</f>
        <v>0</v>
      </c>
      <c r="N376" s="57">
        <f>SUM(F376:M376)</f>
        <v>0</v>
      </c>
      <c r="O376" s="58"/>
      <c r="P376" s="103"/>
      <c r="Q376" s="103"/>
      <c r="R376" s="127"/>
    </row>
    <row r="377" spans="2:18" ht="19.5" thickTop="1" thickBot="1" x14ac:dyDescent="0.3">
      <c r="B377" s="118"/>
      <c r="C377" s="107"/>
      <c r="D377" s="101"/>
      <c r="E377" s="2" t="s">
        <v>216</v>
      </c>
      <c r="F377" s="6">
        <v>0</v>
      </c>
      <c r="G377" s="6">
        <v>0</v>
      </c>
      <c r="H377" s="6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4"/>
      <c r="O377" s="15"/>
      <c r="P377" s="104"/>
      <c r="Q377" s="104"/>
      <c r="R377" s="128"/>
    </row>
    <row r="378" spans="2:18" ht="19.5" thickTop="1" thickBot="1" x14ac:dyDescent="0.3">
      <c r="B378" s="118"/>
      <c r="C378" s="107"/>
      <c r="D378" s="101"/>
      <c r="E378" s="1" t="s">
        <v>3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4"/>
      <c r="O378" s="15"/>
      <c r="P378" s="104"/>
      <c r="Q378" s="104"/>
      <c r="R378" s="128"/>
    </row>
    <row r="379" spans="2:18" ht="19.5" thickTop="1" thickBot="1" x14ac:dyDescent="0.3">
      <c r="B379" s="118"/>
      <c r="C379" s="107"/>
      <c r="D379" s="101"/>
      <c r="E379" s="17" t="s">
        <v>4</v>
      </c>
      <c r="F379" s="18">
        <f t="shared" ref="F379:M379" si="148">IF(F378&lt;30,F377,F377+F378)</f>
        <v>0</v>
      </c>
      <c r="G379" s="18">
        <f t="shared" si="148"/>
        <v>0</v>
      </c>
      <c r="H379" s="18">
        <f t="shared" si="148"/>
        <v>0</v>
      </c>
      <c r="I379" s="18">
        <f t="shared" si="148"/>
        <v>0</v>
      </c>
      <c r="J379" s="18">
        <f t="shared" si="148"/>
        <v>0</v>
      </c>
      <c r="K379" s="18">
        <f t="shared" si="148"/>
        <v>0</v>
      </c>
      <c r="L379" s="18">
        <f t="shared" si="148"/>
        <v>0</v>
      </c>
      <c r="M379" s="18">
        <f t="shared" si="148"/>
        <v>0</v>
      </c>
      <c r="N379" s="19"/>
      <c r="O379" s="20"/>
      <c r="P379" s="104"/>
      <c r="Q379" s="104"/>
      <c r="R379" s="128"/>
    </row>
    <row r="380" spans="2:18" ht="37.5" thickTop="1" thickBot="1" x14ac:dyDescent="0.3">
      <c r="B380" s="118"/>
      <c r="C380" s="108"/>
      <c r="D380" s="102"/>
      <c r="E380" s="8" t="s">
        <v>6</v>
      </c>
      <c r="F380" s="12">
        <f t="shared" ref="F380:M380" si="149">SUM(F376*F379)</f>
        <v>0</v>
      </c>
      <c r="G380" s="12">
        <f t="shared" si="149"/>
        <v>0</v>
      </c>
      <c r="H380" s="12">
        <f t="shared" si="149"/>
        <v>0</v>
      </c>
      <c r="I380" s="12">
        <f t="shared" si="149"/>
        <v>0</v>
      </c>
      <c r="J380" s="12">
        <f t="shared" si="149"/>
        <v>0</v>
      </c>
      <c r="K380" s="12">
        <f t="shared" si="149"/>
        <v>0</v>
      </c>
      <c r="L380" s="12">
        <f t="shared" si="149"/>
        <v>0</v>
      </c>
      <c r="M380" s="12">
        <f t="shared" si="149"/>
        <v>0</v>
      </c>
      <c r="N380" s="13">
        <f>SUM(F380:M380)</f>
        <v>0</v>
      </c>
      <c r="O380" s="16" t="e">
        <f>SUM(N380/N376)</f>
        <v>#DIV/0!</v>
      </c>
      <c r="P380" s="105"/>
      <c r="Q380" s="105"/>
      <c r="R380" s="129"/>
    </row>
    <row r="381" spans="2:18" ht="20.25" thickTop="1" thickBot="1" x14ac:dyDescent="0.35">
      <c r="B381" s="125">
        <v>-66</v>
      </c>
      <c r="C381" s="106"/>
      <c r="D381" s="101"/>
      <c r="E381" s="10" t="s">
        <v>5</v>
      </c>
      <c r="F381" s="57">
        <f>IF(IF(F384=0,0,3),3,0)</f>
        <v>0</v>
      </c>
      <c r="G381" s="57">
        <f>IF(IF(G384=0,0,3),3,0)</f>
        <v>0</v>
      </c>
      <c r="H381" s="57">
        <f>IF(IF(H384=0,0,2),2,0)</f>
        <v>0</v>
      </c>
      <c r="I381" s="57">
        <f>IF(IF(I384=0,0,2),2,0)</f>
        <v>0</v>
      </c>
      <c r="J381" s="57">
        <f>IF(IF(J384=0,0,3),3,0)</f>
        <v>0</v>
      </c>
      <c r="K381" s="57">
        <f>IF(IF(K384=0,0,3),3,0)</f>
        <v>0</v>
      </c>
      <c r="L381" s="57">
        <f>IF(IF(G384=0,0,3),3,0)</f>
        <v>0</v>
      </c>
      <c r="M381" s="57">
        <f>IF(IF(G384=0,0,3),3,0)</f>
        <v>0</v>
      </c>
      <c r="N381" s="57">
        <f>SUM(F381:M381)</f>
        <v>0</v>
      </c>
      <c r="O381" s="58"/>
      <c r="P381" s="103"/>
      <c r="Q381" s="103"/>
      <c r="R381" s="127"/>
    </row>
    <row r="382" spans="2:18" ht="19.5" thickTop="1" thickBot="1" x14ac:dyDescent="0.3">
      <c r="B382" s="118"/>
      <c r="C382" s="107"/>
      <c r="D382" s="101"/>
      <c r="E382" s="2" t="s">
        <v>216</v>
      </c>
      <c r="F382" s="6">
        <v>0</v>
      </c>
      <c r="G382" s="6">
        <v>0</v>
      </c>
      <c r="H382" s="6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4"/>
      <c r="O382" s="15"/>
      <c r="P382" s="104"/>
      <c r="Q382" s="104"/>
      <c r="R382" s="128"/>
    </row>
    <row r="383" spans="2:18" ht="19.5" thickTop="1" thickBot="1" x14ac:dyDescent="0.3">
      <c r="B383" s="118"/>
      <c r="C383" s="107"/>
      <c r="D383" s="101"/>
      <c r="E383" s="1" t="s">
        <v>3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4"/>
      <c r="O383" s="15"/>
      <c r="P383" s="104"/>
      <c r="Q383" s="104"/>
      <c r="R383" s="128"/>
    </row>
    <row r="384" spans="2:18" ht="19.5" thickTop="1" thickBot="1" x14ac:dyDescent="0.3">
      <c r="B384" s="118"/>
      <c r="C384" s="107"/>
      <c r="D384" s="101"/>
      <c r="E384" s="17" t="s">
        <v>4</v>
      </c>
      <c r="F384" s="18">
        <f t="shared" ref="F384:M384" si="150">IF(F383&lt;30,F382,F382+F383)</f>
        <v>0</v>
      </c>
      <c r="G384" s="18">
        <f t="shared" si="150"/>
        <v>0</v>
      </c>
      <c r="H384" s="18">
        <f t="shared" si="150"/>
        <v>0</v>
      </c>
      <c r="I384" s="18">
        <f t="shared" si="150"/>
        <v>0</v>
      </c>
      <c r="J384" s="18">
        <f t="shared" si="150"/>
        <v>0</v>
      </c>
      <c r="K384" s="18">
        <f t="shared" si="150"/>
        <v>0</v>
      </c>
      <c r="L384" s="18">
        <f t="shared" si="150"/>
        <v>0</v>
      </c>
      <c r="M384" s="18">
        <f t="shared" si="150"/>
        <v>0</v>
      </c>
      <c r="N384" s="19"/>
      <c r="O384" s="20"/>
      <c r="P384" s="104"/>
      <c r="Q384" s="104"/>
      <c r="R384" s="128"/>
    </row>
    <row r="385" spans="2:18" ht="37.5" thickTop="1" thickBot="1" x14ac:dyDescent="0.3">
      <c r="B385" s="119"/>
      <c r="C385" s="108"/>
      <c r="D385" s="102"/>
      <c r="E385" s="11" t="s">
        <v>6</v>
      </c>
      <c r="F385" s="12">
        <f t="shared" ref="F385:M385" si="151">SUM(F381*F384)</f>
        <v>0</v>
      </c>
      <c r="G385" s="12">
        <f t="shared" si="151"/>
        <v>0</v>
      </c>
      <c r="H385" s="12">
        <f t="shared" si="151"/>
        <v>0</v>
      </c>
      <c r="I385" s="12">
        <f t="shared" si="151"/>
        <v>0</v>
      </c>
      <c r="J385" s="12">
        <f t="shared" si="151"/>
        <v>0</v>
      </c>
      <c r="K385" s="12">
        <f t="shared" si="151"/>
        <v>0</v>
      </c>
      <c r="L385" s="12">
        <f t="shared" si="151"/>
        <v>0</v>
      </c>
      <c r="M385" s="12">
        <f t="shared" si="151"/>
        <v>0</v>
      </c>
      <c r="N385" s="13">
        <f>SUM(F385:M385)</f>
        <v>0</v>
      </c>
      <c r="O385" s="16" t="e">
        <f>SUM(N385/N381)</f>
        <v>#DIV/0!</v>
      </c>
      <c r="P385" s="105"/>
      <c r="Q385" s="105"/>
      <c r="R385" s="129"/>
    </row>
    <row r="386" spans="2:18" ht="13.5" thickTop="1" x14ac:dyDescent="0.2"/>
  </sheetData>
  <mergeCells count="455">
    <mergeCell ref="B381:B385"/>
    <mergeCell ref="C381:C385"/>
    <mergeCell ref="D381:D385"/>
    <mergeCell ref="P381:P385"/>
    <mergeCell ref="Q381:Q385"/>
    <mergeCell ref="R381:R385"/>
    <mergeCell ref="B376:B380"/>
    <mergeCell ref="C376:C380"/>
    <mergeCell ref="D376:D380"/>
    <mergeCell ref="P376:P380"/>
    <mergeCell ref="Q376:Q380"/>
    <mergeCell ref="R376:R380"/>
    <mergeCell ref="B371:B375"/>
    <mergeCell ref="C371:C375"/>
    <mergeCell ref="D371:D375"/>
    <mergeCell ref="P371:P375"/>
    <mergeCell ref="Q371:Q375"/>
    <mergeCell ref="R371:R375"/>
    <mergeCell ref="B366:B370"/>
    <mergeCell ref="C366:C370"/>
    <mergeCell ref="D366:D370"/>
    <mergeCell ref="P366:P370"/>
    <mergeCell ref="Q366:Q370"/>
    <mergeCell ref="R366:R370"/>
    <mergeCell ref="B361:B365"/>
    <mergeCell ref="C361:C365"/>
    <mergeCell ref="D361:D365"/>
    <mergeCell ref="P361:P365"/>
    <mergeCell ref="Q361:Q365"/>
    <mergeCell ref="R361:R365"/>
    <mergeCell ref="B356:B360"/>
    <mergeCell ref="C356:C360"/>
    <mergeCell ref="D356:D360"/>
    <mergeCell ref="P356:P360"/>
    <mergeCell ref="Q356:Q360"/>
    <mergeCell ref="R356:R360"/>
    <mergeCell ref="B351:B355"/>
    <mergeCell ref="C351:C355"/>
    <mergeCell ref="D351:D355"/>
    <mergeCell ref="P351:P355"/>
    <mergeCell ref="Q351:Q355"/>
    <mergeCell ref="R351:R355"/>
    <mergeCell ref="B346:B350"/>
    <mergeCell ref="C346:C350"/>
    <mergeCell ref="D346:D350"/>
    <mergeCell ref="P346:P350"/>
    <mergeCell ref="Q346:Q350"/>
    <mergeCell ref="R346:R350"/>
    <mergeCell ref="B341:B345"/>
    <mergeCell ref="C341:C345"/>
    <mergeCell ref="D341:D345"/>
    <mergeCell ref="P341:P345"/>
    <mergeCell ref="Q341:Q345"/>
    <mergeCell ref="R341:R345"/>
    <mergeCell ref="B336:B340"/>
    <mergeCell ref="C336:C340"/>
    <mergeCell ref="D336:D340"/>
    <mergeCell ref="P336:P340"/>
    <mergeCell ref="Q336:Q340"/>
    <mergeCell ref="R336:R340"/>
    <mergeCell ref="B331:B335"/>
    <mergeCell ref="C331:C335"/>
    <mergeCell ref="D331:D335"/>
    <mergeCell ref="P331:P335"/>
    <mergeCell ref="Q331:Q335"/>
    <mergeCell ref="R331:R335"/>
    <mergeCell ref="B326:B330"/>
    <mergeCell ref="C326:C330"/>
    <mergeCell ref="D326:D330"/>
    <mergeCell ref="P326:P330"/>
    <mergeCell ref="Q326:Q330"/>
    <mergeCell ref="R326:R330"/>
    <mergeCell ref="B321:B325"/>
    <mergeCell ref="C321:C325"/>
    <mergeCell ref="D321:D325"/>
    <mergeCell ref="P321:P325"/>
    <mergeCell ref="Q321:Q325"/>
    <mergeCell ref="R321:R325"/>
    <mergeCell ref="B316:B320"/>
    <mergeCell ref="C316:C320"/>
    <mergeCell ref="D316:D320"/>
    <mergeCell ref="P316:P320"/>
    <mergeCell ref="Q316:Q320"/>
    <mergeCell ref="R316:R320"/>
    <mergeCell ref="B311:B315"/>
    <mergeCell ref="C311:C315"/>
    <mergeCell ref="D311:D315"/>
    <mergeCell ref="P311:P315"/>
    <mergeCell ref="Q311:Q315"/>
    <mergeCell ref="R311:R315"/>
    <mergeCell ref="B306:B310"/>
    <mergeCell ref="C306:C310"/>
    <mergeCell ref="D306:D310"/>
    <mergeCell ref="P306:P310"/>
    <mergeCell ref="Q306:Q310"/>
    <mergeCell ref="R306:R310"/>
    <mergeCell ref="B301:B305"/>
    <mergeCell ref="C301:C305"/>
    <mergeCell ref="D301:D305"/>
    <mergeCell ref="P301:P305"/>
    <mergeCell ref="Q301:Q305"/>
    <mergeCell ref="R301:R305"/>
    <mergeCell ref="B296:B300"/>
    <mergeCell ref="C296:C300"/>
    <mergeCell ref="D296:D300"/>
    <mergeCell ref="P296:P300"/>
    <mergeCell ref="Q296:Q300"/>
    <mergeCell ref="R296:R300"/>
    <mergeCell ref="B291:B295"/>
    <mergeCell ref="C291:C295"/>
    <mergeCell ref="D291:D295"/>
    <mergeCell ref="P291:P295"/>
    <mergeCell ref="Q291:Q295"/>
    <mergeCell ref="R291:R295"/>
    <mergeCell ref="B286:B290"/>
    <mergeCell ref="C286:C290"/>
    <mergeCell ref="D286:D290"/>
    <mergeCell ref="P286:P290"/>
    <mergeCell ref="Q286:Q290"/>
    <mergeCell ref="R286:R290"/>
    <mergeCell ref="B281:B285"/>
    <mergeCell ref="C281:C285"/>
    <mergeCell ref="D281:D285"/>
    <mergeCell ref="P281:P285"/>
    <mergeCell ref="Q281:Q285"/>
    <mergeCell ref="R281:R285"/>
    <mergeCell ref="B276:B280"/>
    <mergeCell ref="C276:C280"/>
    <mergeCell ref="D276:D280"/>
    <mergeCell ref="P276:P280"/>
    <mergeCell ref="Q276:Q280"/>
    <mergeCell ref="R276:R280"/>
    <mergeCell ref="B271:B275"/>
    <mergeCell ref="C271:C275"/>
    <mergeCell ref="D271:D275"/>
    <mergeCell ref="P271:P275"/>
    <mergeCell ref="Q271:Q275"/>
    <mergeCell ref="R271:R275"/>
    <mergeCell ref="B266:B270"/>
    <mergeCell ref="C266:C270"/>
    <mergeCell ref="D266:D270"/>
    <mergeCell ref="P266:P270"/>
    <mergeCell ref="Q266:Q270"/>
    <mergeCell ref="R266:R270"/>
    <mergeCell ref="B261:B265"/>
    <mergeCell ref="C261:C265"/>
    <mergeCell ref="D261:D265"/>
    <mergeCell ref="P261:P265"/>
    <mergeCell ref="Q261:Q265"/>
    <mergeCell ref="R261:R265"/>
    <mergeCell ref="B256:B260"/>
    <mergeCell ref="C256:C260"/>
    <mergeCell ref="D256:D260"/>
    <mergeCell ref="P256:P260"/>
    <mergeCell ref="Q256:Q260"/>
    <mergeCell ref="R256:R260"/>
    <mergeCell ref="B251:B255"/>
    <mergeCell ref="C251:C255"/>
    <mergeCell ref="D251:D255"/>
    <mergeCell ref="P251:P255"/>
    <mergeCell ref="Q251:Q255"/>
    <mergeCell ref="R251:R255"/>
    <mergeCell ref="B246:B250"/>
    <mergeCell ref="C246:C250"/>
    <mergeCell ref="D246:D250"/>
    <mergeCell ref="P246:P250"/>
    <mergeCell ref="Q246:Q250"/>
    <mergeCell ref="R246:R250"/>
    <mergeCell ref="B241:B245"/>
    <mergeCell ref="C241:C245"/>
    <mergeCell ref="D241:D245"/>
    <mergeCell ref="P241:P245"/>
    <mergeCell ref="Q241:Q245"/>
    <mergeCell ref="R241:R245"/>
    <mergeCell ref="B236:B240"/>
    <mergeCell ref="C236:C240"/>
    <mergeCell ref="D236:D240"/>
    <mergeCell ref="P236:P240"/>
    <mergeCell ref="Q236:Q240"/>
    <mergeCell ref="R236:R240"/>
    <mergeCell ref="B231:B235"/>
    <mergeCell ref="C231:C235"/>
    <mergeCell ref="D231:D235"/>
    <mergeCell ref="P231:P235"/>
    <mergeCell ref="Q231:Q235"/>
    <mergeCell ref="R231:R235"/>
    <mergeCell ref="B226:B230"/>
    <mergeCell ref="C226:C230"/>
    <mergeCell ref="D226:D230"/>
    <mergeCell ref="P226:P230"/>
    <mergeCell ref="Q226:Q230"/>
    <mergeCell ref="R226:R230"/>
    <mergeCell ref="B221:B225"/>
    <mergeCell ref="C221:C225"/>
    <mergeCell ref="D221:D225"/>
    <mergeCell ref="P221:P225"/>
    <mergeCell ref="Q221:Q225"/>
    <mergeCell ref="R221:R225"/>
    <mergeCell ref="B216:B220"/>
    <mergeCell ref="C216:C220"/>
    <mergeCell ref="D216:D220"/>
    <mergeCell ref="P216:P220"/>
    <mergeCell ref="Q216:Q220"/>
    <mergeCell ref="R216:R220"/>
    <mergeCell ref="B211:B215"/>
    <mergeCell ref="C211:C215"/>
    <mergeCell ref="D211:D215"/>
    <mergeCell ref="P211:P215"/>
    <mergeCell ref="Q211:Q215"/>
    <mergeCell ref="R211:R215"/>
    <mergeCell ref="B206:B210"/>
    <mergeCell ref="C206:C210"/>
    <mergeCell ref="D206:D210"/>
    <mergeCell ref="P206:P210"/>
    <mergeCell ref="Q206:Q210"/>
    <mergeCell ref="R206:R210"/>
    <mergeCell ref="B201:B205"/>
    <mergeCell ref="C201:C205"/>
    <mergeCell ref="D201:D205"/>
    <mergeCell ref="P201:P205"/>
    <mergeCell ref="Q201:Q205"/>
    <mergeCell ref="R201:R205"/>
    <mergeCell ref="B196:B200"/>
    <mergeCell ref="C196:C200"/>
    <mergeCell ref="D196:D200"/>
    <mergeCell ref="P196:P200"/>
    <mergeCell ref="Q196:Q200"/>
    <mergeCell ref="R196:R200"/>
    <mergeCell ref="B191:B195"/>
    <mergeCell ref="C191:C195"/>
    <mergeCell ref="D191:D195"/>
    <mergeCell ref="P191:P195"/>
    <mergeCell ref="Q191:Q195"/>
    <mergeCell ref="R191:R195"/>
    <mergeCell ref="B186:B190"/>
    <mergeCell ref="C186:C190"/>
    <mergeCell ref="D186:D190"/>
    <mergeCell ref="P186:P190"/>
    <mergeCell ref="Q186:Q190"/>
    <mergeCell ref="R186:R190"/>
    <mergeCell ref="B181:B185"/>
    <mergeCell ref="C181:C185"/>
    <mergeCell ref="D181:D185"/>
    <mergeCell ref="P181:P185"/>
    <mergeCell ref="Q181:Q185"/>
    <mergeCell ref="R181:R185"/>
    <mergeCell ref="R171:R175"/>
    <mergeCell ref="B176:B180"/>
    <mergeCell ref="C176:C180"/>
    <mergeCell ref="D176:D180"/>
    <mergeCell ref="P176:P180"/>
    <mergeCell ref="Q176:Q180"/>
    <mergeCell ref="R176:R180"/>
    <mergeCell ref="B166:B170"/>
    <mergeCell ref="D166:D170"/>
    <mergeCell ref="P166:P170"/>
    <mergeCell ref="Q166:Q170"/>
    <mergeCell ref="R166:R170"/>
    <mergeCell ref="B171:B175"/>
    <mergeCell ref="C171:C175"/>
    <mergeCell ref="D171:D175"/>
    <mergeCell ref="P171:P175"/>
    <mergeCell ref="Q171:Q175"/>
    <mergeCell ref="B161:B165"/>
    <mergeCell ref="C161:C165"/>
    <mergeCell ref="D161:D165"/>
    <mergeCell ref="P161:P165"/>
    <mergeCell ref="Q161:Q165"/>
    <mergeCell ref="R161:R165"/>
    <mergeCell ref="B156:B160"/>
    <mergeCell ref="C156:C160"/>
    <mergeCell ref="D156:D160"/>
    <mergeCell ref="P156:P160"/>
    <mergeCell ref="Q156:Q160"/>
    <mergeCell ref="R156:R160"/>
    <mergeCell ref="B151:B155"/>
    <mergeCell ref="C151:C155"/>
    <mergeCell ref="D151:D155"/>
    <mergeCell ref="P151:P155"/>
    <mergeCell ref="Q151:Q155"/>
    <mergeCell ref="R151:R155"/>
    <mergeCell ref="B146:B150"/>
    <mergeCell ref="C146:C150"/>
    <mergeCell ref="D146:D150"/>
    <mergeCell ref="P146:P150"/>
    <mergeCell ref="Q146:Q150"/>
    <mergeCell ref="R146:R150"/>
    <mergeCell ref="B141:B145"/>
    <mergeCell ref="C141:C145"/>
    <mergeCell ref="D141:D145"/>
    <mergeCell ref="P141:P145"/>
    <mergeCell ref="Q141:Q145"/>
    <mergeCell ref="R141:R145"/>
    <mergeCell ref="B136:B140"/>
    <mergeCell ref="C136:C140"/>
    <mergeCell ref="D136:D140"/>
    <mergeCell ref="P136:P140"/>
    <mergeCell ref="Q136:Q140"/>
    <mergeCell ref="R136:R140"/>
    <mergeCell ref="B131:B135"/>
    <mergeCell ref="C131:C135"/>
    <mergeCell ref="D131:D135"/>
    <mergeCell ref="P131:P135"/>
    <mergeCell ref="Q131:Q135"/>
    <mergeCell ref="R131:R135"/>
    <mergeCell ref="B126:B130"/>
    <mergeCell ref="C126:C130"/>
    <mergeCell ref="D126:D130"/>
    <mergeCell ref="P126:P130"/>
    <mergeCell ref="Q126:Q130"/>
    <mergeCell ref="R126:R130"/>
    <mergeCell ref="B121:B125"/>
    <mergeCell ref="C121:C125"/>
    <mergeCell ref="D121:D125"/>
    <mergeCell ref="P121:P125"/>
    <mergeCell ref="Q121:Q125"/>
    <mergeCell ref="R121:R125"/>
    <mergeCell ref="B116:B120"/>
    <mergeCell ref="C116:C120"/>
    <mergeCell ref="D116:D120"/>
    <mergeCell ref="P116:P120"/>
    <mergeCell ref="Q116:Q120"/>
    <mergeCell ref="R116:R120"/>
    <mergeCell ref="B111:B115"/>
    <mergeCell ref="C111:C115"/>
    <mergeCell ref="D111:D115"/>
    <mergeCell ref="P111:P115"/>
    <mergeCell ref="Q111:Q115"/>
    <mergeCell ref="R111:R115"/>
    <mergeCell ref="B106:B110"/>
    <mergeCell ref="C106:C110"/>
    <mergeCell ref="D106:D110"/>
    <mergeCell ref="P106:P110"/>
    <mergeCell ref="Q106:Q110"/>
    <mergeCell ref="R106:R110"/>
    <mergeCell ref="B101:B105"/>
    <mergeCell ref="C101:C105"/>
    <mergeCell ref="D101:D105"/>
    <mergeCell ref="P101:P105"/>
    <mergeCell ref="Q101:Q105"/>
    <mergeCell ref="R101:R105"/>
    <mergeCell ref="B96:B100"/>
    <mergeCell ref="C96:C100"/>
    <mergeCell ref="D96:D100"/>
    <mergeCell ref="P96:P100"/>
    <mergeCell ref="Q96:Q100"/>
    <mergeCell ref="R96:R100"/>
    <mergeCell ref="B91:B95"/>
    <mergeCell ref="C91:C95"/>
    <mergeCell ref="D91:D95"/>
    <mergeCell ref="P91:P95"/>
    <mergeCell ref="Q91:Q95"/>
    <mergeCell ref="R91:R95"/>
    <mergeCell ref="B86:B90"/>
    <mergeCell ref="C86:C90"/>
    <mergeCell ref="D86:D90"/>
    <mergeCell ref="P86:P90"/>
    <mergeCell ref="Q86:Q90"/>
    <mergeCell ref="R86:R90"/>
    <mergeCell ref="B81:B85"/>
    <mergeCell ref="C81:C85"/>
    <mergeCell ref="D81:D85"/>
    <mergeCell ref="P81:P85"/>
    <mergeCell ref="Q81:Q85"/>
    <mergeCell ref="R81:R85"/>
    <mergeCell ref="B76:B80"/>
    <mergeCell ref="C76:C80"/>
    <mergeCell ref="D76:D80"/>
    <mergeCell ref="P76:P80"/>
    <mergeCell ref="Q76:Q80"/>
    <mergeCell ref="R76:R80"/>
    <mergeCell ref="B71:B75"/>
    <mergeCell ref="C71:C75"/>
    <mergeCell ref="D71:D75"/>
    <mergeCell ref="P71:P75"/>
    <mergeCell ref="Q71:Q75"/>
    <mergeCell ref="R71:R75"/>
    <mergeCell ref="B66:B70"/>
    <mergeCell ref="C66:C70"/>
    <mergeCell ref="D66:D70"/>
    <mergeCell ref="P66:P70"/>
    <mergeCell ref="Q66:Q70"/>
    <mergeCell ref="R66:R70"/>
    <mergeCell ref="B61:B65"/>
    <mergeCell ref="C61:C65"/>
    <mergeCell ref="D61:D65"/>
    <mergeCell ref="P61:P65"/>
    <mergeCell ref="Q61:Q65"/>
    <mergeCell ref="R61:R65"/>
    <mergeCell ref="B56:B60"/>
    <mergeCell ref="C56:C60"/>
    <mergeCell ref="D56:D60"/>
    <mergeCell ref="P56:P60"/>
    <mergeCell ref="Q56:Q60"/>
    <mergeCell ref="R56:R60"/>
    <mergeCell ref="B51:B55"/>
    <mergeCell ref="C51:C55"/>
    <mergeCell ref="D51:D55"/>
    <mergeCell ref="P51:P55"/>
    <mergeCell ref="Q51:Q55"/>
    <mergeCell ref="R51:R55"/>
    <mergeCell ref="B46:B50"/>
    <mergeCell ref="C46:C50"/>
    <mergeCell ref="D46:D50"/>
    <mergeCell ref="P46:P50"/>
    <mergeCell ref="Q46:Q50"/>
    <mergeCell ref="R46:R50"/>
    <mergeCell ref="B41:B45"/>
    <mergeCell ref="C41:C45"/>
    <mergeCell ref="D41:D45"/>
    <mergeCell ref="P41:P45"/>
    <mergeCell ref="Q41:Q45"/>
    <mergeCell ref="R41:R45"/>
    <mergeCell ref="B36:B40"/>
    <mergeCell ref="C36:C40"/>
    <mergeCell ref="D36:D40"/>
    <mergeCell ref="P36:P40"/>
    <mergeCell ref="Q36:Q40"/>
    <mergeCell ref="R36:R40"/>
    <mergeCell ref="B31:B35"/>
    <mergeCell ref="C31:C35"/>
    <mergeCell ref="D31:D35"/>
    <mergeCell ref="P31:P35"/>
    <mergeCell ref="Q31:Q35"/>
    <mergeCell ref="R31:R35"/>
    <mergeCell ref="B26:B30"/>
    <mergeCell ref="C26:C30"/>
    <mergeCell ref="D26:D30"/>
    <mergeCell ref="P26:P30"/>
    <mergeCell ref="Q26:Q30"/>
    <mergeCell ref="R26:R30"/>
    <mergeCell ref="B21:B25"/>
    <mergeCell ref="C21:C25"/>
    <mergeCell ref="D21:D25"/>
    <mergeCell ref="P21:P25"/>
    <mergeCell ref="Q21:Q25"/>
    <mergeCell ref="R21:R25"/>
    <mergeCell ref="B16:B20"/>
    <mergeCell ref="C16:C20"/>
    <mergeCell ref="D16:D20"/>
    <mergeCell ref="P16:P20"/>
    <mergeCell ref="Q16:Q20"/>
    <mergeCell ref="R16:R20"/>
    <mergeCell ref="B11:B15"/>
    <mergeCell ref="C11:C15"/>
    <mergeCell ref="D11:D15"/>
    <mergeCell ref="P11:P15"/>
    <mergeCell ref="Q11:Q15"/>
    <mergeCell ref="R11:R15"/>
    <mergeCell ref="B6:B10"/>
    <mergeCell ref="C6:C10"/>
    <mergeCell ref="D6:D10"/>
    <mergeCell ref="P6:P10"/>
    <mergeCell ref="Q6:Q10"/>
    <mergeCell ref="R6:R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CC6B-E1D1-41F5-A9FF-9ED4E2226B80}">
  <dimension ref="B4:Y177"/>
  <sheetViews>
    <sheetView rightToLeft="1" topLeftCell="K1" workbookViewId="0">
      <selection activeCell="AC13" sqref="AC13"/>
    </sheetView>
  </sheetViews>
  <sheetFormatPr defaultRowHeight="12.75" x14ac:dyDescent="0.2"/>
  <cols>
    <col min="3" max="3" width="28" customWidth="1"/>
    <col min="5" max="5" width="24.140625" customWidth="1"/>
    <col min="25" max="25" width="21.140625" customWidth="1"/>
  </cols>
  <sheetData>
    <row r="4" spans="2:25" ht="13.5" thickBot="1" x14ac:dyDescent="0.25"/>
    <row r="5" spans="2:25" ht="16.5" thickTop="1" thickBot="1" x14ac:dyDescent="0.25">
      <c r="B5" s="143" t="s">
        <v>0</v>
      </c>
      <c r="C5" s="148" t="s">
        <v>7</v>
      </c>
      <c r="D5" s="150" t="s">
        <v>1</v>
      </c>
      <c r="E5" s="148" t="s">
        <v>2</v>
      </c>
      <c r="F5" s="145" t="s">
        <v>14</v>
      </c>
      <c r="G5" s="146"/>
      <c r="H5" s="146"/>
      <c r="I5" s="146"/>
      <c r="J5" s="146"/>
      <c r="K5" s="146"/>
      <c r="L5" s="147"/>
      <c r="M5" s="154" t="s">
        <v>10</v>
      </c>
      <c r="N5" s="155"/>
      <c r="O5" s="155"/>
      <c r="P5" s="155"/>
      <c r="Q5" s="155"/>
      <c r="R5" s="155"/>
      <c r="S5" s="155"/>
      <c r="T5" s="156"/>
      <c r="U5" s="150" t="s">
        <v>4</v>
      </c>
      <c r="V5" s="150" t="s">
        <v>8</v>
      </c>
      <c r="W5" s="23"/>
      <c r="X5" s="150" t="s">
        <v>16</v>
      </c>
      <c r="Y5" s="24"/>
    </row>
    <row r="6" spans="2:25" ht="107.25" thickTop="1" thickBot="1" x14ac:dyDescent="0.25">
      <c r="B6" s="144"/>
      <c r="C6" s="152"/>
      <c r="D6" s="151"/>
      <c r="E6" s="149"/>
      <c r="F6" s="60" t="s">
        <v>28</v>
      </c>
      <c r="G6" s="60" t="s">
        <v>29</v>
      </c>
      <c r="H6" s="60" t="s">
        <v>30</v>
      </c>
      <c r="I6" s="21" t="s">
        <v>31</v>
      </c>
      <c r="J6" s="60" t="s">
        <v>32</v>
      </c>
      <c r="K6" s="21" t="s">
        <v>33</v>
      </c>
      <c r="L6" s="21" t="s">
        <v>34</v>
      </c>
      <c r="M6" s="60" t="s">
        <v>23</v>
      </c>
      <c r="N6" s="60" t="s">
        <v>11</v>
      </c>
      <c r="O6" s="60" t="s">
        <v>9</v>
      </c>
      <c r="P6" s="60" t="s">
        <v>12</v>
      </c>
      <c r="Q6" s="60" t="s">
        <v>27</v>
      </c>
      <c r="R6" s="60" t="s">
        <v>24</v>
      </c>
      <c r="S6" s="60" t="s">
        <v>25</v>
      </c>
      <c r="T6" s="60" t="s">
        <v>26</v>
      </c>
      <c r="U6" s="153"/>
      <c r="V6" s="153"/>
      <c r="W6" s="21" t="s">
        <v>15</v>
      </c>
      <c r="X6" s="153"/>
      <c r="Y6" s="22" t="s">
        <v>17</v>
      </c>
    </row>
    <row r="7" spans="2:25" ht="20.25" thickTop="1" thickBot="1" x14ac:dyDescent="0.35">
      <c r="B7" s="157">
        <v>-1</v>
      </c>
      <c r="C7" s="138" t="s">
        <v>59</v>
      </c>
      <c r="D7" s="113" t="s">
        <v>354</v>
      </c>
      <c r="E7" s="9" t="s">
        <v>5</v>
      </c>
      <c r="F7" s="65">
        <f>IF(IF(F10=0,0,3),3,0)</f>
        <v>0</v>
      </c>
      <c r="G7" s="65">
        <f>IF(IF(G10=0,0,4),4,0)</f>
        <v>4</v>
      </c>
      <c r="H7" s="64">
        <f>IF(IF(H10=0,0,2),2,0)</f>
        <v>2</v>
      </c>
      <c r="I7" s="38">
        <f>IF(IF(I10=0,0,4),4,0)</f>
        <v>4</v>
      </c>
      <c r="J7" s="64">
        <f>IF(IF(J10=0,0,2),2,0)</f>
        <v>2</v>
      </c>
      <c r="K7" s="38">
        <f>IF(IF(K10=0,0,3),3,0)</f>
        <v>3</v>
      </c>
      <c r="L7" s="38">
        <f>IF(IF(L10=0,0,3),3,0)</f>
        <v>3</v>
      </c>
      <c r="M7" s="65">
        <f>IF(IF(M10=0,0,3),3,0)</f>
        <v>0</v>
      </c>
      <c r="N7" s="65">
        <f>IF(IF(N10=0,0,3),3,0)</f>
        <v>0</v>
      </c>
      <c r="O7" s="65">
        <f>IF(IF(O10=0,0,2),2,0)</f>
        <v>0</v>
      </c>
      <c r="P7" s="65">
        <f>IF(IF(P10=0,0,2),2,0)</f>
        <v>0</v>
      </c>
      <c r="Q7" s="65">
        <f>IF(IF(Q10=0,0,3),3,0)</f>
        <v>0</v>
      </c>
      <c r="R7" s="65">
        <f>IF(IF(R10=0,0,3),3,0)</f>
        <v>0</v>
      </c>
      <c r="S7" s="65">
        <f>IF(IF(N10=0,0,3),3,0)</f>
        <v>0</v>
      </c>
      <c r="T7" s="64">
        <f>IF(IF(N10=0,0,3),3,0)</f>
        <v>0</v>
      </c>
      <c r="U7" s="38">
        <f>SUM(F7:T7)</f>
        <v>18</v>
      </c>
      <c r="V7" s="39"/>
      <c r="W7" s="112"/>
      <c r="X7" s="112"/>
      <c r="Y7" s="127"/>
    </row>
    <row r="8" spans="2:25" ht="19.5" thickTop="1" thickBot="1" x14ac:dyDescent="0.3">
      <c r="B8" s="158"/>
      <c r="C8" s="107"/>
      <c r="D8" s="101"/>
      <c r="E8" s="29" t="s">
        <v>216</v>
      </c>
      <c r="F8" s="75"/>
      <c r="G8" s="75">
        <v>21</v>
      </c>
      <c r="H8" s="75">
        <v>0</v>
      </c>
      <c r="I8" s="79">
        <v>10</v>
      </c>
      <c r="J8" s="75">
        <v>0</v>
      </c>
      <c r="K8" s="79">
        <v>0</v>
      </c>
      <c r="L8" s="79">
        <v>0</v>
      </c>
      <c r="M8" s="41">
        <v>0</v>
      </c>
      <c r="N8" s="41">
        <v>0</v>
      </c>
      <c r="O8" s="41">
        <v>0</v>
      </c>
      <c r="P8" s="41">
        <v>0</v>
      </c>
      <c r="Q8" s="75">
        <v>0</v>
      </c>
      <c r="R8" s="41">
        <v>0</v>
      </c>
      <c r="S8" s="41">
        <v>0</v>
      </c>
      <c r="T8" s="41">
        <v>0</v>
      </c>
      <c r="U8" s="42"/>
      <c r="V8" s="43"/>
      <c r="W8" s="101"/>
      <c r="X8" s="101"/>
      <c r="Y8" s="128"/>
    </row>
    <row r="9" spans="2:25" ht="19.5" thickTop="1" thickBot="1" x14ac:dyDescent="0.3">
      <c r="B9" s="158"/>
      <c r="C9" s="107"/>
      <c r="D9" s="101"/>
      <c r="E9" s="30" t="s">
        <v>3</v>
      </c>
      <c r="F9" s="74"/>
      <c r="G9" s="74"/>
      <c r="H9" s="74">
        <v>89</v>
      </c>
      <c r="I9" s="74"/>
      <c r="J9" s="74">
        <v>50</v>
      </c>
      <c r="K9" s="74">
        <v>67</v>
      </c>
      <c r="L9" s="74">
        <v>62</v>
      </c>
      <c r="M9" s="45">
        <v>0</v>
      </c>
      <c r="N9" s="45">
        <v>0</v>
      </c>
      <c r="O9" s="45">
        <v>0</v>
      </c>
      <c r="P9" s="45">
        <v>0</v>
      </c>
      <c r="Q9" s="74">
        <v>0</v>
      </c>
      <c r="R9" s="45">
        <v>0</v>
      </c>
      <c r="S9" s="45">
        <v>0</v>
      </c>
      <c r="T9" s="45">
        <v>0</v>
      </c>
      <c r="U9" s="46"/>
      <c r="V9" s="47"/>
      <c r="W9" s="101"/>
      <c r="X9" s="101"/>
      <c r="Y9" s="128"/>
    </row>
    <row r="10" spans="2:25" ht="19.5" thickTop="1" thickBot="1" x14ac:dyDescent="0.3">
      <c r="B10" s="158"/>
      <c r="C10" s="107"/>
      <c r="D10" s="101"/>
      <c r="E10" s="31" t="s">
        <v>4</v>
      </c>
      <c r="F10" s="74">
        <f t="shared" ref="F10:T10" si="0">IF(F9&lt;30,F8,F8+F9)</f>
        <v>0</v>
      </c>
      <c r="G10" s="74">
        <f t="shared" si="0"/>
        <v>21</v>
      </c>
      <c r="H10" s="74">
        <f t="shared" si="0"/>
        <v>89</v>
      </c>
      <c r="I10" s="74">
        <f t="shared" si="0"/>
        <v>10</v>
      </c>
      <c r="J10" s="74">
        <f t="shared" si="0"/>
        <v>50</v>
      </c>
      <c r="K10" s="74">
        <f t="shared" si="0"/>
        <v>67</v>
      </c>
      <c r="L10" s="74">
        <f t="shared" si="0"/>
        <v>62</v>
      </c>
      <c r="M10" s="45">
        <f t="shared" si="0"/>
        <v>0</v>
      </c>
      <c r="N10" s="45">
        <f t="shared" si="0"/>
        <v>0</v>
      </c>
      <c r="O10" s="45">
        <f t="shared" si="0"/>
        <v>0</v>
      </c>
      <c r="P10" s="45">
        <f t="shared" si="0"/>
        <v>0</v>
      </c>
      <c r="Q10" s="74">
        <f t="shared" si="0"/>
        <v>0</v>
      </c>
      <c r="R10" s="45">
        <f t="shared" si="0"/>
        <v>0</v>
      </c>
      <c r="S10" s="45">
        <f t="shared" si="0"/>
        <v>0</v>
      </c>
      <c r="T10" s="45">
        <f t="shared" si="0"/>
        <v>0</v>
      </c>
      <c r="U10" s="46"/>
      <c r="V10" s="47"/>
      <c r="W10" s="101"/>
      <c r="X10" s="101"/>
      <c r="Y10" s="128"/>
    </row>
    <row r="11" spans="2:25" ht="37.5" thickTop="1" thickBot="1" x14ac:dyDescent="0.3">
      <c r="B11" s="159"/>
      <c r="C11" s="108"/>
      <c r="D11" s="102"/>
      <c r="E11" s="32" t="s">
        <v>6</v>
      </c>
      <c r="F11" s="77">
        <f t="shared" ref="F11:L11" si="1">SUM(F7*F10)</f>
        <v>0</v>
      </c>
      <c r="G11" s="77">
        <f t="shared" si="1"/>
        <v>84</v>
      </c>
      <c r="H11" s="77">
        <f t="shared" si="1"/>
        <v>178</v>
      </c>
      <c r="I11" s="77">
        <f t="shared" si="1"/>
        <v>40</v>
      </c>
      <c r="J11" s="77">
        <f t="shared" si="1"/>
        <v>100</v>
      </c>
      <c r="K11" s="77">
        <f t="shared" si="1"/>
        <v>201</v>
      </c>
      <c r="L11" s="77">
        <f t="shared" si="1"/>
        <v>186</v>
      </c>
      <c r="M11" s="36">
        <f t="shared" ref="M11:T11" si="2">SUM(M7*M10)</f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77">
        <f t="shared" si="2"/>
        <v>0</v>
      </c>
      <c r="R11" s="36">
        <f t="shared" si="2"/>
        <v>0</v>
      </c>
      <c r="S11" s="36">
        <f t="shared" si="2"/>
        <v>0</v>
      </c>
      <c r="T11" s="36">
        <f t="shared" si="2"/>
        <v>0</v>
      </c>
      <c r="U11" s="50">
        <f>SUM(F11:T11)</f>
        <v>789</v>
      </c>
      <c r="V11" s="51">
        <f>SUM(U11/U7)</f>
        <v>43.833333333333336</v>
      </c>
      <c r="W11" s="102"/>
      <c r="X11" s="102"/>
      <c r="Y11" s="128"/>
    </row>
    <row r="12" spans="2:25" ht="20.25" thickTop="1" thickBot="1" x14ac:dyDescent="0.35">
      <c r="B12" s="160">
        <v>-2</v>
      </c>
      <c r="C12" s="106" t="s">
        <v>139</v>
      </c>
      <c r="D12" s="101" t="s">
        <v>355</v>
      </c>
      <c r="E12" s="10" t="s">
        <v>5</v>
      </c>
      <c r="F12" s="38">
        <f>IF(IF(F15=0,0,3),3,0)</f>
        <v>3</v>
      </c>
      <c r="G12" s="38">
        <f>IF(IF(G15=0,0,4),4,0)</f>
        <v>4</v>
      </c>
      <c r="H12" s="37">
        <f>IF(IF(H15=0,0,2),2,0)</f>
        <v>0</v>
      </c>
      <c r="I12" s="38">
        <f>IF(IF(I15=0,0,4),4,0)</f>
        <v>4</v>
      </c>
      <c r="J12" s="37">
        <f>IF(IF(J15=0,0,2),2,0)</f>
        <v>2</v>
      </c>
      <c r="K12" s="38">
        <f>IF(IF(K15=0,0,3),3,0)</f>
        <v>3</v>
      </c>
      <c r="L12" s="38">
        <f>IF(IF(L15=0,0,3),3,0)</f>
        <v>3</v>
      </c>
      <c r="M12" s="38">
        <f>IF(IF(M15=0,0,3),3,0)</f>
        <v>0</v>
      </c>
      <c r="N12" s="38">
        <f>IF(IF(N15=0,0,3),3,0)</f>
        <v>0</v>
      </c>
      <c r="O12" s="38">
        <f>IF(IF(O15=0,0,2),2,0)</f>
        <v>0</v>
      </c>
      <c r="P12" s="38">
        <f>IF(IF(P15=0,0,2),2,0)</f>
        <v>0</v>
      </c>
      <c r="Q12" s="38">
        <f>IF(IF(Q15=0,0,3),3,0)</f>
        <v>0</v>
      </c>
      <c r="R12" s="38">
        <f>IF(IF(R15=0,0,3),3,0)</f>
        <v>0</v>
      </c>
      <c r="S12" s="38">
        <f>IF(IF(N15=0,0,3),3,0)</f>
        <v>0</v>
      </c>
      <c r="T12" s="37">
        <f>IF(IF(N15=0,0,3),3,0)</f>
        <v>0</v>
      </c>
      <c r="U12" s="38">
        <f>SUM(F12:T12)</f>
        <v>19</v>
      </c>
      <c r="V12" s="39"/>
      <c r="W12" s="101"/>
      <c r="X12" s="101"/>
      <c r="Y12" s="128"/>
    </row>
    <row r="13" spans="2:25" ht="19.5" thickTop="1" thickBot="1" x14ac:dyDescent="0.3">
      <c r="B13" s="158"/>
      <c r="C13" s="107"/>
      <c r="D13" s="101"/>
      <c r="E13" s="33" t="s">
        <v>216</v>
      </c>
      <c r="F13" s="75">
        <v>0</v>
      </c>
      <c r="G13" s="75">
        <v>24</v>
      </c>
      <c r="H13" s="75"/>
      <c r="I13" s="79">
        <v>0</v>
      </c>
      <c r="J13" s="75">
        <v>0</v>
      </c>
      <c r="K13" s="79">
        <v>0</v>
      </c>
      <c r="L13" s="79">
        <v>0</v>
      </c>
      <c r="M13" s="41">
        <v>0</v>
      </c>
      <c r="N13" s="45">
        <v>0</v>
      </c>
      <c r="O13" s="73">
        <v>0</v>
      </c>
      <c r="P13" s="41">
        <v>0</v>
      </c>
      <c r="Q13" s="75">
        <v>0</v>
      </c>
      <c r="R13" s="41">
        <v>0</v>
      </c>
      <c r="S13" s="41">
        <v>0</v>
      </c>
      <c r="T13" s="41">
        <v>0</v>
      </c>
      <c r="U13" s="42"/>
      <c r="V13" s="43"/>
      <c r="W13" s="101"/>
      <c r="X13" s="101"/>
      <c r="Y13" s="128"/>
    </row>
    <row r="14" spans="2:25" ht="19.5" thickTop="1" thickBot="1" x14ac:dyDescent="0.3">
      <c r="B14" s="158"/>
      <c r="C14" s="107"/>
      <c r="D14" s="101"/>
      <c r="E14" s="30" t="s">
        <v>3</v>
      </c>
      <c r="F14" s="74">
        <v>59</v>
      </c>
      <c r="G14" s="74"/>
      <c r="H14" s="74"/>
      <c r="I14" s="74">
        <v>50</v>
      </c>
      <c r="J14" s="74">
        <v>78</v>
      </c>
      <c r="K14" s="74">
        <v>89</v>
      </c>
      <c r="L14" s="74">
        <v>80</v>
      </c>
      <c r="M14" s="45">
        <v>0</v>
      </c>
      <c r="N14" s="45">
        <v>0</v>
      </c>
      <c r="O14" s="71">
        <v>0</v>
      </c>
      <c r="P14" s="45">
        <v>0</v>
      </c>
      <c r="Q14" s="74">
        <v>0</v>
      </c>
      <c r="R14" s="45">
        <v>0</v>
      </c>
      <c r="S14" s="45">
        <v>0</v>
      </c>
      <c r="T14" s="45">
        <v>0</v>
      </c>
      <c r="U14" s="46"/>
      <c r="V14" s="47"/>
      <c r="W14" s="101"/>
      <c r="X14" s="101"/>
      <c r="Y14" s="128"/>
    </row>
    <row r="15" spans="2:25" ht="19.5" thickTop="1" thickBot="1" x14ac:dyDescent="0.3">
      <c r="B15" s="158"/>
      <c r="C15" s="107"/>
      <c r="D15" s="101"/>
      <c r="E15" s="31" t="s">
        <v>4</v>
      </c>
      <c r="F15" s="74">
        <f t="shared" ref="F15:T15" si="3">IF(F14&lt;30,F13,F13+F14)</f>
        <v>59</v>
      </c>
      <c r="G15" s="74">
        <f t="shared" si="3"/>
        <v>24</v>
      </c>
      <c r="H15" s="74">
        <f t="shared" si="3"/>
        <v>0</v>
      </c>
      <c r="I15" s="74">
        <f t="shared" si="3"/>
        <v>50</v>
      </c>
      <c r="J15" s="74">
        <f t="shared" si="3"/>
        <v>78</v>
      </c>
      <c r="K15" s="74">
        <f t="shared" si="3"/>
        <v>89</v>
      </c>
      <c r="L15" s="74">
        <f t="shared" si="3"/>
        <v>80</v>
      </c>
      <c r="M15" s="45">
        <f t="shared" si="3"/>
        <v>0</v>
      </c>
      <c r="N15" s="45">
        <f t="shared" si="3"/>
        <v>0</v>
      </c>
      <c r="O15" s="71">
        <f t="shared" si="3"/>
        <v>0</v>
      </c>
      <c r="P15" s="45">
        <f t="shared" si="3"/>
        <v>0</v>
      </c>
      <c r="Q15" s="74">
        <f t="shared" si="3"/>
        <v>0</v>
      </c>
      <c r="R15" s="45">
        <f t="shared" si="3"/>
        <v>0</v>
      </c>
      <c r="S15" s="45">
        <f t="shared" si="3"/>
        <v>0</v>
      </c>
      <c r="T15" s="45">
        <f t="shared" si="3"/>
        <v>0</v>
      </c>
      <c r="U15" s="46"/>
      <c r="V15" s="47"/>
      <c r="W15" s="101"/>
      <c r="X15" s="101"/>
      <c r="Y15" s="128"/>
    </row>
    <row r="16" spans="2:25" ht="37.5" thickTop="1" thickBot="1" x14ac:dyDescent="0.3">
      <c r="B16" s="158"/>
      <c r="C16" s="107"/>
      <c r="D16" s="102"/>
      <c r="E16" s="34" t="s">
        <v>6</v>
      </c>
      <c r="F16" s="77">
        <f t="shared" ref="F16:L16" si="4">SUM(F12*F15)</f>
        <v>177</v>
      </c>
      <c r="G16" s="77">
        <f t="shared" si="4"/>
        <v>96</v>
      </c>
      <c r="H16" s="77">
        <f t="shared" si="4"/>
        <v>0</v>
      </c>
      <c r="I16" s="77">
        <f t="shared" si="4"/>
        <v>200</v>
      </c>
      <c r="J16" s="77">
        <f t="shared" si="4"/>
        <v>156</v>
      </c>
      <c r="K16" s="77">
        <f t="shared" si="4"/>
        <v>267</v>
      </c>
      <c r="L16" s="77">
        <f t="shared" si="4"/>
        <v>240</v>
      </c>
      <c r="M16" s="36">
        <f t="shared" ref="M16:T16" si="5">SUM(M12*M15)</f>
        <v>0</v>
      </c>
      <c r="N16" s="45">
        <f t="shared" si="5"/>
        <v>0</v>
      </c>
      <c r="O16" s="72">
        <f t="shared" si="5"/>
        <v>0</v>
      </c>
      <c r="P16" s="36">
        <f t="shared" si="5"/>
        <v>0</v>
      </c>
      <c r="Q16" s="77">
        <f t="shared" si="5"/>
        <v>0</v>
      </c>
      <c r="R16" s="36">
        <f t="shared" si="5"/>
        <v>0</v>
      </c>
      <c r="S16" s="36">
        <f t="shared" si="5"/>
        <v>0</v>
      </c>
      <c r="T16" s="36">
        <f t="shared" si="5"/>
        <v>0</v>
      </c>
      <c r="U16" s="50">
        <f>SUM(F16:T16)</f>
        <v>1136</v>
      </c>
      <c r="V16" s="51">
        <f>SUM(U16/U12)</f>
        <v>59.789473684210527</v>
      </c>
      <c r="W16" s="102"/>
      <c r="X16" s="102"/>
      <c r="Y16" s="128"/>
    </row>
    <row r="17" spans="2:25" ht="20.25" thickTop="1" thickBot="1" x14ac:dyDescent="0.35">
      <c r="B17" s="158">
        <v>-3</v>
      </c>
      <c r="C17" s="107" t="s">
        <v>140</v>
      </c>
      <c r="D17" s="101" t="s">
        <v>356</v>
      </c>
      <c r="E17" s="10" t="s">
        <v>5</v>
      </c>
      <c r="F17" s="38">
        <f>IF(IF(F20=0,0,3),3,0)</f>
        <v>3</v>
      </c>
      <c r="G17" s="38">
        <f>IF(IF(G20=0,0,4),4,0)</f>
        <v>4</v>
      </c>
      <c r="H17" s="37">
        <f>IF(IF(H20=0,0,2),2,0)</f>
        <v>0</v>
      </c>
      <c r="I17" s="38">
        <f>IF(IF(I20=0,0,4),4,0)</f>
        <v>4</v>
      </c>
      <c r="J17" s="37">
        <f>IF(IF(J20=0,0,2),2,0)</f>
        <v>2</v>
      </c>
      <c r="K17" s="38">
        <f>IF(IF(K20=0,0,3),3,0)</f>
        <v>3</v>
      </c>
      <c r="L17" s="38">
        <f>IF(IF(L20=0,0,3),3,0)</f>
        <v>3</v>
      </c>
      <c r="M17" s="38">
        <f>IF(IF(M20=0,0,3),3,0)</f>
        <v>0</v>
      </c>
      <c r="N17" s="38">
        <f>IF(IF(N20=0,0,3),3,0)</f>
        <v>0</v>
      </c>
      <c r="O17" s="38">
        <f>IF(IF(O20=0,0,2),2,0)</f>
        <v>0</v>
      </c>
      <c r="P17" s="38">
        <f>IF(IF(P20=0,0,2),2,0)</f>
        <v>0</v>
      </c>
      <c r="Q17" s="38">
        <f>IF(IF(Q20=0,0,3),3,0)</f>
        <v>0</v>
      </c>
      <c r="R17" s="38">
        <f>IF(IF(R20=0,0,3),3,0)</f>
        <v>0</v>
      </c>
      <c r="S17" s="38">
        <f>IF(IF(N20=0,0,3),3,0)</f>
        <v>0</v>
      </c>
      <c r="T17" s="37">
        <f>IF(IF(N20=0,0,3),3,0)</f>
        <v>0</v>
      </c>
      <c r="U17" s="38">
        <f>SUM(F17:T17)</f>
        <v>19</v>
      </c>
      <c r="V17" s="39"/>
      <c r="W17" s="101"/>
      <c r="X17" s="101"/>
      <c r="Y17" s="128"/>
    </row>
    <row r="18" spans="2:25" ht="19.5" thickTop="1" thickBot="1" x14ac:dyDescent="0.3">
      <c r="B18" s="158"/>
      <c r="C18" s="107"/>
      <c r="D18" s="101"/>
      <c r="E18" s="33" t="s">
        <v>216</v>
      </c>
      <c r="F18" s="75">
        <v>0</v>
      </c>
      <c r="G18" s="75">
        <v>24</v>
      </c>
      <c r="H18" s="75"/>
      <c r="I18" s="79">
        <v>0</v>
      </c>
      <c r="J18" s="75">
        <v>0</v>
      </c>
      <c r="K18" s="79">
        <v>0</v>
      </c>
      <c r="L18" s="79">
        <v>0</v>
      </c>
      <c r="M18" s="41">
        <v>0</v>
      </c>
      <c r="N18" s="45">
        <v>0</v>
      </c>
      <c r="O18" s="73">
        <v>0</v>
      </c>
      <c r="P18" s="41">
        <v>0</v>
      </c>
      <c r="Q18" s="75">
        <v>0</v>
      </c>
      <c r="R18" s="41">
        <v>0</v>
      </c>
      <c r="S18" s="41">
        <v>0</v>
      </c>
      <c r="T18" s="41">
        <v>0</v>
      </c>
      <c r="U18" s="42"/>
      <c r="V18" s="43"/>
      <c r="W18" s="101"/>
      <c r="X18" s="101"/>
      <c r="Y18" s="128"/>
    </row>
    <row r="19" spans="2:25" ht="19.5" thickTop="1" thickBot="1" x14ac:dyDescent="0.3">
      <c r="B19" s="158"/>
      <c r="C19" s="107"/>
      <c r="D19" s="101"/>
      <c r="E19" s="30" t="s">
        <v>3</v>
      </c>
      <c r="F19" s="74">
        <v>54</v>
      </c>
      <c r="G19" s="74"/>
      <c r="H19" s="74"/>
      <c r="I19" s="74">
        <v>57</v>
      </c>
      <c r="J19" s="74">
        <v>73</v>
      </c>
      <c r="K19" s="74">
        <v>69</v>
      </c>
      <c r="L19" s="74">
        <v>66</v>
      </c>
      <c r="M19" s="45">
        <v>0</v>
      </c>
      <c r="N19" s="45">
        <v>0</v>
      </c>
      <c r="O19" s="71">
        <v>0</v>
      </c>
      <c r="P19" s="45">
        <v>0</v>
      </c>
      <c r="Q19" s="74">
        <v>0</v>
      </c>
      <c r="R19" s="45">
        <v>0</v>
      </c>
      <c r="S19" s="45">
        <v>0</v>
      </c>
      <c r="T19" s="45">
        <v>0</v>
      </c>
      <c r="U19" s="46"/>
      <c r="V19" s="47"/>
      <c r="W19" s="101"/>
      <c r="X19" s="101"/>
      <c r="Y19" s="128"/>
    </row>
    <row r="20" spans="2:25" ht="19.5" thickTop="1" thickBot="1" x14ac:dyDescent="0.3">
      <c r="B20" s="158"/>
      <c r="C20" s="107"/>
      <c r="D20" s="101"/>
      <c r="E20" s="31" t="s">
        <v>4</v>
      </c>
      <c r="F20" s="74">
        <f t="shared" ref="F20:T20" si="6">IF(F19&lt;30,F18,F18+F19)</f>
        <v>54</v>
      </c>
      <c r="G20" s="74">
        <f t="shared" si="6"/>
        <v>24</v>
      </c>
      <c r="H20" s="74">
        <f t="shared" si="6"/>
        <v>0</v>
      </c>
      <c r="I20" s="74">
        <f t="shared" si="6"/>
        <v>57</v>
      </c>
      <c r="J20" s="74">
        <f t="shared" si="6"/>
        <v>73</v>
      </c>
      <c r="K20" s="74">
        <f t="shared" si="6"/>
        <v>69</v>
      </c>
      <c r="L20" s="74">
        <f t="shared" si="6"/>
        <v>66</v>
      </c>
      <c r="M20" s="45">
        <f t="shared" si="6"/>
        <v>0</v>
      </c>
      <c r="N20" s="45">
        <f t="shared" si="6"/>
        <v>0</v>
      </c>
      <c r="O20" s="71">
        <f t="shared" si="6"/>
        <v>0</v>
      </c>
      <c r="P20" s="45">
        <f t="shared" si="6"/>
        <v>0</v>
      </c>
      <c r="Q20" s="74">
        <f t="shared" si="6"/>
        <v>0</v>
      </c>
      <c r="R20" s="45">
        <f t="shared" si="6"/>
        <v>0</v>
      </c>
      <c r="S20" s="45">
        <f t="shared" si="6"/>
        <v>0</v>
      </c>
      <c r="T20" s="45">
        <f t="shared" si="6"/>
        <v>0</v>
      </c>
      <c r="U20" s="46"/>
      <c r="V20" s="47"/>
      <c r="W20" s="101"/>
      <c r="X20" s="101"/>
      <c r="Y20" s="128"/>
    </row>
    <row r="21" spans="2:25" ht="37.5" thickTop="1" thickBot="1" x14ac:dyDescent="0.3">
      <c r="B21" s="161"/>
      <c r="C21" s="163"/>
      <c r="D21" s="102"/>
      <c r="E21" s="35" t="s">
        <v>6</v>
      </c>
      <c r="F21" s="77">
        <f t="shared" ref="F21:L21" si="7">SUM(F17*F20)</f>
        <v>162</v>
      </c>
      <c r="G21" s="77">
        <f t="shared" si="7"/>
        <v>96</v>
      </c>
      <c r="H21" s="77">
        <f t="shared" si="7"/>
        <v>0</v>
      </c>
      <c r="I21" s="77">
        <f t="shared" si="7"/>
        <v>228</v>
      </c>
      <c r="J21" s="77">
        <f t="shared" si="7"/>
        <v>146</v>
      </c>
      <c r="K21" s="77">
        <f t="shared" si="7"/>
        <v>207</v>
      </c>
      <c r="L21" s="77">
        <f t="shared" si="7"/>
        <v>198</v>
      </c>
      <c r="M21" s="36">
        <f t="shared" ref="M21:T21" si="8">SUM(M17*M20)</f>
        <v>0</v>
      </c>
      <c r="N21" s="45">
        <f t="shared" si="8"/>
        <v>0</v>
      </c>
      <c r="O21" s="72">
        <f t="shared" si="8"/>
        <v>0</v>
      </c>
      <c r="P21" s="36">
        <f t="shared" si="8"/>
        <v>0</v>
      </c>
      <c r="Q21" s="77">
        <f t="shared" si="8"/>
        <v>0</v>
      </c>
      <c r="R21" s="36">
        <f t="shared" si="8"/>
        <v>0</v>
      </c>
      <c r="S21" s="36">
        <f t="shared" si="8"/>
        <v>0</v>
      </c>
      <c r="T21" s="36">
        <f t="shared" si="8"/>
        <v>0</v>
      </c>
      <c r="U21" s="50">
        <f>SUM(F21:T21)</f>
        <v>1037</v>
      </c>
      <c r="V21" s="51">
        <f>SUM(U21/U17)</f>
        <v>54.578947368421055</v>
      </c>
      <c r="W21" s="102"/>
      <c r="X21" s="102"/>
      <c r="Y21" s="128"/>
    </row>
    <row r="22" spans="2:25" ht="20.25" thickTop="1" thickBot="1" x14ac:dyDescent="0.35">
      <c r="B22" s="162">
        <v>-4</v>
      </c>
      <c r="C22" s="164" t="s">
        <v>214</v>
      </c>
      <c r="D22" s="101" t="s">
        <v>357</v>
      </c>
      <c r="E22" s="10" t="s">
        <v>5</v>
      </c>
      <c r="F22" s="38">
        <f>IF(IF(F25=0,0,3),3,0)</f>
        <v>0</v>
      </c>
      <c r="G22" s="38">
        <f>IF(IF(G25=0,0,4),4,0)</f>
        <v>4</v>
      </c>
      <c r="H22" s="37">
        <f>IF(IF(H25=0,0,2),2,0)</f>
        <v>0</v>
      </c>
      <c r="I22" s="38">
        <f>IF(IF(I25=0,0,4),4,0)</f>
        <v>0</v>
      </c>
      <c r="J22" s="37">
        <f>IF(IF(J25=0,0,2),2,0)</f>
        <v>2</v>
      </c>
      <c r="K22" s="38">
        <f>IF(IF(K25=0,0,3),3,0)</f>
        <v>3</v>
      </c>
      <c r="L22" s="38">
        <f>IF(IF(L25=0,0,3),3,0)</f>
        <v>3</v>
      </c>
      <c r="M22" s="38">
        <f>IF(IF(M25=0,0,3),3,0)</f>
        <v>0</v>
      </c>
      <c r="N22" s="38">
        <f>IF(IF(N25=0,0,3),3,0)</f>
        <v>0</v>
      </c>
      <c r="O22" s="38">
        <f>IF(IF(O25=0,0,2),2,0)</f>
        <v>0</v>
      </c>
      <c r="P22" s="38">
        <f>IF(IF(P25=0,0,2),2,0)</f>
        <v>0</v>
      </c>
      <c r="Q22" s="38">
        <f>IF(IF(Q25=0,0,3),3,0)</f>
        <v>0</v>
      </c>
      <c r="R22" s="38">
        <f>IF(IF(R25=0,0,3),3,0)</f>
        <v>0</v>
      </c>
      <c r="S22" s="38">
        <f>IF(IF(N25=0,0,3),3,0)</f>
        <v>0</v>
      </c>
      <c r="T22" s="37">
        <f>IF(IF(N25=0,0,3),3,0)</f>
        <v>0</v>
      </c>
      <c r="U22" s="38">
        <f>SUM(F22:T22)</f>
        <v>12</v>
      </c>
      <c r="V22" s="39"/>
      <c r="W22" s="101"/>
      <c r="X22" s="101"/>
      <c r="Y22" s="128"/>
    </row>
    <row r="23" spans="2:25" ht="19.5" thickTop="1" thickBot="1" x14ac:dyDescent="0.3">
      <c r="B23" s="158"/>
      <c r="C23" s="107"/>
      <c r="D23" s="101"/>
      <c r="E23" s="33" t="s">
        <v>216</v>
      </c>
      <c r="F23" s="75"/>
      <c r="G23" s="75">
        <v>21</v>
      </c>
      <c r="H23" s="75"/>
      <c r="I23" s="79"/>
      <c r="J23" s="75">
        <v>24</v>
      </c>
      <c r="K23" s="79">
        <v>38</v>
      </c>
      <c r="L23" s="79">
        <v>35</v>
      </c>
      <c r="M23" s="41">
        <v>0</v>
      </c>
      <c r="N23" s="41">
        <v>0</v>
      </c>
      <c r="O23" s="41">
        <v>0</v>
      </c>
      <c r="P23" s="41">
        <v>0</v>
      </c>
      <c r="Q23" s="75">
        <v>0</v>
      </c>
      <c r="R23" s="41">
        <v>0</v>
      </c>
      <c r="S23" s="41">
        <v>0</v>
      </c>
      <c r="T23" s="41">
        <v>0</v>
      </c>
      <c r="U23" s="42"/>
      <c r="V23" s="43"/>
      <c r="W23" s="101"/>
      <c r="X23" s="101"/>
      <c r="Y23" s="128"/>
    </row>
    <row r="24" spans="2:25" ht="19.5" thickTop="1" thickBot="1" x14ac:dyDescent="0.3">
      <c r="B24" s="158"/>
      <c r="C24" s="107"/>
      <c r="D24" s="101"/>
      <c r="E24" s="30" t="s">
        <v>3</v>
      </c>
      <c r="F24" s="74"/>
      <c r="G24" s="74"/>
      <c r="H24" s="74"/>
      <c r="I24" s="91">
        <v>26</v>
      </c>
      <c r="J24" s="74"/>
      <c r="K24" s="74">
        <v>55</v>
      </c>
      <c r="L24" s="74"/>
      <c r="M24" s="45">
        <v>0</v>
      </c>
      <c r="N24" s="45">
        <v>0</v>
      </c>
      <c r="O24" s="45">
        <v>0</v>
      </c>
      <c r="P24" s="45">
        <v>0</v>
      </c>
      <c r="Q24" s="74">
        <v>0</v>
      </c>
      <c r="R24" s="45">
        <v>0</v>
      </c>
      <c r="S24" s="45">
        <v>0</v>
      </c>
      <c r="T24" s="45">
        <v>0</v>
      </c>
      <c r="U24" s="46"/>
      <c r="V24" s="47"/>
      <c r="W24" s="101"/>
      <c r="X24" s="101"/>
      <c r="Y24" s="128"/>
    </row>
    <row r="25" spans="2:25" ht="19.5" thickTop="1" thickBot="1" x14ac:dyDescent="0.3">
      <c r="B25" s="158"/>
      <c r="C25" s="107"/>
      <c r="D25" s="101"/>
      <c r="E25" s="31" t="s">
        <v>4</v>
      </c>
      <c r="F25" s="74">
        <f t="shared" ref="F25:T25" si="9">IF(F24&lt;30,F23,F23+F24)</f>
        <v>0</v>
      </c>
      <c r="G25" s="74">
        <f t="shared" si="9"/>
        <v>21</v>
      </c>
      <c r="H25" s="74">
        <f t="shared" si="9"/>
        <v>0</v>
      </c>
      <c r="I25" s="74">
        <f t="shared" si="9"/>
        <v>0</v>
      </c>
      <c r="J25" s="74">
        <f t="shared" si="9"/>
        <v>24</v>
      </c>
      <c r="K25" s="74">
        <f t="shared" si="9"/>
        <v>93</v>
      </c>
      <c r="L25" s="74">
        <f t="shared" si="9"/>
        <v>35</v>
      </c>
      <c r="M25" s="45">
        <f t="shared" si="9"/>
        <v>0</v>
      </c>
      <c r="N25" s="45">
        <f t="shared" si="9"/>
        <v>0</v>
      </c>
      <c r="O25" s="45">
        <f t="shared" si="9"/>
        <v>0</v>
      </c>
      <c r="P25" s="45">
        <f t="shared" si="9"/>
        <v>0</v>
      </c>
      <c r="Q25" s="74">
        <f t="shared" si="9"/>
        <v>0</v>
      </c>
      <c r="R25" s="45">
        <f t="shared" si="9"/>
        <v>0</v>
      </c>
      <c r="S25" s="45">
        <f t="shared" si="9"/>
        <v>0</v>
      </c>
      <c r="T25" s="45">
        <f t="shared" si="9"/>
        <v>0</v>
      </c>
      <c r="U25" s="46"/>
      <c r="V25" s="47"/>
      <c r="W25" s="101"/>
      <c r="X25" s="101"/>
      <c r="Y25" s="128"/>
    </row>
    <row r="26" spans="2:25" ht="37.5" thickTop="1" thickBot="1" x14ac:dyDescent="0.3">
      <c r="B26" s="161"/>
      <c r="C26" s="163"/>
      <c r="D26" s="102"/>
      <c r="E26" s="35" t="s">
        <v>6</v>
      </c>
      <c r="F26" s="77">
        <f t="shared" ref="F26:L26" si="10">SUM(F22*F25)</f>
        <v>0</v>
      </c>
      <c r="G26" s="77">
        <f t="shared" si="10"/>
        <v>84</v>
      </c>
      <c r="H26" s="77">
        <f t="shared" si="10"/>
        <v>0</v>
      </c>
      <c r="I26" s="77">
        <f t="shared" si="10"/>
        <v>0</v>
      </c>
      <c r="J26" s="77">
        <f t="shared" si="10"/>
        <v>48</v>
      </c>
      <c r="K26" s="77">
        <f t="shared" si="10"/>
        <v>279</v>
      </c>
      <c r="L26" s="77">
        <f t="shared" si="10"/>
        <v>105</v>
      </c>
      <c r="M26" s="36">
        <f t="shared" ref="M26:T26" si="11">SUM(M22*M25)</f>
        <v>0</v>
      </c>
      <c r="N26" s="36">
        <f t="shared" si="11"/>
        <v>0</v>
      </c>
      <c r="O26" s="36">
        <f t="shared" si="11"/>
        <v>0</v>
      </c>
      <c r="P26" s="36">
        <f t="shared" si="11"/>
        <v>0</v>
      </c>
      <c r="Q26" s="77">
        <f t="shared" si="11"/>
        <v>0</v>
      </c>
      <c r="R26" s="36">
        <f t="shared" si="11"/>
        <v>0</v>
      </c>
      <c r="S26" s="36">
        <f t="shared" si="11"/>
        <v>0</v>
      </c>
      <c r="T26" s="36">
        <f t="shared" si="11"/>
        <v>0</v>
      </c>
      <c r="U26" s="50">
        <f>SUM(F26:T26)</f>
        <v>516</v>
      </c>
      <c r="V26" s="51">
        <f>SUM(U26/U22)</f>
        <v>43</v>
      </c>
      <c r="W26" s="102"/>
      <c r="X26" s="102"/>
      <c r="Y26" s="128"/>
    </row>
    <row r="27" spans="2:25" ht="20.25" thickTop="1" thickBot="1" x14ac:dyDescent="0.35">
      <c r="B27" s="162">
        <v>-5</v>
      </c>
      <c r="C27" s="164" t="s">
        <v>141</v>
      </c>
      <c r="D27" s="112" t="s">
        <v>358</v>
      </c>
      <c r="E27" s="10" t="s">
        <v>5</v>
      </c>
      <c r="F27" s="38">
        <f>IF(IF(F30=0,0,3),3,0)</f>
        <v>0</v>
      </c>
      <c r="G27" s="38">
        <f>IF(IF(G30=0,0,4),4,0)</f>
        <v>4</v>
      </c>
      <c r="H27" s="37">
        <f>IF(IF(H30=0,0,2),2,0)</f>
        <v>0</v>
      </c>
      <c r="I27" s="38">
        <f>IF(IF(I30=0,0,4),4,0)</f>
        <v>4</v>
      </c>
      <c r="J27" s="37">
        <f>IF(IF(J30=0,0,2),2,0)</f>
        <v>2</v>
      </c>
      <c r="K27" s="38">
        <f>IF(IF(K30=0,0,3),3,0)</f>
        <v>3</v>
      </c>
      <c r="L27" s="38">
        <f>IF(IF(L30=0,0,3),3,0)</f>
        <v>3</v>
      </c>
      <c r="M27" s="38">
        <f>IF(IF(M30=0,0,3),3,0)</f>
        <v>0</v>
      </c>
      <c r="N27" s="38">
        <f>IF(IF(N30=0,0,3),3,0)</f>
        <v>0</v>
      </c>
      <c r="O27" s="38">
        <f>IF(IF(O30=0,0,2),2,0)</f>
        <v>0</v>
      </c>
      <c r="P27" s="38">
        <f>IF(IF(P30=0,0,2),2,0)</f>
        <v>0</v>
      </c>
      <c r="Q27" s="38">
        <f>IF(IF(Q30=0,0,3),3,0)</f>
        <v>0</v>
      </c>
      <c r="R27" s="38">
        <f>IF(IF(R30=0,0,3),3,0)</f>
        <v>0</v>
      </c>
      <c r="S27" s="38">
        <f>IF(IF(N30=0,0,3),3,0)</f>
        <v>0</v>
      </c>
      <c r="T27" s="37">
        <f>IF(IF(N30=0,0,3),3,0)</f>
        <v>0</v>
      </c>
      <c r="U27" s="38">
        <f>SUM(F27:T27)</f>
        <v>16</v>
      </c>
      <c r="V27" s="39"/>
      <c r="W27" s="101"/>
      <c r="X27" s="101"/>
      <c r="Y27" s="128"/>
    </row>
    <row r="28" spans="2:25" ht="19.5" thickTop="1" thickBot="1" x14ac:dyDescent="0.3">
      <c r="B28" s="158"/>
      <c r="C28" s="107"/>
      <c r="D28" s="101"/>
      <c r="E28" s="33" t="s">
        <v>216</v>
      </c>
      <c r="F28" s="75"/>
      <c r="G28" s="75">
        <v>22</v>
      </c>
      <c r="H28" s="75"/>
      <c r="I28" s="79">
        <v>10</v>
      </c>
      <c r="J28" s="75">
        <v>25</v>
      </c>
      <c r="K28" s="79">
        <v>34</v>
      </c>
      <c r="L28" s="79">
        <v>34</v>
      </c>
      <c r="M28" s="41">
        <v>0</v>
      </c>
      <c r="N28" s="41">
        <v>0</v>
      </c>
      <c r="O28" s="41">
        <v>0</v>
      </c>
      <c r="P28" s="41">
        <v>0</v>
      </c>
      <c r="Q28" s="75">
        <v>0</v>
      </c>
      <c r="R28" s="41">
        <v>0</v>
      </c>
      <c r="S28" s="41">
        <v>0</v>
      </c>
      <c r="T28" s="41">
        <v>0</v>
      </c>
      <c r="U28" s="42"/>
      <c r="V28" s="43"/>
      <c r="W28" s="101"/>
      <c r="X28" s="101"/>
      <c r="Y28" s="128"/>
    </row>
    <row r="29" spans="2:25" ht="19.5" thickTop="1" thickBot="1" x14ac:dyDescent="0.3">
      <c r="B29" s="158"/>
      <c r="C29" s="107"/>
      <c r="D29" s="101"/>
      <c r="E29" s="30" t="s">
        <v>3</v>
      </c>
      <c r="F29" s="74"/>
      <c r="G29" s="74"/>
      <c r="H29" s="74"/>
      <c r="I29" s="74"/>
      <c r="J29" s="74"/>
      <c r="K29" s="74">
        <v>35</v>
      </c>
      <c r="L29" s="74"/>
      <c r="M29" s="45">
        <v>0</v>
      </c>
      <c r="N29" s="45">
        <v>0</v>
      </c>
      <c r="O29" s="45">
        <v>0</v>
      </c>
      <c r="P29" s="45">
        <v>0</v>
      </c>
      <c r="Q29" s="74">
        <v>0</v>
      </c>
      <c r="R29" s="45">
        <v>0</v>
      </c>
      <c r="S29" s="45">
        <v>0</v>
      </c>
      <c r="T29" s="45">
        <v>0</v>
      </c>
      <c r="U29" s="46"/>
      <c r="V29" s="47"/>
      <c r="W29" s="101"/>
      <c r="X29" s="101"/>
      <c r="Y29" s="128"/>
    </row>
    <row r="30" spans="2:25" ht="19.5" thickTop="1" thickBot="1" x14ac:dyDescent="0.3">
      <c r="B30" s="158"/>
      <c r="C30" s="107"/>
      <c r="D30" s="101"/>
      <c r="E30" s="31" t="s">
        <v>4</v>
      </c>
      <c r="F30" s="74">
        <f t="shared" ref="F30:T30" si="12">IF(F29&lt;30,F28,F28+F29)</f>
        <v>0</v>
      </c>
      <c r="G30" s="74">
        <f t="shared" si="12"/>
        <v>22</v>
      </c>
      <c r="H30" s="74">
        <f t="shared" si="12"/>
        <v>0</v>
      </c>
      <c r="I30" s="74">
        <f t="shared" si="12"/>
        <v>10</v>
      </c>
      <c r="J30" s="74">
        <f t="shared" si="12"/>
        <v>25</v>
      </c>
      <c r="K30" s="74">
        <f t="shared" si="12"/>
        <v>69</v>
      </c>
      <c r="L30" s="74">
        <f t="shared" si="12"/>
        <v>34</v>
      </c>
      <c r="M30" s="45">
        <f t="shared" si="12"/>
        <v>0</v>
      </c>
      <c r="N30" s="45">
        <f t="shared" si="12"/>
        <v>0</v>
      </c>
      <c r="O30" s="45">
        <f t="shared" si="12"/>
        <v>0</v>
      </c>
      <c r="P30" s="45">
        <f t="shared" si="12"/>
        <v>0</v>
      </c>
      <c r="Q30" s="74">
        <f t="shared" si="12"/>
        <v>0</v>
      </c>
      <c r="R30" s="45">
        <f t="shared" si="12"/>
        <v>0</v>
      </c>
      <c r="S30" s="45">
        <f t="shared" si="12"/>
        <v>0</v>
      </c>
      <c r="T30" s="45">
        <f t="shared" si="12"/>
        <v>0</v>
      </c>
      <c r="U30" s="46"/>
      <c r="V30" s="47"/>
      <c r="W30" s="101"/>
      <c r="X30" s="101"/>
      <c r="Y30" s="128"/>
    </row>
    <row r="31" spans="2:25" ht="37.5" thickTop="1" thickBot="1" x14ac:dyDescent="0.3">
      <c r="B31" s="159"/>
      <c r="C31" s="108"/>
      <c r="D31" s="102"/>
      <c r="E31" s="32" t="s">
        <v>6</v>
      </c>
      <c r="F31" s="77">
        <f t="shared" ref="F31:L31" si="13">SUM(F27*F30)</f>
        <v>0</v>
      </c>
      <c r="G31" s="77">
        <f t="shared" si="13"/>
        <v>88</v>
      </c>
      <c r="H31" s="77">
        <f t="shared" si="13"/>
        <v>0</v>
      </c>
      <c r="I31" s="77">
        <f t="shared" si="13"/>
        <v>40</v>
      </c>
      <c r="J31" s="77">
        <f t="shared" si="13"/>
        <v>50</v>
      </c>
      <c r="K31" s="77">
        <f t="shared" si="13"/>
        <v>207</v>
      </c>
      <c r="L31" s="77">
        <f t="shared" si="13"/>
        <v>102</v>
      </c>
      <c r="M31" s="36">
        <f t="shared" ref="M31:T31" si="14">SUM(M27*M30)</f>
        <v>0</v>
      </c>
      <c r="N31" s="36">
        <f t="shared" si="14"/>
        <v>0</v>
      </c>
      <c r="O31" s="36">
        <f t="shared" si="14"/>
        <v>0</v>
      </c>
      <c r="P31" s="36">
        <f t="shared" si="14"/>
        <v>0</v>
      </c>
      <c r="Q31" s="77">
        <f t="shared" si="14"/>
        <v>0</v>
      </c>
      <c r="R31" s="36">
        <f t="shared" si="14"/>
        <v>0</v>
      </c>
      <c r="S31" s="36">
        <f t="shared" si="14"/>
        <v>0</v>
      </c>
      <c r="T31" s="36">
        <f t="shared" si="14"/>
        <v>0</v>
      </c>
      <c r="U31" s="50">
        <f>SUM(F31:T31)</f>
        <v>487</v>
      </c>
      <c r="V31" s="51">
        <f>SUM(U31/U27)</f>
        <v>30.4375</v>
      </c>
      <c r="W31" s="102"/>
      <c r="X31" s="102"/>
      <c r="Y31" s="128"/>
    </row>
    <row r="32" spans="2:25" ht="20.25" thickTop="1" thickBot="1" x14ac:dyDescent="0.35">
      <c r="B32" s="160">
        <v>-6</v>
      </c>
      <c r="C32" s="106" t="s">
        <v>142</v>
      </c>
      <c r="D32" s="112" t="s">
        <v>359</v>
      </c>
      <c r="E32" s="10" t="s">
        <v>5</v>
      </c>
      <c r="F32" s="38">
        <f>IF(IF(F35=0,0,3),3,0)</f>
        <v>0</v>
      </c>
      <c r="G32" s="38">
        <f>IF(IF(G35=0,0,4),4,0)</f>
        <v>4</v>
      </c>
      <c r="H32" s="37">
        <f>IF(IF(H35=0,0,2),2,0)</f>
        <v>0</v>
      </c>
      <c r="I32" s="38">
        <f>IF(IF(I35=0,0,4),4,0)</f>
        <v>4</v>
      </c>
      <c r="J32" s="37">
        <f>IF(IF(J35=0,0,2),2,0)</f>
        <v>2</v>
      </c>
      <c r="K32" s="38">
        <f>IF(IF(K35=0,0,3),3,0)</f>
        <v>3</v>
      </c>
      <c r="L32" s="38">
        <f>IF(IF(L35=0,0,3),3,0)</f>
        <v>3</v>
      </c>
      <c r="M32" s="38">
        <f>IF(IF(M35=0,0,3),3,0)</f>
        <v>0</v>
      </c>
      <c r="N32" s="38">
        <f>IF(IF(N35=0,0,3),3,0)</f>
        <v>0</v>
      </c>
      <c r="O32" s="38">
        <f>IF(IF(O35=0,0,2),2,0)</f>
        <v>0</v>
      </c>
      <c r="P32" s="38">
        <f>IF(IF(P35=0,0,2),2,0)</f>
        <v>0</v>
      </c>
      <c r="Q32" s="38">
        <f>IF(IF(Q35=0,0,3),3,0)</f>
        <v>3</v>
      </c>
      <c r="R32" s="38">
        <f>IF(IF(R35=0,0,3),3,0)</f>
        <v>0</v>
      </c>
      <c r="S32" s="38">
        <f>IF(IF(N35=0,0,3),3,0)</f>
        <v>0</v>
      </c>
      <c r="T32" s="37">
        <f>IF(IF(N35=0,0,3),3,0)</f>
        <v>0</v>
      </c>
      <c r="U32" s="38">
        <f>SUM(F32:T32)</f>
        <v>19</v>
      </c>
      <c r="V32" s="39"/>
      <c r="W32" s="101"/>
      <c r="X32" s="101"/>
      <c r="Y32" s="128"/>
    </row>
    <row r="33" spans="2:25" ht="19.5" thickTop="1" thickBot="1" x14ac:dyDescent="0.3">
      <c r="B33" s="158"/>
      <c r="C33" s="107"/>
      <c r="D33" s="101"/>
      <c r="E33" s="33" t="s">
        <v>216</v>
      </c>
      <c r="F33" s="75"/>
      <c r="G33" s="75">
        <v>24</v>
      </c>
      <c r="H33" s="75"/>
      <c r="I33" s="79">
        <v>30</v>
      </c>
      <c r="J33" s="75">
        <v>26</v>
      </c>
      <c r="K33" s="79">
        <v>40</v>
      </c>
      <c r="L33" s="79">
        <v>40</v>
      </c>
      <c r="M33" s="41">
        <v>0</v>
      </c>
      <c r="N33" s="41">
        <v>0</v>
      </c>
      <c r="O33" s="41">
        <v>0</v>
      </c>
      <c r="P33" s="41">
        <v>0</v>
      </c>
      <c r="Q33" s="75">
        <v>39</v>
      </c>
      <c r="R33" s="41">
        <v>0</v>
      </c>
      <c r="S33" s="41">
        <v>0</v>
      </c>
      <c r="T33" s="41">
        <v>0</v>
      </c>
      <c r="U33" s="42"/>
      <c r="V33" s="43"/>
      <c r="W33" s="101"/>
      <c r="X33" s="101"/>
      <c r="Y33" s="128"/>
    </row>
    <row r="34" spans="2:25" ht="19.5" thickTop="1" thickBot="1" x14ac:dyDescent="0.3">
      <c r="B34" s="158"/>
      <c r="C34" s="107"/>
      <c r="D34" s="101"/>
      <c r="E34" s="30" t="s">
        <v>3</v>
      </c>
      <c r="F34" s="74"/>
      <c r="G34" s="74"/>
      <c r="H34" s="74"/>
      <c r="I34" s="74"/>
      <c r="J34" s="74"/>
      <c r="K34" s="74">
        <v>60</v>
      </c>
      <c r="L34" s="74"/>
      <c r="M34" s="45">
        <v>0</v>
      </c>
      <c r="N34" s="45">
        <v>0</v>
      </c>
      <c r="O34" s="45">
        <v>0</v>
      </c>
      <c r="P34" s="45">
        <v>0</v>
      </c>
      <c r="Q34" s="74">
        <v>0</v>
      </c>
      <c r="R34" s="45">
        <v>0</v>
      </c>
      <c r="S34" s="45">
        <v>0</v>
      </c>
      <c r="T34" s="45">
        <v>0</v>
      </c>
      <c r="U34" s="46"/>
      <c r="V34" s="47"/>
      <c r="W34" s="101"/>
      <c r="X34" s="101"/>
      <c r="Y34" s="128"/>
    </row>
    <row r="35" spans="2:25" ht="19.5" thickTop="1" thickBot="1" x14ac:dyDescent="0.3">
      <c r="B35" s="158"/>
      <c r="C35" s="107"/>
      <c r="D35" s="101"/>
      <c r="E35" s="31" t="s">
        <v>4</v>
      </c>
      <c r="F35" s="74">
        <f t="shared" ref="F35:T35" si="15">IF(F34&lt;30,F33,F33+F34)</f>
        <v>0</v>
      </c>
      <c r="G35" s="74">
        <f t="shared" si="15"/>
        <v>24</v>
      </c>
      <c r="H35" s="74">
        <f t="shared" si="15"/>
        <v>0</v>
      </c>
      <c r="I35" s="74">
        <f t="shared" si="15"/>
        <v>30</v>
      </c>
      <c r="J35" s="74">
        <f t="shared" si="15"/>
        <v>26</v>
      </c>
      <c r="K35" s="74">
        <f t="shared" si="15"/>
        <v>100</v>
      </c>
      <c r="L35" s="74">
        <f t="shared" si="15"/>
        <v>40</v>
      </c>
      <c r="M35" s="45">
        <f t="shared" si="15"/>
        <v>0</v>
      </c>
      <c r="N35" s="45">
        <f t="shared" si="15"/>
        <v>0</v>
      </c>
      <c r="O35" s="45">
        <f t="shared" si="15"/>
        <v>0</v>
      </c>
      <c r="P35" s="45">
        <f t="shared" si="15"/>
        <v>0</v>
      </c>
      <c r="Q35" s="74">
        <f t="shared" si="15"/>
        <v>39</v>
      </c>
      <c r="R35" s="45">
        <f t="shared" si="15"/>
        <v>0</v>
      </c>
      <c r="S35" s="45">
        <f t="shared" si="15"/>
        <v>0</v>
      </c>
      <c r="T35" s="45">
        <f t="shared" si="15"/>
        <v>0</v>
      </c>
      <c r="U35" s="46"/>
      <c r="V35" s="47"/>
      <c r="W35" s="101"/>
      <c r="X35" s="101"/>
      <c r="Y35" s="128"/>
    </row>
    <row r="36" spans="2:25" ht="37.5" thickTop="1" thickBot="1" x14ac:dyDescent="0.3">
      <c r="B36" s="159"/>
      <c r="C36" s="108"/>
      <c r="D36" s="102"/>
      <c r="E36" s="32" t="s">
        <v>6</v>
      </c>
      <c r="F36" s="77">
        <f t="shared" ref="F36:L36" si="16">SUM(F32*F35)</f>
        <v>0</v>
      </c>
      <c r="G36" s="77">
        <f t="shared" si="16"/>
        <v>96</v>
      </c>
      <c r="H36" s="77">
        <f t="shared" si="16"/>
        <v>0</v>
      </c>
      <c r="I36" s="77">
        <f t="shared" si="16"/>
        <v>120</v>
      </c>
      <c r="J36" s="77">
        <f t="shared" si="16"/>
        <v>52</v>
      </c>
      <c r="K36" s="77">
        <f t="shared" si="16"/>
        <v>300</v>
      </c>
      <c r="L36" s="77">
        <f t="shared" si="16"/>
        <v>120</v>
      </c>
      <c r="M36" s="36">
        <f t="shared" ref="M36:T36" si="17">SUM(M32*M35)</f>
        <v>0</v>
      </c>
      <c r="N36" s="36">
        <f t="shared" si="17"/>
        <v>0</v>
      </c>
      <c r="O36" s="36">
        <f t="shared" si="17"/>
        <v>0</v>
      </c>
      <c r="P36" s="36">
        <f t="shared" si="17"/>
        <v>0</v>
      </c>
      <c r="Q36" s="77">
        <f t="shared" si="17"/>
        <v>117</v>
      </c>
      <c r="R36" s="36">
        <f t="shared" si="17"/>
        <v>0</v>
      </c>
      <c r="S36" s="36">
        <f t="shared" si="17"/>
        <v>0</v>
      </c>
      <c r="T36" s="36">
        <f t="shared" si="17"/>
        <v>0</v>
      </c>
      <c r="U36" s="50">
        <f>SUM(F36:T36)</f>
        <v>805</v>
      </c>
      <c r="V36" s="51">
        <f>SUM(U36/U32)</f>
        <v>42.368421052631582</v>
      </c>
      <c r="W36" s="102"/>
      <c r="X36" s="102"/>
      <c r="Y36" s="128"/>
    </row>
    <row r="37" spans="2:25" ht="20.25" thickTop="1" thickBot="1" x14ac:dyDescent="0.35">
      <c r="B37" s="160">
        <v>-7</v>
      </c>
      <c r="C37" s="106" t="s">
        <v>143</v>
      </c>
      <c r="D37" s="101" t="s">
        <v>360</v>
      </c>
      <c r="E37" s="10" t="s">
        <v>5</v>
      </c>
      <c r="F37" s="38">
        <f>IF(IF(F40=0,0,3),3,0)</f>
        <v>0</v>
      </c>
      <c r="G37" s="38">
        <f>IF(IF(G40=0,0,4),4,0)</f>
        <v>4</v>
      </c>
      <c r="H37" s="37">
        <f>IF(IF(H40=0,0,2),2,0)</f>
        <v>0</v>
      </c>
      <c r="I37" s="38">
        <f>IF(IF(I40=0,0,4),4,0)</f>
        <v>4</v>
      </c>
      <c r="J37" s="37">
        <f>IF(IF(J40=0,0,2),2,0)</f>
        <v>2</v>
      </c>
      <c r="K37" s="38">
        <f>IF(IF(K40=0,0,3),3,0)</f>
        <v>3</v>
      </c>
      <c r="L37" s="38">
        <f>IF(IF(L40=0,0,3),3,0)</f>
        <v>3</v>
      </c>
      <c r="M37" s="38">
        <f>IF(IF(M40=0,0,3),3,0)</f>
        <v>0</v>
      </c>
      <c r="N37" s="38">
        <f>IF(IF(N40=0,0,3),3,0)</f>
        <v>0</v>
      </c>
      <c r="O37" s="38">
        <f>IF(IF(O40=0,0,2),2,0)</f>
        <v>0</v>
      </c>
      <c r="P37" s="38">
        <f>IF(IF(P40=0,0,2),2,0)</f>
        <v>0</v>
      </c>
      <c r="Q37" s="38">
        <f>IF(IF(Q40=0,0,3),3,0)</f>
        <v>0</v>
      </c>
      <c r="R37" s="38">
        <f>IF(IF(R40=0,0,3),3,0)</f>
        <v>0</v>
      </c>
      <c r="S37" s="38">
        <f>IF(IF(N40=0,0,3),3,0)</f>
        <v>0</v>
      </c>
      <c r="T37" s="37">
        <f>IF(IF(N40=0,0,3),3,0)</f>
        <v>0</v>
      </c>
      <c r="U37" s="38">
        <f>SUM(F37:T37)</f>
        <v>16</v>
      </c>
      <c r="V37" s="39"/>
      <c r="W37" s="101"/>
      <c r="X37" s="101"/>
      <c r="Y37" s="128"/>
    </row>
    <row r="38" spans="2:25" ht="19.5" thickTop="1" thickBot="1" x14ac:dyDescent="0.3">
      <c r="B38" s="158"/>
      <c r="C38" s="107"/>
      <c r="D38" s="101"/>
      <c r="E38" s="33" t="s">
        <v>216</v>
      </c>
      <c r="F38" s="75"/>
      <c r="G38" s="75">
        <v>30</v>
      </c>
      <c r="H38" s="75"/>
      <c r="I38" s="79">
        <v>32</v>
      </c>
      <c r="J38" s="75">
        <v>32</v>
      </c>
      <c r="K38" s="79">
        <v>38</v>
      </c>
      <c r="L38" s="79">
        <v>39</v>
      </c>
      <c r="M38" s="41">
        <v>0</v>
      </c>
      <c r="N38" s="41">
        <v>0</v>
      </c>
      <c r="O38" s="41">
        <v>0</v>
      </c>
      <c r="P38" s="41">
        <v>0</v>
      </c>
      <c r="Q38" s="75">
        <v>0</v>
      </c>
      <c r="R38" s="41">
        <v>0</v>
      </c>
      <c r="S38" s="41">
        <v>0</v>
      </c>
      <c r="T38" s="41">
        <v>0</v>
      </c>
      <c r="U38" s="42"/>
      <c r="V38" s="43"/>
      <c r="W38" s="101"/>
      <c r="X38" s="101"/>
      <c r="Y38" s="128"/>
    </row>
    <row r="39" spans="2:25" ht="19.5" thickTop="1" thickBot="1" x14ac:dyDescent="0.3">
      <c r="B39" s="158"/>
      <c r="C39" s="107"/>
      <c r="D39" s="101"/>
      <c r="E39" s="30" t="s">
        <v>3</v>
      </c>
      <c r="F39" s="74"/>
      <c r="G39" s="74"/>
      <c r="H39" s="74"/>
      <c r="I39" s="74"/>
      <c r="J39" s="74"/>
      <c r="K39" s="74">
        <v>35</v>
      </c>
      <c r="L39" s="74"/>
      <c r="M39" s="45">
        <v>0</v>
      </c>
      <c r="N39" s="45">
        <v>0</v>
      </c>
      <c r="O39" s="45">
        <v>0</v>
      </c>
      <c r="P39" s="45">
        <v>0</v>
      </c>
      <c r="Q39" s="74">
        <v>0</v>
      </c>
      <c r="R39" s="45">
        <v>0</v>
      </c>
      <c r="S39" s="45">
        <v>0</v>
      </c>
      <c r="T39" s="45">
        <v>0</v>
      </c>
      <c r="U39" s="46"/>
      <c r="V39" s="47"/>
      <c r="W39" s="101"/>
      <c r="X39" s="101"/>
      <c r="Y39" s="128"/>
    </row>
    <row r="40" spans="2:25" ht="19.5" thickTop="1" thickBot="1" x14ac:dyDescent="0.3">
      <c r="B40" s="158"/>
      <c r="C40" s="107"/>
      <c r="D40" s="101"/>
      <c r="E40" s="31" t="s">
        <v>4</v>
      </c>
      <c r="F40" s="74">
        <f t="shared" ref="F40:T40" si="18">IF(F39&lt;30,F38,F38+F39)</f>
        <v>0</v>
      </c>
      <c r="G40" s="74">
        <f t="shared" si="18"/>
        <v>30</v>
      </c>
      <c r="H40" s="74">
        <f t="shared" si="18"/>
        <v>0</v>
      </c>
      <c r="I40" s="74">
        <f t="shared" si="18"/>
        <v>32</v>
      </c>
      <c r="J40" s="74">
        <f t="shared" si="18"/>
        <v>32</v>
      </c>
      <c r="K40" s="74">
        <f t="shared" si="18"/>
        <v>73</v>
      </c>
      <c r="L40" s="74">
        <f t="shared" si="18"/>
        <v>39</v>
      </c>
      <c r="M40" s="45">
        <f t="shared" si="18"/>
        <v>0</v>
      </c>
      <c r="N40" s="45">
        <f t="shared" si="18"/>
        <v>0</v>
      </c>
      <c r="O40" s="45">
        <f t="shared" si="18"/>
        <v>0</v>
      </c>
      <c r="P40" s="45">
        <f t="shared" si="18"/>
        <v>0</v>
      </c>
      <c r="Q40" s="74">
        <f t="shared" si="18"/>
        <v>0</v>
      </c>
      <c r="R40" s="45">
        <f t="shared" si="18"/>
        <v>0</v>
      </c>
      <c r="S40" s="45">
        <f t="shared" si="18"/>
        <v>0</v>
      </c>
      <c r="T40" s="45">
        <f t="shared" si="18"/>
        <v>0</v>
      </c>
      <c r="U40" s="46"/>
      <c r="V40" s="47"/>
      <c r="W40" s="101"/>
      <c r="X40" s="101"/>
      <c r="Y40" s="128"/>
    </row>
    <row r="41" spans="2:25" ht="37.5" thickTop="1" thickBot="1" x14ac:dyDescent="0.3">
      <c r="B41" s="166"/>
      <c r="C41" s="165"/>
      <c r="D41" s="102"/>
      <c r="E41" s="32" t="s">
        <v>6</v>
      </c>
      <c r="F41" s="76">
        <f t="shared" ref="F41:L41" si="19">SUM(F37*F40)</f>
        <v>0</v>
      </c>
      <c r="G41" s="76">
        <f t="shared" si="19"/>
        <v>120</v>
      </c>
      <c r="H41" s="76">
        <f t="shared" si="19"/>
        <v>0</v>
      </c>
      <c r="I41" s="76">
        <f t="shared" si="19"/>
        <v>128</v>
      </c>
      <c r="J41" s="76">
        <f t="shared" si="19"/>
        <v>64</v>
      </c>
      <c r="K41" s="76">
        <f t="shared" si="19"/>
        <v>219</v>
      </c>
      <c r="L41" s="76">
        <f t="shared" si="19"/>
        <v>117</v>
      </c>
      <c r="M41" s="53">
        <f t="shared" ref="M41:T41" si="20">SUM(M37*M40)</f>
        <v>0</v>
      </c>
      <c r="N41" s="53">
        <f t="shared" si="20"/>
        <v>0</v>
      </c>
      <c r="O41" s="53">
        <f t="shared" si="20"/>
        <v>0</v>
      </c>
      <c r="P41" s="53">
        <f t="shared" si="20"/>
        <v>0</v>
      </c>
      <c r="Q41" s="76">
        <f t="shared" si="20"/>
        <v>0</v>
      </c>
      <c r="R41" s="53">
        <f t="shared" si="20"/>
        <v>0</v>
      </c>
      <c r="S41" s="53">
        <f t="shared" si="20"/>
        <v>0</v>
      </c>
      <c r="T41" s="53">
        <f t="shared" si="20"/>
        <v>0</v>
      </c>
      <c r="U41" s="54">
        <f>SUM(F41:T41)</f>
        <v>648</v>
      </c>
      <c r="V41" s="81">
        <f>SUM(U41/U37)</f>
        <v>40.5</v>
      </c>
      <c r="W41" s="102"/>
      <c r="X41" s="102"/>
      <c r="Y41" s="129"/>
    </row>
    <row r="42" spans="2:25" ht="20.25" thickTop="1" thickBot="1" x14ac:dyDescent="0.35">
      <c r="B42" s="157">
        <v>-8</v>
      </c>
      <c r="C42" s="138" t="s">
        <v>144</v>
      </c>
      <c r="D42" s="113" t="s">
        <v>361</v>
      </c>
      <c r="E42" s="9" t="s">
        <v>5</v>
      </c>
      <c r="F42" s="65">
        <f>IF(IF(F45=0,0,3),3,0)</f>
        <v>0</v>
      </c>
      <c r="G42" s="65">
        <f>IF(IF(G45=0,0,4),4,0)</f>
        <v>4</v>
      </c>
      <c r="H42" s="64">
        <f>IF(IF(H45=0,0,2),2,0)</f>
        <v>0</v>
      </c>
      <c r="I42" s="38">
        <f>IF(IF(I45=0,0,4),4,0)</f>
        <v>4</v>
      </c>
      <c r="J42" s="64">
        <f>IF(IF(J45=0,0,2),2,0)</f>
        <v>2</v>
      </c>
      <c r="K42" s="38">
        <f>IF(IF(K45=0,0,3),3,0)</f>
        <v>3</v>
      </c>
      <c r="L42" s="38">
        <f>IF(IF(L45=0,0,3),3,0)</f>
        <v>3</v>
      </c>
      <c r="M42" s="65">
        <f>IF(IF(M45=0,0,3),3,0)</f>
        <v>0</v>
      </c>
      <c r="N42" s="65">
        <f>IF(IF(N45=0,0,3),3,0)</f>
        <v>0</v>
      </c>
      <c r="O42" s="65">
        <f>IF(IF(O45=0,0,2),2,0)</f>
        <v>0</v>
      </c>
      <c r="P42" s="65">
        <f>IF(IF(P45=0,0,2),2,0)</f>
        <v>0</v>
      </c>
      <c r="Q42" s="65">
        <f>IF(IF(Q45=0,0,3),3,0)</f>
        <v>0</v>
      </c>
      <c r="R42" s="65">
        <f>IF(IF(R45=0,0,3),3,0)</f>
        <v>0</v>
      </c>
      <c r="S42" s="65">
        <f>IF(IF(N45=0,0,3),3,0)</f>
        <v>0</v>
      </c>
      <c r="T42" s="64">
        <f>IF(IF(N45=0,0,3),3,0)</f>
        <v>0</v>
      </c>
      <c r="U42" s="38">
        <f>SUM(F42:T42)</f>
        <v>16</v>
      </c>
      <c r="V42" s="39"/>
      <c r="W42" s="112"/>
      <c r="X42" s="112"/>
      <c r="Y42" s="141"/>
    </row>
    <row r="43" spans="2:25" ht="19.5" thickTop="1" thickBot="1" x14ac:dyDescent="0.3">
      <c r="B43" s="158"/>
      <c r="C43" s="107"/>
      <c r="D43" s="101"/>
      <c r="E43" s="29" t="s">
        <v>216</v>
      </c>
      <c r="F43" s="75"/>
      <c r="G43" s="75">
        <v>30</v>
      </c>
      <c r="H43" s="75"/>
      <c r="I43" s="79">
        <v>36</v>
      </c>
      <c r="J43" s="75">
        <v>32</v>
      </c>
      <c r="K43" s="79">
        <v>35</v>
      </c>
      <c r="L43" s="79">
        <v>39</v>
      </c>
      <c r="M43" s="41">
        <v>0</v>
      </c>
      <c r="N43" s="41">
        <v>0</v>
      </c>
      <c r="O43" s="41">
        <v>0</v>
      </c>
      <c r="P43" s="41">
        <v>0</v>
      </c>
      <c r="Q43" s="75">
        <v>0</v>
      </c>
      <c r="R43" s="41">
        <v>0</v>
      </c>
      <c r="S43" s="41">
        <v>0</v>
      </c>
      <c r="T43" s="41">
        <v>0</v>
      </c>
      <c r="U43" s="42"/>
      <c r="V43" s="43"/>
      <c r="W43" s="101"/>
      <c r="X43" s="101"/>
      <c r="Y43" s="128"/>
    </row>
    <row r="44" spans="2:25" ht="19.5" thickTop="1" thickBot="1" x14ac:dyDescent="0.3">
      <c r="B44" s="158"/>
      <c r="C44" s="107"/>
      <c r="D44" s="101"/>
      <c r="E44" s="30" t="s">
        <v>3</v>
      </c>
      <c r="F44" s="74"/>
      <c r="G44" s="74"/>
      <c r="H44" s="74"/>
      <c r="I44" s="74"/>
      <c r="J44" s="74"/>
      <c r="K44" s="74">
        <v>60</v>
      </c>
      <c r="L44" s="74"/>
      <c r="M44" s="45">
        <v>0</v>
      </c>
      <c r="N44" s="45">
        <v>0</v>
      </c>
      <c r="O44" s="45">
        <v>0</v>
      </c>
      <c r="P44" s="45">
        <v>0</v>
      </c>
      <c r="Q44" s="74">
        <v>0</v>
      </c>
      <c r="R44" s="45">
        <v>0</v>
      </c>
      <c r="S44" s="45">
        <v>0</v>
      </c>
      <c r="T44" s="45">
        <v>0</v>
      </c>
      <c r="U44" s="46"/>
      <c r="V44" s="47"/>
      <c r="W44" s="101"/>
      <c r="X44" s="101"/>
      <c r="Y44" s="128"/>
    </row>
    <row r="45" spans="2:25" ht="19.5" thickTop="1" thickBot="1" x14ac:dyDescent="0.3">
      <c r="B45" s="158"/>
      <c r="C45" s="107"/>
      <c r="D45" s="101"/>
      <c r="E45" s="31" t="s">
        <v>4</v>
      </c>
      <c r="F45" s="74">
        <f t="shared" ref="F45:T45" si="21">IF(F44&lt;30,F43,F43+F44)</f>
        <v>0</v>
      </c>
      <c r="G45" s="74">
        <f t="shared" si="21"/>
        <v>30</v>
      </c>
      <c r="H45" s="74">
        <f t="shared" si="21"/>
        <v>0</v>
      </c>
      <c r="I45" s="74">
        <f t="shared" si="21"/>
        <v>36</v>
      </c>
      <c r="J45" s="74">
        <f t="shared" si="21"/>
        <v>32</v>
      </c>
      <c r="K45" s="74">
        <f t="shared" si="21"/>
        <v>95</v>
      </c>
      <c r="L45" s="74">
        <f t="shared" si="21"/>
        <v>39</v>
      </c>
      <c r="M45" s="45">
        <f t="shared" si="21"/>
        <v>0</v>
      </c>
      <c r="N45" s="45">
        <f t="shared" si="21"/>
        <v>0</v>
      </c>
      <c r="O45" s="45">
        <f t="shared" si="21"/>
        <v>0</v>
      </c>
      <c r="P45" s="45">
        <f t="shared" si="21"/>
        <v>0</v>
      </c>
      <c r="Q45" s="74">
        <f t="shared" si="21"/>
        <v>0</v>
      </c>
      <c r="R45" s="45">
        <f t="shared" si="21"/>
        <v>0</v>
      </c>
      <c r="S45" s="45">
        <f t="shared" si="21"/>
        <v>0</v>
      </c>
      <c r="T45" s="45">
        <f t="shared" si="21"/>
        <v>0</v>
      </c>
      <c r="U45" s="46"/>
      <c r="V45" s="47"/>
      <c r="W45" s="101"/>
      <c r="X45" s="101"/>
      <c r="Y45" s="128"/>
    </row>
    <row r="46" spans="2:25" ht="37.5" thickTop="1" thickBot="1" x14ac:dyDescent="0.3">
      <c r="B46" s="159"/>
      <c r="C46" s="108"/>
      <c r="D46" s="102"/>
      <c r="E46" s="32" t="s">
        <v>6</v>
      </c>
      <c r="F46" s="77">
        <f t="shared" ref="F46:L46" si="22">SUM(F42*F45)</f>
        <v>0</v>
      </c>
      <c r="G46" s="77">
        <f t="shared" si="22"/>
        <v>120</v>
      </c>
      <c r="H46" s="77">
        <f t="shared" si="22"/>
        <v>0</v>
      </c>
      <c r="I46" s="77">
        <f t="shared" si="22"/>
        <v>144</v>
      </c>
      <c r="J46" s="77">
        <f t="shared" si="22"/>
        <v>64</v>
      </c>
      <c r="K46" s="77">
        <f t="shared" si="22"/>
        <v>285</v>
      </c>
      <c r="L46" s="77">
        <f t="shared" si="22"/>
        <v>117</v>
      </c>
      <c r="M46" s="36">
        <f t="shared" ref="M46:T46" si="23">SUM(M42*M45)</f>
        <v>0</v>
      </c>
      <c r="N46" s="36">
        <f t="shared" si="23"/>
        <v>0</v>
      </c>
      <c r="O46" s="36">
        <f t="shared" si="23"/>
        <v>0</v>
      </c>
      <c r="P46" s="36">
        <f t="shared" si="23"/>
        <v>0</v>
      </c>
      <c r="Q46" s="77">
        <f t="shared" si="23"/>
        <v>0</v>
      </c>
      <c r="R46" s="36">
        <f t="shared" si="23"/>
        <v>0</v>
      </c>
      <c r="S46" s="36">
        <f t="shared" si="23"/>
        <v>0</v>
      </c>
      <c r="T46" s="36">
        <f t="shared" si="23"/>
        <v>0</v>
      </c>
      <c r="U46" s="50">
        <f>SUM(F46:T46)</f>
        <v>730</v>
      </c>
      <c r="V46" s="51">
        <f>SUM(U46/U42)</f>
        <v>45.625</v>
      </c>
      <c r="W46" s="102"/>
      <c r="X46" s="102"/>
      <c r="Y46" s="128"/>
    </row>
    <row r="47" spans="2:25" ht="20.25" thickTop="1" thickBot="1" x14ac:dyDescent="0.35">
      <c r="B47" s="160">
        <v>-9</v>
      </c>
      <c r="C47" s="106" t="s">
        <v>145</v>
      </c>
      <c r="D47" s="101" t="s">
        <v>362</v>
      </c>
      <c r="E47" s="10" t="s">
        <v>5</v>
      </c>
      <c r="F47" s="38">
        <f>IF(IF(F50=0,0,3),3,0)</f>
        <v>0</v>
      </c>
      <c r="G47" s="38">
        <f>IF(IF(G50=0,0,4),4,0)</f>
        <v>4</v>
      </c>
      <c r="H47" s="37">
        <f>IF(IF(H50=0,0,2),2,0)</f>
        <v>0</v>
      </c>
      <c r="I47" s="38">
        <f>IF(IF(I50=0,0,4),4,0)</f>
        <v>4</v>
      </c>
      <c r="J47" s="37">
        <f>IF(IF(J50=0,0,2),2,0)</f>
        <v>2</v>
      </c>
      <c r="K47" s="38">
        <f>IF(IF(K50=0,0,3),3,0)</f>
        <v>3</v>
      </c>
      <c r="L47" s="38">
        <f>IF(IF(L50=0,0,3),3,0)</f>
        <v>3</v>
      </c>
      <c r="M47" s="38">
        <f>IF(IF(M50=0,0,3),3,0)</f>
        <v>0</v>
      </c>
      <c r="N47" s="38">
        <f>IF(IF(N50=0,0,3),3,0)</f>
        <v>0</v>
      </c>
      <c r="O47" s="38">
        <f>IF(IF(O50=0,0,2),2,0)</f>
        <v>0</v>
      </c>
      <c r="P47" s="38">
        <f>IF(IF(P50=0,0,2),2,0)</f>
        <v>0</v>
      </c>
      <c r="Q47" s="38">
        <f>IF(IF(Q50=0,0,3),3,0)</f>
        <v>0</v>
      </c>
      <c r="R47" s="38">
        <f>IF(IF(R50=0,0,3),3,0)</f>
        <v>0</v>
      </c>
      <c r="S47" s="38">
        <f>IF(IF(N50=0,0,3),3,0)</f>
        <v>0</v>
      </c>
      <c r="T47" s="37">
        <f>IF(IF(N50=0,0,3),3,0)</f>
        <v>0</v>
      </c>
      <c r="U47" s="38">
        <f>SUM(F47:T47)</f>
        <v>16</v>
      </c>
      <c r="V47" s="39"/>
      <c r="W47" s="101"/>
      <c r="X47" s="101"/>
      <c r="Y47" s="128"/>
    </row>
    <row r="48" spans="2:25" ht="19.5" thickTop="1" thickBot="1" x14ac:dyDescent="0.3">
      <c r="B48" s="158"/>
      <c r="C48" s="107"/>
      <c r="D48" s="101"/>
      <c r="E48" s="33" t="s">
        <v>216</v>
      </c>
      <c r="F48" s="75"/>
      <c r="G48" s="75">
        <v>21</v>
      </c>
      <c r="H48" s="75"/>
      <c r="I48" s="79">
        <v>36</v>
      </c>
      <c r="J48" s="75">
        <v>24</v>
      </c>
      <c r="K48" s="79">
        <v>34</v>
      </c>
      <c r="L48" s="79">
        <v>34</v>
      </c>
      <c r="M48" s="41">
        <v>0</v>
      </c>
      <c r="N48" s="41">
        <v>0</v>
      </c>
      <c r="O48" s="41">
        <v>0</v>
      </c>
      <c r="P48" s="41">
        <v>0</v>
      </c>
      <c r="Q48" s="75">
        <v>0</v>
      </c>
      <c r="R48" s="41">
        <v>0</v>
      </c>
      <c r="S48" s="41">
        <v>0</v>
      </c>
      <c r="T48" s="41">
        <v>0</v>
      </c>
      <c r="U48" s="42"/>
      <c r="V48" s="43"/>
      <c r="W48" s="101"/>
      <c r="X48" s="101"/>
      <c r="Y48" s="128"/>
    </row>
    <row r="49" spans="2:25" ht="19.5" thickTop="1" thickBot="1" x14ac:dyDescent="0.3">
      <c r="B49" s="158"/>
      <c r="C49" s="107"/>
      <c r="D49" s="101"/>
      <c r="E49" s="30" t="s">
        <v>3</v>
      </c>
      <c r="F49" s="74"/>
      <c r="G49" s="74"/>
      <c r="H49" s="74"/>
      <c r="I49" s="74"/>
      <c r="J49" s="74"/>
      <c r="K49" s="74">
        <v>40</v>
      </c>
      <c r="L49" s="74"/>
      <c r="M49" s="45">
        <v>0</v>
      </c>
      <c r="N49" s="45">
        <v>0</v>
      </c>
      <c r="O49" s="45">
        <v>0</v>
      </c>
      <c r="P49" s="45">
        <v>0</v>
      </c>
      <c r="Q49" s="74">
        <v>0</v>
      </c>
      <c r="R49" s="45">
        <v>0</v>
      </c>
      <c r="S49" s="45">
        <v>0</v>
      </c>
      <c r="T49" s="45">
        <v>0</v>
      </c>
      <c r="U49" s="46"/>
      <c r="V49" s="47"/>
      <c r="W49" s="101"/>
      <c r="X49" s="101"/>
      <c r="Y49" s="128"/>
    </row>
    <row r="50" spans="2:25" ht="19.5" thickTop="1" thickBot="1" x14ac:dyDescent="0.3">
      <c r="B50" s="158"/>
      <c r="C50" s="107"/>
      <c r="D50" s="101"/>
      <c r="E50" s="31" t="s">
        <v>4</v>
      </c>
      <c r="F50" s="74">
        <f t="shared" ref="F50:T50" si="24">IF(F49&lt;30,F48,F48+F49)</f>
        <v>0</v>
      </c>
      <c r="G50" s="74">
        <f t="shared" si="24"/>
        <v>21</v>
      </c>
      <c r="H50" s="74">
        <f t="shared" si="24"/>
        <v>0</v>
      </c>
      <c r="I50" s="74">
        <f t="shared" si="24"/>
        <v>36</v>
      </c>
      <c r="J50" s="74">
        <f t="shared" si="24"/>
        <v>24</v>
      </c>
      <c r="K50" s="74">
        <f t="shared" si="24"/>
        <v>74</v>
      </c>
      <c r="L50" s="74">
        <f t="shared" si="24"/>
        <v>34</v>
      </c>
      <c r="M50" s="45">
        <f t="shared" si="24"/>
        <v>0</v>
      </c>
      <c r="N50" s="45">
        <f t="shared" si="24"/>
        <v>0</v>
      </c>
      <c r="O50" s="45">
        <f t="shared" si="24"/>
        <v>0</v>
      </c>
      <c r="P50" s="45">
        <f t="shared" si="24"/>
        <v>0</v>
      </c>
      <c r="Q50" s="74">
        <f t="shared" si="24"/>
        <v>0</v>
      </c>
      <c r="R50" s="45">
        <f t="shared" si="24"/>
        <v>0</v>
      </c>
      <c r="S50" s="45">
        <f t="shared" si="24"/>
        <v>0</v>
      </c>
      <c r="T50" s="45">
        <f t="shared" si="24"/>
        <v>0</v>
      </c>
      <c r="U50" s="46"/>
      <c r="V50" s="47"/>
      <c r="W50" s="101"/>
      <c r="X50" s="101"/>
      <c r="Y50" s="128"/>
    </row>
    <row r="51" spans="2:25" ht="37.5" thickTop="1" thickBot="1" x14ac:dyDescent="0.3">
      <c r="B51" s="166"/>
      <c r="C51" s="165"/>
      <c r="D51" s="102"/>
      <c r="E51" s="34" t="s">
        <v>6</v>
      </c>
      <c r="F51" s="77">
        <f t="shared" ref="F51:L51" si="25">SUM(F47*F50)</f>
        <v>0</v>
      </c>
      <c r="G51" s="77">
        <f t="shared" si="25"/>
        <v>84</v>
      </c>
      <c r="H51" s="77">
        <f t="shared" si="25"/>
        <v>0</v>
      </c>
      <c r="I51" s="77">
        <f t="shared" si="25"/>
        <v>144</v>
      </c>
      <c r="J51" s="77">
        <f t="shared" si="25"/>
        <v>48</v>
      </c>
      <c r="K51" s="77">
        <f t="shared" si="25"/>
        <v>222</v>
      </c>
      <c r="L51" s="77">
        <f t="shared" si="25"/>
        <v>102</v>
      </c>
      <c r="M51" s="36">
        <f t="shared" ref="M51:T51" si="26">SUM(M47*M50)</f>
        <v>0</v>
      </c>
      <c r="N51" s="36">
        <f t="shared" si="26"/>
        <v>0</v>
      </c>
      <c r="O51" s="36">
        <f t="shared" si="26"/>
        <v>0</v>
      </c>
      <c r="P51" s="36">
        <f t="shared" si="26"/>
        <v>0</v>
      </c>
      <c r="Q51" s="77">
        <f t="shared" si="26"/>
        <v>0</v>
      </c>
      <c r="R51" s="36">
        <f t="shared" si="26"/>
        <v>0</v>
      </c>
      <c r="S51" s="36">
        <f t="shared" si="26"/>
        <v>0</v>
      </c>
      <c r="T51" s="36">
        <f t="shared" si="26"/>
        <v>0</v>
      </c>
      <c r="U51" s="50">
        <f>SUM(F51:T51)</f>
        <v>600</v>
      </c>
      <c r="V51" s="51">
        <f>SUM(U51/U47)</f>
        <v>37.5</v>
      </c>
      <c r="W51" s="102"/>
      <c r="X51" s="102"/>
      <c r="Y51" s="128"/>
    </row>
    <row r="52" spans="2:25" ht="20.25" thickTop="1" thickBot="1" x14ac:dyDescent="0.35">
      <c r="B52" s="158">
        <v>-10</v>
      </c>
      <c r="C52" s="107" t="s">
        <v>146</v>
      </c>
      <c r="D52" s="101" t="s">
        <v>363</v>
      </c>
      <c r="E52" s="10" t="s">
        <v>5</v>
      </c>
      <c r="F52" s="38">
        <f>IF(IF(F55=0,0,3),3,0)</f>
        <v>0</v>
      </c>
      <c r="G52" s="38">
        <f>IF(IF(G55=0,0,4),4,0)</f>
        <v>4</v>
      </c>
      <c r="H52" s="37">
        <f>IF(IF(H55=0,0,2),2,0)</f>
        <v>0</v>
      </c>
      <c r="I52" s="38">
        <f>IF(IF(I55=0,0,4),4,0)</f>
        <v>4</v>
      </c>
      <c r="J52" s="37">
        <f>IF(IF(J55=0,0,2),2,0)</f>
        <v>2</v>
      </c>
      <c r="K52" s="38">
        <f>IF(IF(K55=0,0,3),3,0)</f>
        <v>3</v>
      </c>
      <c r="L52" s="38">
        <f>IF(IF(L55=0,0,3),3,0)</f>
        <v>3</v>
      </c>
      <c r="M52" s="38">
        <f>IF(IF(M55=0,0,3),3,0)</f>
        <v>0</v>
      </c>
      <c r="N52" s="38">
        <f>IF(IF(N55=0,0,3),3,0)</f>
        <v>0</v>
      </c>
      <c r="O52" s="38">
        <f>IF(IF(O55=0,0,2),2,0)</f>
        <v>0</v>
      </c>
      <c r="P52" s="38">
        <f>IF(IF(P55=0,0,2),2,0)</f>
        <v>0</v>
      </c>
      <c r="Q52" s="38">
        <f>IF(IF(Q55=0,0,3),3,0)</f>
        <v>3</v>
      </c>
      <c r="R52" s="38">
        <f>IF(IF(R55=0,0,3),3,0)</f>
        <v>0</v>
      </c>
      <c r="S52" s="38">
        <f>IF(IF(N55=0,0,3),3,0)</f>
        <v>0</v>
      </c>
      <c r="T52" s="37">
        <f>IF(IF(N55=0,0,3),3,0)</f>
        <v>0</v>
      </c>
      <c r="U52" s="38">
        <f>SUM(F52:T52)</f>
        <v>19</v>
      </c>
      <c r="V52" s="39"/>
      <c r="W52" s="101"/>
      <c r="X52" s="101"/>
      <c r="Y52" s="128"/>
    </row>
    <row r="53" spans="2:25" ht="19.5" thickTop="1" thickBot="1" x14ac:dyDescent="0.3">
      <c r="B53" s="158"/>
      <c r="C53" s="107"/>
      <c r="D53" s="101"/>
      <c r="E53" s="33" t="s">
        <v>216</v>
      </c>
      <c r="F53" s="75"/>
      <c r="G53" s="75">
        <v>29</v>
      </c>
      <c r="H53" s="75"/>
      <c r="I53" s="79">
        <v>26</v>
      </c>
      <c r="J53" s="75">
        <v>28</v>
      </c>
      <c r="K53" s="79">
        <v>30</v>
      </c>
      <c r="L53" s="79">
        <v>34</v>
      </c>
      <c r="M53" s="41">
        <v>0</v>
      </c>
      <c r="N53" s="41">
        <v>0</v>
      </c>
      <c r="O53" s="41">
        <v>0</v>
      </c>
      <c r="P53" s="41">
        <v>0</v>
      </c>
      <c r="Q53" s="75">
        <v>39</v>
      </c>
      <c r="R53" s="41">
        <v>0</v>
      </c>
      <c r="S53" s="41">
        <v>0</v>
      </c>
      <c r="T53" s="41">
        <v>0</v>
      </c>
      <c r="U53" s="42"/>
      <c r="V53" s="43"/>
      <c r="W53" s="101"/>
      <c r="X53" s="101"/>
      <c r="Y53" s="128"/>
    </row>
    <row r="54" spans="2:25" ht="19.5" thickTop="1" thickBot="1" x14ac:dyDescent="0.3">
      <c r="B54" s="158"/>
      <c r="C54" s="107"/>
      <c r="D54" s="101"/>
      <c r="E54" s="30" t="s">
        <v>3</v>
      </c>
      <c r="F54" s="74"/>
      <c r="G54" s="74"/>
      <c r="H54" s="74"/>
      <c r="I54" s="74"/>
      <c r="J54" s="74"/>
      <c r="K54" s="74">
        <v>35</v>
      </c>
      <c r="L54" s="74"/>
      <c r="M54" s="45">
        <v>0</v>
      </c>
      <c r="N54" s="45">
        <v>0</v>
      </c>
      <c r="O54" s="45">
        <v>0</v>
      </c>
      <c r="P54" s="45">
        <v>0</v>
      </c>
      <c r="Q54" s="74">
        <v>0</v>
      </c>
      <c r="R54" s="45">
        <v>0</v>
      </c>
      <c r="S54" s="45">
        <v>0</v>
      </c>
      <c r="T54" s="45">
        <v>0</v>
      </c>
      <c r="U54" s="46"/>
      <c r="V54" s="47"/>
      <c r="W54" s="101"/>
      <c r="X54" s="101"/>
      <c r="Y54" s="128"/>
    </row>
    <row r="55" spans="2:25" ht="19.5" thickTop="1" thickBot="1" x14ac:dyDescent="0.3">
      <c r="B55" s="158"/>
      <c r="C55" s="107"/>
      <c r="D55" s="101"/>
      <c r="E55" s="31" t="s">
        <v>4</v>
      </c>
      <c r="F55" s="74">
        <f t="shared" ref="F55:T55" si="27">IF(F54&lt;30,F53,F53+F54)</f>
        <v>0</v>
      </c>
      <c r="G55" s="74">
        <f t="shared" si="27"/>
        <v>29</v>
      </c>
      <c r="H55" s="74">
        <f t="shared" si="27"/>
        <v>0</v>
      </c>
      <c r="I55" s="74">
        <f t="shared" si="27"/>
        <v>26</v>
      </c>
      <c r="J55" s="74">
        <f t="shared" si="27"/>
        <v>28</v>
      </c>
      <c r="K55" s="74">
        <f t="shared" si="27"/>
        <v>65</v>
      </c>
      <c r="L55" s="74">
        <f t="shared" si="27"/>
        <v>34</v>
      </c>
      <c r="M55" s="45">
        <f t="shared" si="27"/>
        <v>0</v>
      </c>
      <c r="N55" s="45">
        <f t="shared" si="27"/>
        <v>0</v>
      </c>
      <c r="O55" s="45">
        <f t="shared" si="27"/>
        <v>0</v>
      </c>
      <c r="P55" s="45">
        <f t="shared" si="27"/>
        <v>0</v>
      </c>
      <c r="Q55" s="74">
        <f t="shared" si="27"/>
        <v>39</v>
      </c>
      <c r="R55" s="45">
        <f t="shared" si="27"/>
        <v>0</v>
      </c>
      <c r="S55" s="45">
        <f t="shared" si="27"/>
        <v>0</v>
      </c>
      <c r="T55" s="45">
        <f t="shared" si="27"/>
        <v>0</v>
      </c>
      <c r="U55" s="46"/>
      <c r="V55" s="47"/>
      <c r="W55" s="101"/>
      <c r="X55" s="101"/>
      <c r="Y55" s="128"/>
    </row>
    <row r="56" spans="2:25" ht="37.5" thickTop="1" thickBot="1" x14ac:dyDescent="0.3">
      <c r="B56" s="161"/>
      <c r="C56" s="163"/>
      <c r="D56" s="102"/>
      <c r="E56" s="35" t="s">
        <v>6</v>
      </c>
      <c r="F56" s="77">
        <f t="shared" ref="F56:L56" si="28">SUM(F52*F55)</f>
        <v>0</v>
      </c>
      <c r="G56" s="77">
        <f t="shared" si="28"/>
        <v>116</v>
      </c>
      <c r="H56" s="77">
        <f t="shared" si="28"/>
        <v>0</v>
      </c>
      <c r="I56" s="77">
        <f t="shared" si="28"/>
        <v>104</v>
      </c>
      <c r="J56" s="77">
        <f t="shared" si="28"/>
        <v>56</v>
      </c>
      <c r="K56" s="77">
        <f t="shared" si="28"/>
        <v>195</v>
      </c>
      <c r="L56" s="77">
        <f t="shared" si="28"/>
        <v>102</v>
      </c>
      <c r="M56" s="36">
        <f t="shared" ref="M56:T56" si="29">SUM(M52*M55)</f>
        <v>0</v>
      </c>
      <c r="N56" s="36">
        <f t="shared" si="29"/>
        <v>0</v>
      </c>
      <c r="O56" s="36">
        <f t="shared" si="29"/>
        <v>0</v>
      </c>
      <c r="P56" s="36">
        <f t="shared" si="29"/>
        <v>0</v>
      </c>
      <c r="Q56" s="77">
        <f t="shared" si="29"/>
        <v>117</v>
      </c>
      <c r="R56" s="36">
        <f t="shared" si="29"/>
        <v>0</v>
      </c>
      <c r="S56" s="36">
        <f t="shared" si="29"/>
        <v>0</v>
      </c>
      <c r="T56" s="36">
        <f t="shared" si="29"/>
        <v>0</v>
      </c>
      <c r="U56" s="50">
        <f>SUM(F56:T56)</f>
        <v>690</v>
      </c>
      <c r="V56" s="51">
        <f>SUM(U56/U52)</f>
        <v>36.315789473684212</v>
      </c>
      <c r="W56" s="102"/>
      <c r="X56" s="102"/>
      <c r="Y56" s="128"/>
    </row>
    <row r="57" spans="2:25" ht="20.25" thickTop="1" thickBot="1" x14ac:dyDescent="0.35">
      <c r="B57" s="162">
        <v>-11</v>
      </c>
      <c r="C57" s="164" t="s">
        <v>147</v>
      </c>
      <c r="D57" s="101" t="s">
        <v>364</v>
      </c>
      <c r="E57" s="10" t="s">
        <v>5</v>
      </c>
      <c r="F57" s="38">
        <f>IF(IF(F60=0,0,3),3,0)</f>
        <v>0</v>
      </c>
      <c r="G57" s="38">
        <f>IF(IF(G60=0,0,4),4,0)</f>
        <v>4</v>
      </c>
      <c r="H57" s="37">
        <f>IF(IF(H60=0,0,2),2,0)</f>
        <v>0</v>
      </c>
      <c r="I57" s="38">
        <f>IF(IF(I60=0,0,4),4,0)</f>
        <v>4</v>
      </c>
      <c r="J57" s="37">
        <f>IF(IF(J60=0,0,2),2,0)</f>
        <v>2</v>
      </c>
      <c r="K57" s="38">
        <f>IF(IF(K60=0,0,3),3,0)</f>
        <v>3</v>
      </c>
      <c r="L57" s="38">
        <f>IF(IF(L60=0,0,3),3,0)</f>
        <v>3</v>
      </c>
      <c r="M57" s="38">
        <f>IF(IF(M60=0,0,3),3,0)</f>
        <v>0</v>
      </c>
      <c r="N57" s="38">
        <f>IF(IF(N60=0,0,3),3,0)</f>
        <v>0</v>
      </c>
      <c r="O57" s="38">
        <f>IF(IF(O60=0,0,2),2,0)</f>
        <v>0</v>
      </c>
      <c r="P57" s="38">
        <f>IF(IF(P60=0,0,2),2,0)</f>
        <v>0</v>
      </c>
      <c r="Q57" s="38">
        <f>IF(IF(Q60=0,0,3),3,0)</f>
        <v>0</v>
      </c>
      <c r="R57" s="38">
        <f>IF(IF(R60=0,0,3),3,0)</f>
        <v>0</v>
      </c>
      <c r="S57" s="38">
        <f>IF(IF(N60=0,0,3),3,0)</f>
        <v>0</v>
      </c>
      <c r="T57" s="37">
        <f>IF(IF(N60=0,0,3),3,0)</f>
        <v>0</v>
      </c>
      <c r="U57" s="38">
        <f>SUM(F57:T57)</f>
        <v>16</v>
      </c>
      <c r="V57" s="39"/>
      <c r="W57" s="101"/>
      <c r="X57" s="101"/>
      <c r="Y57" s="128"/>
    </row>
    <row r="58" spans="2:25" ht="19.5" thickTop="1" thickBot="1" x14ac:dyDescent="0.3">
      <c r="B58" s="158"/>
      <c r="C58" s="107"/>
      <c r="D58" s="101"/>
      <c r="E58" s="33" t="s">
        <v>216</v>
      </c>
      <c r="F58" s="75"/>
      <c r="G58" s="75">
        <v>35</v>
      </c>
      <c r="H58" s="75"/>
      <c r="I58" s="79">
        <v>34</v>
      </c>
      <c r="J58" s="75">
        <v>34</v>
      </c>
      <c r="K58" s="79">
        <v>40</v>
      </c>
      <c r="L58" s="79">
        <v>40</v>
      </c>
      <c r="M58" s="41">
        <v>0</v>
      </c>
      <c r="N58" s="41">
        <v>0</v>
      </c>
      <c r="O58" s="41">
        <v>0</v>
      </c>
      <c r="P58" s="41">
        <v>0</v>
      </c>
      <c r="Q58" s="75">
        <v>0</v>
      </c>
      <c r="R58" s="41">
        <v>0</v>
      </c>
      <c r="S58" s="41">
        <v>0</v>
      </c>
      <c r="T58" s="41">
        <v>0</v>
      </c>
      <c r="U58" s="42"/>
      <c r="V58" s="43"/>
      <c r="W58" s="101"/>
      <c r="X58" s="101"/>
      <c r="Y58" s="128"/>
    </row>
    <row r="59" spans="2:25" ht="19.5" thickTop="1" thickBot="1" x14ac:dyDescent="0.3">
      <c r="B59" s="158"/>
      <c r="C59" s="107"/>
      <c r="D59" s="101"/>
      <c r="E59" s="30" t="s">
        <v>3</v>
      </c>
      <c r="F59" s="74"/>
      <c r="G59" s="74"/>
      <c r="H59" s="74"/>
      <c r="I59" s="74"/>
      <c r="J59" s="74"/>
      <c r="K59" s="74">
        <v>60</v>
      </c>
      <c r="L59" s="74"/>
      <c r="M59" s="45">
        <v>0</v>
      </c>
      <c r="N59" s="45">
        <v>0</v>
      </c>
      <c r="O59" s="45">
        <v>0</v>
      </c>
      <c r="P59" s="45">
        <v>0</v>
      </c>
      <c r="Q59" s="74">
        <v>0</v>
      </c>
      <c r="R59" s="45">
        <v>0</v>
      </c>
      <c r="S59" s="45">
        <v>0</v>
      </c>
      <c r="T59" s="45">
        <v>0</v>
      </c>
      <c r="U59" s="46"/>
      <c r="V59" s="47"/>
      <c r="W59" s="101"/>
      <c r="X59" s="101"/>
      <c r="Y59" s="128"/>
    </row>
    <row r="60" spans="2:25" ht="19.5" thickTop="1" thickBot="1" x14ac:dyDescent="0.3">
      <c r="B60" s="158"/>
      <c r="C60" s="107"/>
      <c r="D60" s="101"/>
      <c r="E60" s="31" t="s">
        <v>4</v>
      </c>
      <c r="F60" s="74">
        <f t="shared" ref="F60:T60" si="30">IF(F59&lt;30,F58,F58+F59)</f>
        <v>0</v>
      </c>
      <c r="G60" s="74">
        <f t="shared" si="30"/>
        <v>35</v>
      </c>
      <c r="H60" s="74">
        <f t="shared" si="30"/>
        <v>0</v>
      </c>
      <c r="I60" s="74">
        <f t="shared" si="30"/>
        <v>34</v>
      </c>
      <c r="J60" s="74">
        <f t="shared" si="30"/>
        <v>34</v>
      </c>
      <c r="K60" s="74">
        <f t="shared" si="30"/>
        <v>100</v>
      </c>
      <c r="L60" s="74">
        <f t="shared" si="30"/>
        <v>40</v>
      </c>
      <c r="M60" s="45">
        <f t="shared" si="30"/>
        <v>0</v>
      </c>
      <c r="N60" s="45">
        <f t="shared" si="30"/>
        <v>0</v>
      </c>
      <c r="O60" s="45">
        <f t="shared" si="30"/>
        <v>0</v>
      </c>
      <c r="P60" s="45">
        <f t="shared" si="30"/>
        <v>0</v>
      </c>
      <c r="Q60" s="74">
        <f t="shared" si="30"/>
        <v>0</v>
      </c>
      <c r="R60" s="45">
        <f t="shared" si="30"/>
        <v>0</v>
      </c>
      <c r="S60" s="45">
        <f t="shared" si="30"/>
        <v>0</v>
      </c>
      <c r="T60" s="45">
        <f t="shared" si="30"/>
        <v>0</v>
      </c>
      <c r="U60" s="46"/>
      <c r="V60" s="47"/>
      <c r="W60" s="101"/>
      <c r="X60" s="101"/>
      <c r="Y60" s="128"/>
    </row>
    <row r="61" spans="2:25" ht="37.5" thickTop="1" thickBot="1" x14ac:dyDescent="0.3">
      <c r="B61" s="161"/>
      <c r="C61" s="163"/>
      <c r="D61" s="102"/>
      <c r="E61" s="35" t="s">
        <v>6</v>
      </c>
      <c r="F61" s="77">
        <f t="shared" ref="F61:L61" si="31">SUM(F57*F60)</f>
        <v>0</v>
      </c>
      <c r="G61" s="77">
        <f t="shared" si="31"/>
        <v>140</v>
      </c>
      <c r="H61" s="77">
        <f t="shared" si="31"/>
        <v>0</v>
      </c>
      <c r="I61" s="77">
        <f t="shared" si="31"/>
        <v>136</v>
      </c>
      <c r="J61" s="77">
        <f t="shared" si="31"/>
        <v>68</v>
      </c>
      <c r="K61" s="77">
        <f t="shared" si="31"/>
        <v>300</v>
      </c>
      <c r="L61" s="77">
        <f t="shared" si="31"/>
        <v>120</v>
      </c>
      <c r="M61" s="36">
        <f t="shared" ref="M61:T61" si="32">SUM(M57*M60)</f>
        <v>0</v>
      </c>
      <c r="N61" s="36">
        <f t="shared" si="32"/>
        <v>0</v>
      </c>
      <c r="O61" s="36">
        <f t="shared" si="32"/>
        <v>0</v>
      </c>
      <c r="P61" s="36">
        <f t="shared" si="32"/>
        <v>0</v>
      </c>
      <c r="Q61" s="77">
        <f t="shared" si="32"/>
        <v>0</v>
      </c>
      <c r="R61" s="36">
        <f t="shared" si="32"/>
        <v>0</v>
      </c>
      <c r="S61" s="36">
        <f t="shared" si="32"/>
        <v>0</v>
      </c>
      <c r="T61" s="36">
        <f t="shared" si="32"/>
        <v>0</v>
      </c>
      <c r="U61" s="50">
        <f>SUM(F61:T61)</f>
        <v>764</v>
      </c>
      <c r="V61" s="51">
        <f>SUM(U61/U57)</f>
        <v>47.75</v>
      </c>
      <c r="W61" s="102"/>
      <c r="X61" s="102"/>
      <c r="Y61" s="128"/>
    </row>
    <row r="62" spans="2:25" ht="20.25" thickTop="1" thickBot="1" x14ac:dyDescent="0.35">
      <c r="B62" s="162">
        <v>-12</v>
      </c>
      <c r="C62" s="164" t="s">
        <v>148</v>
      </c>
      <c r="D62" s="101" t="s">
        <v>365</v>
      </c>
      <c r="E62" s="10" t="s">
        <v>5</v>
      </c>
      <c r="F62" s="38">
        <f>IF(IF(F65=0,0,3),3,0)</f>
        <v>0</v>
      </c>
      <c r="G62" s="38">
        <f>IF(IF(G65=0,0,4),4,0)</f>
        <v>4</v>
      </c>
      <c r="H62" s="37">
        <f>IF(IF(H65=0,0,2),2,0)</f>
        <v>0</v>
      </c>
      <c r="I62" s="38">
        <f>IF(IF(I65=0,0,4),4,0)</f>
        <v>4</v>
      </c>
      <c r="J62" s="37">
        <f>IF(IF(J65=0,0,2),2,0)</f>
        <v>2</v>
      </c>
      <c r="K62" s="38">
        <f>IF(IF(K65=0,0,3),3,0)</f>
        <v>3</v>
      </c>
      <c r="L62" s="38">
        <f>IF(IF(L65=0,0,3),3,0)</f>
        <v>3</v>
      </c>
      <c r="M62" s="38">
        <f>IF(IF(M65=0,0,3),3,0)</f>
        <v>0</v>
      </c>
      <c r="N62" s="38">
        <f>IF(IF(N65=0,0,3),3,0)</f>
        <v>0</v>
      </c>
      <c r="O62" s="38">
        <f>IF(IF(O65=0,0,2),2,0)</f>
        <v>0</v>
      </c>
      <c r="P62" s="38">
        <f>IF(IF(P65=0,0,2),2,0)</f>
        <v>0</v>
      </c>
      <c r="Q62" s="38">
        <f>IF(IF(Q65=0,0,3),3,0)</f>
        <v>0</v>
      </c>
      <c r="R62" s="38">
        <f>IF(IF(R65=0,0,3),3,0)</f>
        <v>0</v>
      </c>
      <c r="S62" s="38">
        <f>IF(IF(N65=0,0,3),3,0)</f>
        <v>0</v>
      </c>
      <c r="T62" s="37">
        <f>IF(IF(N65=0,0,3),3,0)</f>
        <v>0</v>
      </c>
      <c r="U62" s="38">
        <f>SUM(F62:T62)</f>
        <v>16</v>
      </c>
      <c r="V62" s="39"/>
      <c r="W62" s="101"/>
      <c r="X62" s="101"/>
      <c r="Y62" s="128"/>
    </row>
    <row r="63" spans="2:25" ht="19.5" thickTop="1" thickBot="1" x14ac:dyDescent="0.3">
      <c r="B63" s="158"/>
      <c r="C63" s="107"/>
      <c r="D63" s="101"/>
      <c r="E63" s="33" t="s">
        <v>216</v>
      </c>
      <c r="F63" s="75"/>
      <c r="G63" s="75">
        <v>25</v>
      </c>
      <c r="H63" s="75"/>
      <c r="I63" s="79">
        <v>33</v>
      </c>
      <c r="J63" s="75">
        <v>28</v>
      </c>
      <c r="K63" s="79">
        <v>39</v>
      </c>
      <c r="L63" s="79">
        <v>40</v>
      </c>
      <c r="M63" s="41">
        <v>0</v>
      </c>
      <c r="N63" s="41">
        <v>0</v>
      </c>
      <c r="O63" s="41">
        <v>0</v>
      </c>
      <c r="P63" s="41">
        <v>0</v>
      </c>
      <c r="Q63" s="75">
        <v>0</v>
      </c>
      <c r="R63" s="41">
        <v>0</v>
      </c>
      <c r="S63" s="41">
        <v>0</v>
      </c>
      <c r="T63" s="41">
        <v>0</v>
      </c>
      <c r="U63" s="42"/>
      <c r="V63" s="43"/>
      <c r="W63" s="101"/>
      <c r="X63" s="101"/>
      <c r="Y63" s="128"/>
    </row>
    <row r="64" spans="2:25" ht="19.5" thickTop="1" thickBot="1" x14ac:dyDescent="0.3">
      <c r="B64" s="158"/>
      <c r="C64" s="107"/>
      <c r="D64" s="101"/>
      <c r="E64" s="30" t="s">
        <v>3</v>
      </c>
      <c r="F64" s="74"/>
      <c r="G64" s="74"/>
      <c r="H64" s="74"/>
      <c r="I64" s="74"/>
      <c r="J64" s="74"/>
      <c r="K64" s="74">
        <v>55</v>
      </c>
      <c r="L64" s="74"/>
      <c r="M64" s="45">
        <v>0</v>
      </c>
      <c r="N64" s="45">
        <v>0</v>
      </c>
      <c r="O64" s="45">
        <v>0</v>
      </c>
      <c r="P64" s="45">
        <v>0</v>
      </c>
      <c r="Q64" s="74">
        <v>0</v>
      </c>
      <c r="R64" s="45">
        <v>0</v>
      </c>
      <c r="S64" s="45">
        <v>0</v>
      </c>
      <c r="T64" s="45">
        <v>0</v>
      </c>
      <c r="U64" s="46"/>
      <c r="V64" s="47"/>
      <c r="W64" s="101"/>
      <c r="X64" s="101"/>
      <c r="Y64" s="128"/>
    </row>
    <row r="65" spans="2:25" ht="19.5" thickTop="1" thickBot="1" x14ac:dyDescent="0.3">
      <c r="B65" s="158"/>
      <c r="C65" s="107"/>
      <c r="D65" s="101"/>
      <c r="E65" s="31" t="s">
        <v>4</v>
      </c>
      <c r="F65" s="74">
        <f t="shared" ref="F65:T65" si="33">IF(F64&lt;30,F63,F63+F64)</f>
        <v>0</v>
      </c>
      <c r="G65" s="74">
        <f t="shared" si="33"/>
        <v>25</v>
      </c>
      <c r="H65" s="74">
        <f t="shared" si="33"/>
        <v>0</v>
      </c>
      <c r="I65" s="74">
        <f t="shared" si="33"/>
        <v>33</v>
      </c>
      <c r="J65" s="74">
        <f t="shared" si="33"/>
        <v>28</v>
      </c>
      <c r="K65" s="74">
        <f t="shared" si="33"/>
        <v>94</v>
      </c>
      <c r="L65" s="74">
        <f t="shared" si="33"/>
        <v>40</v>
      </c>
      <c r="M65" s="45">
        <f t="shared" si="33"/>
        <v>0</v>
      </c>
      <c r="N65" s="45">
        <f t="shared" si="33"/>
        <v>0</v>
      </c>
      <c r="O65" s="45">
        <f t="shared" si="33"/>
        <v>0</v>
      </c>
      <c r="P65" s="45">
        <f t="shared" si="33"/>
        <v>0</v>
      </c>
      <c r="Q65" s="74">
        <f t="shared" si="33"/>
        <v>0</v>
      </c>
      <c r="R65" s="45">
        <f t="shared" si="33"/>
        <v>0</v>
      </c>
      <c r="S65" s="45">
        <f t="shared" si="33"/>
        <v>0</v>
      </c>
      <c r="T65" s="45">
        <f t="shared" si="33"/>
        <v>0</v>
      </c>
      <c r="U65" s="46"/>
      <c r="V65" s="47"/>
      <c r="W65" s="101"/>
      <c r="X65" s="101"/>
      <c r="Y65" s="128"/>
    </row>
    <row r="66" spans="2:25" ht="37.5" thickTop="1" thickBot="1" x14ac:dyDescent="0.3">
      <c r="B66" s="159"/>
      <c r="C66" s="108"/>
      <c r="D66" s="102"/>
      <c r="E66" s="32" t="s">
        <v>6</v>
      </c>
      <c r="F66" s="77">
        <f t="shared" ref="F66:L66" si="34">SUM(F62*F65)</f>
        <v>0</v>
      </c>
      <c r="G66" s="77">
        <f t="shared" si="34"/>
        <v>100</v>
      </c>
      <c r="H66" s="77">
        <f t="shared" si="34"/>
        <v>0</v>
      </c>
      <c r="I66" s="77">
        <f t="shared" si="34"/>
        <v>132</v>
      </c>
      <c r="J66" s="77">
        <f t="shared" si="34"/>
        <v>56</v>
      </c>
      <c r="K66" s="77">
        <f t="shared" si="34"/>
        <v>282</v>
      </c>
      <c r="L66" s="77">
        <f t="shared" si="34"/>
        <v>120</v>
      </c>
      <c r="M66" s="36">
        <f t="shared" ref="M66:T66" si="35">SUM(M62*M65)</f>
        <v>0</v>
      </c>
      <c r="N66" s="36">
        <f t="shared" si="35"/>
        <v>0</v>
      </c>
      <c r="O66" s="36">
        <f t="shared" si="35"/>
        <v>0</v>
      </c>
      <c r="P66" s="36">
        <f t="shared" si="35"/>
        <v>0</v>
      </c>
      <c r="Q66" s="77">
        <f t="shared" si="35"/>
        <v>0</v>
      </c>
      <c r="R66" s="36">
        <f t="shared" si="35"/>
        <v>0</v>
      </c>
      <c r="S66" s="36">
        <f t="shared" si="35"/>
        <v>0</v>
      </c>
      <c r="T66" s="36">
        <f t="shared" si="35"/>
        <v>0</v>
      </c>
      <c r="U66" s="50">
        <f>SUM(F66:T66)</f>
        <v>690</v>
      </c>
      <c r="V66" s="51">
        <f>SUM(U66/U62)</f>
        <v>43.125</v>
      </c>
      <c r="W66" s="102"/>
      <c r="X66" s="102"/>
      <c r="Y66" s="128"/>
    </row>
    <row r="67" spans="2:25" ht="20.25" thickTop="1" thickBot="1" x14ac:dyDescent="0.35">
      <c r="B67" s="160">
        <v>-13</v>
      </c>
      <c r="C67" s="106" t="s">
        <v>149</v>
      </c>
      <c r="D67" s="112" t="s">
        <v>366</v>
      </c>
      <c r="E67" s="10" t="s">
        <v>5</v>
      </c>
      <c r="F67" s="38">
        <f>IF(IF(F70=0,0,3),3,0)</f>
        <v>0</v>
      </c>
      <c r="G67" s="38">
        <f>IF(IF(G70=0,0,4),4,0)</f>
        <v>4</v>
      </c>
      <c r="H67" s="37">
        <f>IF(IF(H70=0,0,2),2,0)</f>
        <v>0</v>
      </c>
      <c r="I67" s="38">
        <f>IF(IF(I70=0,0,4),4,0)</f>
        <v>4</v>
      </c>
      <c r="J67" s="37">
        <f>IF(IF(J70=0,0,2),2,0)</f>
        <v>2</v>
      </c>
      <c r="K67" s="38">
        <f>IF(IF(K70=0,0,3),3,0)</f>
        <v>3</v>
      </c>
      <c r="L67" s="38">
        <f>IF(IF(L70=0,0,3),3,0)</f>
        <v>3</v>
      </c>
      <c r="M67" s="38">
        <f>IF(IF(M70=0,0,3),3,0)</f>
        <v>0</v>
      </c>
      <c r="N67" s="38">
        <f>IF(IF(N70=0,0,3),3,0)</f>
        <v>0</v>
      </c>
      <c r="O67" s="38">
        <f>IF(IF(O70=0,0,2),2,0)</f>
        <v>0</v>
      </c>
      <c r="P67" s="38">
        <f>IF(IF(P70=0,0,2),2,0)</f>
        <v>0</v>
      </c>
      <c r="Q67" s="38">
        <f>IF(IF(Q70=0,0,3),3,0)</f>
        <v>0</v>
      </c>
      <c r="R67" s="38">
        <f>IF(IF(R70=0,0,3),3,0)</f>
        <v>0</v>
      </c>
      <c r="S67" s="38">
        <f>IF(IF(N70=0,0,3),3,0)</f>
        <v>0</v>
      </c>
      <c r="T67" s="37">
        <f>IF(IF(N70=0,0,3),3,0)</f>
        <v>0</v>
      </c>
      <c r="U67" s="38">
        <f>SUM(F67:T67)</f>
        <v>16</v>
      </c>
      <c r="V67" s="39"/>
      <c r="W67" s="101"/>
      <c r="X67" s="101"/>
      <c r="Y67" s="128"/>
    </row>
    <row r="68" spans="2:25" ht="19.5" thickTop="1" thickBot="1" x14ac:dyDescent="0.3">
      <c r="B68" s="158"/>
      <c r="C68" s="107"/>
      <c r="D68" s="101"/>
      <c r="E68" s="33" t="s">
        <v>216</v>
      </c>
      <c r="F68" s="75"/>
      <c r="G68" s="75">
        <v>31</v>
      </c>
      <c r="H68" s="75"/>
      <c r="I68" s="79">
        <v>33</v>
      </c>
      <c r="J68" s="75">
        <v>30</v>
      </c>
      <c r="K68" s="79">
        <v>38</v>
      </c>
      <c r="L68" s="79">
        <v>37</v>
      </c>
      <c r="M68" s="41">
        <v>0</v>
      </c>
      <c r="N68" s="41">
        <v>0</v>
      </c>
      <c r="O68" s="41">
        <v>0</v>
      </c>
      <c r="P68" s="41">
        <v>0</v>
      </c>
      <c r="Q68" s="75">
        <v>0</v>
      </c>
      <c r="R68" s="41">
        <v>0</v>
      </c>
      <c r="S68" s="41">
        <v>0</v>
      </c>
      <c r="T68" s="73">
        <v>30</v>
      </c>
      <c r="U68" s="42"/>
      <c r="V68" s="43"/>
      <c r="W68" s="101"/>
      <c r="X68" s="101"/>
      <c r="Y68" s="128"/>
    </row>
    <row r="69" spans="2:25" ht="19.5" thickTop="1" thickBot="1" x14ac:dyDescent="0.3">
      <c r="B69" s="158"/>
      <c r="C69" s="107"/>
      <c r="D69" s="101"/>
      <c r="E69" s="30" t="s">
        <v>3</v>
      </c>
      <c r="F69" s="74"/>
      <c r="G69" s="74"/>
      <c r="H69" s="74"/>
      <c r="I69" s="74"/>
      <c r="J69" s="74"/>
      <c r="K69" s="74">
        <v>30</v>
      </c>
      <c r="L69" s="74"/>
      <c r="M69" s="45">
        <v>0</v>
      </c>
      <c r="N69" s="45">
        <v>0</v>
      </c>
      <c r="O69" s="45">
        <v>0</v>
      </c>
      <c r="P69" s="45">
        <v>0</v>
      </c>
      <c r="Q69" s="74">
        <v>0</v>
      </c>
      <c r="R69" s="45">
        <v>0</v>
      </c>
      <c r="S69" s="45">
        <v>0</v>
      </c>
      <c r="T69" s="71">
        <v>0</v>
      </c>
      <c r="U69" s="46"/>
      <c r="V69" s="47"/>
      <c r="W69" s="101"/>
      <c r="X69" s="101"/>
      <c r="Y69" s="128"/>
    </row>
    <row r="70" spans="2:25" ht="19.5" thickTop="1" thickBot="1" x14ac:dyDescent="0.3">
      <c r="B70" s="158"/>
      <c r="C70" s="107"/>
      <c r="D70" s="101"/>
      <c r="E70" s="31" t="s">
        <v>4</v>
      </c>
      <c r="F70" s="74">
        <f t="shared" ref="F70:T70" si="36">IF(F69&lt;30,F68,F68+F69)</f>
        <v>0</v>
      </c>
      <c r="G70" s="74">
        <f t="shared" si="36"/>
        <v>31</v>
      </c>
      <c r="H70" s="74">
        <f t="shared" si="36"/>
        <v>0</v>
      </c>
      <c r="I70" s="74">
        <f t="shared" si="36"/>
        <v>33</v>
      </c>
      <c r="J70" s="74">
        <f t="shared" si="36"/>
        <v>30</v>
      </c>
      <c r="K70" s="74">
        <f t="shared" si="36"/>
        <v>68</v>
      </c>
      <c r="L70" s="74">
        <f t="shared" si="36"/>
        <v>37</v>
      </c>
      <c r="M70" s="45">
        <f t="shared" si="36"/>
        <v>0</v>
      </c>
      <c r="N70" s="45">
        <f t="shared" si="36"/>
        <v>0</v>
      </c>
      <c r="O70" s="45">
        <f t="shared" si="36"/>
        <v>0</v>
      </c>
      <c r="P70" s="45">
        <f t="shared" si="36"/>
        <v>0</v>
      </c>
      <c r="Q70" s="74">
        <f t="shared" si="36"/>
        <v>0</v>
      </c>
      <c r="R70" s="45">
        <f t="shared" si="36"/>
        <v>0</v>
      </c>
      <c r="S70" s="45">
        <f t="shared" si="36"/>
        <v>0</v>
      </c>
      <c r="T70" s="71">
        <f t="shared" si="36"/>
        <v>30</v>
      </c>
      <c r="U70" s="46"/>
      <c r="V70" s="47"/>
      <c r="W70" s="101"/>
      <c r="X70" s="101"/>
      <c r="Y70" s="128"/>
    </row>
    <row r="71" spans="2:25" ht="37.5" thickTop="1" thickBot="1" x14ac:dyDescent="0.3">
      <c r="B71" s="159"/>
      <c r="C71" s="165"/>
      <c r="D71" s="102"/>
      <c r="E71" s="32" t="s">
        <v>6</v>
      </c>
      <c r="F71" s="77">
        <f t="shared" ref="F71:L71" si="37">SUM(F67*F70)</f>
        <v>0</v>
      </c>
      <c r="G71" s="77">
        <f t="shared" si="37"/>
        <v>124</v>
      </c>
      <c r="H71" s="77">
        <f t="shared" si="37"/>
        <v>0</v>
      </c>
      <c r="I71" s="77">
        <f t="shared" si="37"/>
        <v>132</v>
      </c>
      <c r="J71" s="77">
        <f t="shared" si="37"/>
        <v>60</v>
      </c>
      <c r="K71" s="77">
        <f t="shared" si="37"/>
        <v>204</v>
      </c>
      <c r="L71" s="77">
        <f t="shared" si="37"/>
        <v>111</v>
      </c>
      <c r="M71" s="36">
        <f t="shared" ref="M71:T71" si="38">SUM(M67*M70)</f>
        <v>0</v>
      </c>
      <c r="N71" s="36">
        <f t="shared" si="38"/>
        <v>0</v>
      </c>
      <c r="O71" s="36">
        <f t="shared" si="38"/>
        <v>0</v>
      </c>
      <c r="P71" s="36">
        <f t="shared" si="38"/>
        <v>0</v>
      </c>
      <c r="Q71" s="77">
        <f t="shared" si="38"/>
        <v>0</v>
      </c>
      <c r="R71" s="36">
        <f t="shared" si="38"/>
        <v>0</v>
      </c>
      <c r="S71" s="36">
        <f t="shared" si="38"/>
        <v>0</v>
      </c>
      <c r="T71" s="72">
        <f t="shared" si="38"/>
        <v>0</v>
      </c>
      <c r="U71" s="50">
        <f>SUM(F71:T71)</f>
        <v>631</v>
      </c>
      <c r="V71" s="51">
        <f>SUM(U71/U67)</f>
        <v>39.4375</v>
      </c>
      <c r="W71" s="102"/>
      <c r="X71" s="102"/>
      <c r="Y71" s="128"/>
    </row>
    <row r="72" spans="2:25" ht="20.25" thickTop="1" thickBot="1" x14ac:dyDescent="0.35">
      <c r="B72" s="160">
        <v>-14</v>
      </c>
      <c r="C72" s="138" t="s">
        <v>151</v>
      </c>
      <c r="D72" s="113" t="s">
        <v>350</v>
      </c>
      <c r="E72" s="10" t="s">
        <v>5</v>
      </c>
      <c r="F72" s="38">
        <f>IF(IF(F75=0,0,3),3,0)</f>
        <v>0</v>
      </c>
      <c r="G72" s="38">
        <f>IF(IF(G75=0,0,4),4,0)</f>
        <v>4</v>
      </c>
      <c r="H72" s="37">
        <f>IF(IF(H75=0,0,2),2,0)</f>
        <v>0</v>
      </c>
      <c r="I72" s="38">
        <f>IF(IF(I75=0,0,4),4,0)</f>
        <v>4</v>
      </c>
      <c r="J72" s="37">
        <f>IF(IF(J75=0,0,2),2,0)</f>
        <v>2</v>
      </c>
      <c r="K72" s="38">
        <f>IF(IF(K75=0,0,3),3,0)</f>
        <v>3</v>
      </c>
      <c r="L72" s="38">
        <f>IF(IF(L75=0,0,3),3,0)</f>
        <v>3</v>
      </c>
      <c r="M72" s="38">
        <f>IF(IF(M75=0,0,3),3,0)</f>
        <v>0</v>
      </c>
      <c r="N72" s="38">
        <f>IF(IF(N75=0,0,3),3,0)</f>
        <v>0</v>
      </c>
      <c r="O72" s="38">
        <f>IF(IF(O75=0,0,2),2,0)</f>
        <v>0</v>
      </c>
      <c r="P72" s="38">
        <f>IF(IF(P75=0,0,2),2,0)</f>
        <v>0</v>
      </c>
      <c r="Q72" s="38">
        <f>IF(IF(Q75=0,0,3),3,0)</f>
        <v>3</v>
      </c>
      <c r="R72" s="38">
        <f>IF(IF(R75=0,0,3),3,0)</f>
        <v>0</v>
      </c>
      <c r="S72" s="38">
        <f>IF(IF(N75=0,0,3),3,0)</f>
        <v>0</v>
      </c>
      <c r="T72" s="37">
        <f>IF(IF(N75=0,0,3),3,0)</f>
        <v>0</v>
      </c>
      <c r="U72" s="38">
        <f>SUM(F72:T72)</f>
        <v>19</v>
      </c>
      <c r="V72" s="39"/>
      <c r="W72" s="101"/>
      <c r="X72" s="101"/>
      <c r="Y72" s="128"/>
    </row>
    <row r="73" spans="2:25" ht="19.5" thickTop="1" thickBot="1" x14ac:dyDescent="0.3">
      <c r="B73" s="158"/>
      <c r="C73" s="107"/>
      <c r="D73" s="101"/>
      <c r="E73" s="33" t="s">
        <v>216</v>
      </c>
      <c r="F73" s="75"/>
      <c r="G73" s="75">
        <v>23</v>
      </c>
      <c r="H73" s="75"/>
      <c r="I73" s="79">
        <v>32</v>
      </c>
      <c r="J73" s="75">
        <v>32</v>
      </c>
      <c r="K73" s="79">
        <v>35</v>
      </c>
      <c r="L73" s="79">
        <v>36</v>
      </c>
      <c r="M73" s="41">
        <v>0</v>
      </c>
      <c r="N73" s="41">
        <v>0</v>
      </c>
      <c r="O73" s="41">
        <v>0</v>
      </c>
      <c r="P73" s="41">
        <v>0</v>
      </c>
      <c r="Q73" s="73">
        <v>34</v>
      </c>
      <c r="R73" s="41">
        <v>0</v>
      </c>
      <c r="S73" s="41">
        <v>0</v>
      </c>
      <c r="T73" s="41">
        <v>0</v>
      </c>
      <c r="U73" s="42"/>
      <c r="V73" s="43"/>
      <c r="W73" s="101"/>
      <c r="X73" s="101"/>
      <c r="Y73" s="128"/>
    </row>
    <row r="74" spans="2:25" ht="19.5" thickTop="1" thickBot="1" x14ac:dyDescent="0.3">
      <c r="B74" s="158"/>
      <c r="C74" s="107"/>
      <c r="D74" s="101"/>
      <c r="E74" s="30" t="s">
        <v>3</v>
      </c>
      <c r="F74" s="74"/>
      <c r="G74" s="74"/>
      <c r="H74" s="74"/>
      <c r="I74" s="74"/>
      <c r="J74" s="74"/>
      <c r="K74" s="74">
        <v>45</v>
      </c>
      <c r="L74" s="74"/>
      <c r="M74" s="45">
        <v>0</v>
      </c>
      <c r="N74" s="45">
        <v>0</v>
      </c>
      <c r="O74" s="45">
        <v>0</v>
      </c>
      <c r="P74" s="45">
        <v>0</v>
      </c>
      <c r="Q74" s="71">
        <v>0</v>
      </c>
      <c r="R74" s="45">
        <v>0</v>
      </c>
      <c r="S74" s="45">
        <v>0</v>
      </c>
      <c r="T74" s="45">
        <v>0</v>
      </c>
      <c r="U74" s="46"/>
      <c r="V74" s="47"/>
      <c r="W74" s="101"/>
      <c r="X74" s="101"/>
      <c r="Y74" s="128"/>
    </row>
    <row r="75" spans="2:25" ht="19.5" thickTop="1" thickBot="1" x14ac:dyDescent="0.3">
      <c r="B75" s="158"/>
      <c r="C75" s="107"/>
      <c r="D75" s="101"/>
      <c r="E75" s="31" t="s">
        <v>4</v>
      </c>
      <c r="F75" s="74">
        <f t="shared" ref="F75:T75" si="39">IF(F74&lt;30,F73,F73+F74)</f>
        <v>0</v>
      </c>
      <c r="G75" s="74">
        <f t="shared" si="39"/>
        <v>23</v>
      </c>
      <c r="H75" s="74">
        <f t="shared" si="39"/>
        <v>0</v>
      </c>
      <c r="I75" s="74">
        <f t="shared" si="39"/>
        <v>32</v>
      </c>
      <c r="J75" s="74">
        <f t="shared" si="39"/>
        <v>32</v>
      </c>
      <c r="K75" s="74">
        <f t="shared" si="39"/>
        <v>80</v>
      </c>
      <c r="L75" s="74">
        <f t="shared" si="39"/>
        <v>36</v>
      </c>
      <c r="M75" s="45">
        <f t="shared" si="39"/>
        <v>0</v>
      </c>
      <c r="N75" s="45">
        <f t="shared" si="39"/>
        <v>0</v>
      </c>
      <c r="O75" s="45">
        <f t="shared" si="39"/>
        <v>0</v>
      </c>
      <c r="P75" s="45">
        <f t="shared" si="39"/>
        <v>0</v>
      </c>
      <c r="Q75" s="71">
        <f t="shared" si="39"/>
        <v>34</v>
      </c>
      <c r="R75" s="45">
        <f t="shared" si="39"/>
        <v>0</v>
      </c>
      <c r="S75" s="45">
        <f t="shared" si="39"/>
        <v>0</v>
      </c>
      <c r="T75" s="45">
        <f t="shared" si="39"/>
        <v>0</v>
      </c>
      <c r="U75" s="46"/>
      <c r="V75" s="47"/>
      <c r="W75" s="101"/>
      <c r="X75" s="101"/>
      <c r="Y75" s="128"/>
    </row>
    <row r="76" spans="2:25" ht="37.5" thickTop="1" thickBot="1" x14ac:dyDescent="0.3">
      <c r="B76" s="166"/>
      <c r="C76" s="108"/>
      <c r="D76" s="102"/>
      <c r="E76" s="32" t="s">
        <v>6</v>
      </c>
      <c r="F76" s="76">
        <f t="shared" ref="F76:L76" si="40">SUM(F72*F75)</f>
        <v>0</v>
      </c>
      <c r="G76" s="76">
        <f t="shared" si="40"/>
        <v>92</v>
      </c>
      <c r="H76" s="76">
        <f t="shared" si="40"/>
        <v>0</v>
      </c>
      <c r="I76" s="76">
        <f t="shared" si="40"/>
        <v>128</v>
      </c>
      <c r="J76" s="76">
        <f t="shared" si="40"/>
        <v>64</v>
      </c>
      <c r="K76" s="76">
        <f t="shared" si="40"/>
        <v>240</v>
      </c>
      <c r="L76" s="76">
        <f t="shared" si="40"/>
        <v>108</v>
      </c>
      <c r="M76" s="53">
        <f t="shared" ref="M76:T76" si="41">SUM(M72*M75)</f>
        <v>0</v>
      </c>
      <c r="N76" s="53">
        <f t="shared" si="41"/>
        <v>0</v>
      </c>
      <c r="O76" s="53">
        <f t="shared" si="41"/>
        <v>0</v>
      </c>
      <c r="P76" s="53">
        <f t="shared" si="41"/>
        <v>0</v>
      </c>
      <c r="Q76" s="76">
        <f t="shared" si="41"/>
        <v>102</v>
      </c>
      <c r="R76" s="53">
        <f t="shared" si="41"/>
        <v>0</v>
      </c>
      <c r="S76" s="53">
        <f t="shared" si="41"/>
        <v>0</v>
      </c>
      <c r="T76" s="53">
        <f t="shared" si="41"/>
        <v>0</v>
      </c>
      <c r="U76" s="54">
        <f>SUM(F76:T76)</f>
        <v>734</v>
      </c>
      <c r="V76" s="53">
        <f>SUM(U76/U72)</f>
        <v>38.631578947368418</v>
      </c>
      <c r="W76" s="102"/>
      <c r="X76" s="102"/>
      <c r="Y76" s="129"/>
    </row>
    <row r="77" spans="2:25" ht="20.25" thickTop="1" thickBot="1" x14ac:dyDescent="0.35">
      <c r="B77" s="157">
        <v>-15</v>
      </c>
      <c r="C77" s="106" t="s">
        <v>150</v>
      </c>
      <c r="D77" s="112" t="s">
        <v>367</v>
      </c>
      <c r="E77" s="9" t="s">
        <v>5</v>
      </c>
      <c r="F77" s="65">
        <f>IF(IF(F80=0,0,3),3,0)</f>
        <v>0</v>
      </c>
      <c r="G77" s="65">
        <f>IF(IF(G80=0,0,4),4,0)</f>
        <v>0</v>
      </c>
      <c r="H77" s="64">
        <f>IF(IF(H80=0,0,2),2,0)</f>
        <v>0</v>
      </c>
      <c r="I77" s="38">
        <f>IF(IF(I80=0,0,4),4,0)</f>
        <v>4</v>
      </c>
      <c r="J77" s="64">
        <f>IF(IF(J80=0,0,2),2,0)</f>
        <v>0</v>
      </c>
      <c r="K77" s="38">
        <f>IF(IF(K80=0,0,3),3,0)</f>
        <v>3</v>
      </c>
      <c r="L77" s="38">
        <f>IF(IF(L80=0,0,3),3,0)</f>
        <v>0</v>
      </c>
      <c r="M77" s="65">
        <f>IF(IF(M80=0,0,3),3,0)</f>
        <v>0</v>
      </c>
      <c r="N77" s="65">
        <f>IF(IF(N80=0,0,3),3,0)</f>
        <v>0</v>
      </c>
      <c r="O77" s="65">
        <f>IF(IF(O80=0,0,2),2,0)</f>
        <v>0</v>
      </c>
      <c r="P77" s="65">
        <f>IF(IF(P80=0,0,2),2,0)</f>
        <v>0</v>
      </c>
      <c r="Q77" s="65">
        <f>IF(IF(Q80=0,0,3),3,0)</f>
        <v>0</v>
      </c>
      <c r="R77" s="65">
        <f>IF(IF(R80=0,0,3),3,0)</f>
        <v>0</v>
      </c>
      <c r="S77" s="65">
        <f>IF(IF(N80=0,0,3),3,0)</f>
        <v>0</v>
      </c>
      <c r="T77" s="64">
        <f>IF(IF(N80=0,0,3),3,0)</f>
        <v>0</v>
      </c>
      <c r="U77" s="38">
        <f>SUM(F77:T77)</f>
        <v>7</v>
      </c>
      <c r="V77" s="39"/>
      <c r="W77" s="101"/>
      <c r="X77" s="101"/>
      <c r="Y77" s="141"/>
    </row>
    <row r="78" spans="2:25" ht="19.5" thickTop="1" thickBot="1" x14ac:dyDescent="0.3">
      <c r="B78" s="158"/>
      <c r="C78" s="107"/>
      <c r="D78" s="101"/>
      <c r="E78" s="29" t="s">
        <v>216</v>
      </c>
      <c r="F78" s="75"/>
      <c r="G78" s="96"/>
      <c r="H78" s="75"/>
      <c r="I78" s="79">
        <v>10</v>
      </c>
      <c r="J78" s="96">
        <v>0</v>
      </c>
      <c r="K78" s="79">
        <v>37</v>
      </c>
      <c r="L78" s="90"/>
      <c r="M78" s="41">
        <v>0</v>
      </c>
      <c r="N78" s="41">
        <v>0</v>
      </c>
      <c r="O78" s="41">
        <v>0</v>
      </c>
      <c r="P78" s="41">
        <v>0</v>
      </c>
      <c r="Q78" s="75">
        <v>0</v>
      </c>
      <c r="R78" s="41">
        <v>0</v>
      </c>
      <c r="S78" s="41">
        <v>0</v>
      </c>
      <c r="T78" s="41">
        <v>0</v>
      </c>
      <c r="U78" s="42"/>
      <c r="V78" s="43"/>
      <c r="W78" s="101"/>
      <c r="X78" s="101"/>
      <c r="Y78" s="128"/>
    </row>
    <row r="79" spans="2:25" ht="19.5" thickTop="1" thickBot="1" x14ac:dyDescent="0.3">
      <c r="B79" s="158"/>
      <c r="C79" s="107"/>
      <c r="D79" s="101"/>
      <c r="E79" s="30" t="s">
        <v>3</v>
      </c>
      <c r="F79" s="74"/>
      <c r="G79" s="74"/>
      <c r="H79" s="74"/>
      <c r="I79" s="74"/>
      <c r="J79" s="74">
        <v>0</v>
      </c>
      <c r="K79" s="74"/>
      <c r="L79" s="74"/>
      <c r="M79" s="45">
        <v>0</v>
      </c>
      <c r="N79" s="45">
        <v>0</v>
      </c>
      <c r="O79" s="45">
        <v>0</v>
      </c>
      <c r="P79" s="45">
        <v>0</v>
      </c>
      <c r="Q79" s="74">
        <v>0</v>
      </c>
      <c r="R79" s="45">
        <v>0</v>
      </c>
      <c r="S79" s="45">
        <v>0</v>
      </c>
      <c r="T79" s="45">
        <v>0</v>
      </c>
      <c r="U79" s="46"/>
      <c r="V79" s="47"/>
      <c r="W79" s="101"/>
      <c r="X79" s="101"/>
      <c r="Y79" s="128"/>
    </row>
    <row r="80" spans="2:25" ht="19.5" thickTop="1" thickBot="1" x14ac:dyDescent="0.3">
      <c r="B80" s="158"/>
      <c r="C80" s="107"/>
      <c r="D80" s="101"/>
      <c r="E80" s="31" t="s">
        <v>4</v>
      </c>
      <c r="F80" s="74">
        <f t="shared" ref="F80:T80" si="42">IF(F79&lt;30,F78,F78+F79)</f>
        <v>0</v>
      </c>
      <c r="G80" s="74">
        <f t="shared" si="42"/>
        <v>0</v>
      </c>
      <c r="H80" s="74">
        <f t="shared" si="42"/>
        <v>0</v>
      </c>
      <c r="I80" s="74">
        <f t="shared" si="42"/>
        <v>10</v>
      </c>
      <c r="J80" s="74">
        <f t="shared" si="42"/>
        <v>0</v>
      </c>
      <c r="K80" s="74">
        <f t="shared" si="42"/>
        <v>37</v>
      </c>
      <c r="L80" s="74">
        <f t="shared" si="42"/>
        <v>0</v>
      </c>
      <c r="M80" s="45">
        <f t="shared" si="42"/>
        <v>0</v>
      </c>
      <c r="N80" s="45">
        <f t="shared" si="42"/>
        <v>0</v>
      </c>
      <c r="O80" s="45">
        <f t="shared" si="42"/>
        <v>0</v>
      </c>
      <c r="P80" s="45">
        <f t="shared" si="42"/>
        <v>0</v>
      </c>
      <c r="Q80" s="74">
        <f t="shared" si="42"/>
        <v>0</v>
      </c>
      <c r="R80" s="45">
        <f t="shared" si="42"/>
        <v>0</v>
      </c>
      <c r="S80" s="45">
        <f t="shared" si="42"/>
        <v>0</v>
      </c>
      <c r="T80" s="45">
        <f t="shared" si="42"/>
        <v>0</v>
      </c>
      <c r="U80" s="46"/>
      <c r="V80" s="47"/>
      <c r="W80" s="101"/>
      <c r="X80" s="101"/>
      <c r="Y80" s="128"/>
    </row>
    <row r="81" spans="2:25" ht="37.5" thickTop="1" thickBot="1" x14ac:dyDescent="0.3">
      <c r="B81" s="159"/>
      <c r="C81" s="108"/>
      <c r="D81" s="102"/>
      <c r="E81" s="32" t="s">
        <v>6</v>
      </c>
      <c r="F81" s="77">
        <f t="shared" ref="F81:L81" si="43">SUM(F77*F80)</f>
        <v>0</v>
      </c>
      <c r="G81" s="77">
        <f t="shared" si="43"/>
        <v>0</v>
      </c>
      <c r="H81" s="77">
        <f t="shared" si="43"/>
        <v>0</v>
      </c>
      <c r="I81" s="77">
        <f t="shared" si="43"/>
        <v>40</v>
      </c>
      <c r="J81" s="77">
        <f t="shared" si="43"/>
        <v>0</v>
      </c>
      <c r="K81" s="77">
        <f t="shared" si="43"/>
        <v>111</v>
      </c>
      <c r="L81" s="77">
        <f t="shared" si="43"/>
        <v>0</v>
      </c>
      <c r="M81" s="36">
        <f t="shared" ref="M81:T81" si="44">SUM(M77*M80)</f>
        <v>0</v>
      </c>
      <c r="N81" s="36">
        <f t="shared" si="44"/>
        <v>0</v>
      </c>
      <c r="O81" s="36">
        <f t="shared" si="44"/>
        <v>0</v>
      </c>
      <c r="P81" s="36">
        <f t="shared" si="44"/>
        <v>0</v>
      </c>
      <c r="Q81" s="77">
        <f t="shared" si="44"/>
        <v>0</v>
      </c>
      <c r="R81" s="36">
        <f t="shared" si="44"/>
        <v>0</v>
      </c>
      <c r="S81" s="36">
        <f t="shared" si="44"/>
        <v>0</v>
      </c>
      <c r="T81" s="36">
        <f t="shared" si="44"/>
        <v>0</v>
      </c>
      <c r="U81" s="50">
        <f>SUM(F81:T81)</f>
        <v>151</v>
      </c>
      <c r="V81" s="51">
        <f>SUM(U81/U77)</f>
        <v>21.571428571428573</v>
      </c>
      <c r="W81" s="102"/>
      <c r="X81" s="102"/>
      <c r="Y81" s="128"/>
    </row>
    <row r="82" spans="2:25" ht="20.25" thickTop="1" thickBot="1" x14ac:dyDescent="0.25">
      <c r="B82" s="160">
        <v>-16</v>
      </c>
      <c r="C82" s="106" t="s">
        <v>152</v>
      </c>
      <c r="D82" s="112" t="s">
        <v>368</v>
      </c>
      <c r="E82" s="37" t="s">
        <v>5</v>
      </c>
      <c r="F82" s="38">
        <f>IF(IF(F85=0,0,3),3,0)</f>
        <v>0</v>
      </c>
      <c r="G82" s="38">
        <f>IF(IF(G85=0,0,4),4,0)</f>
        <v>4</v>
      </c>
      <c r="H82" s="37">
        <f>IF(IF(H85=0,0,2),2,0)</f>
        <v>0</v>
      </c>
      <c r="I82" s="38">
        <f>IF(IF(I85=0,0,4),4,0)</f>
        <v>4</v>
      </c>
      <c r="J82" s="37">
        <f>IF(IF(J85=0,0,2),2,0)</f>
        <v>2</v>
      </c>
      <c r="K82" s="38">
        <f>IF(IF(K85=0,0,3),3,0)</f>
        <v>3</v>
      </c>
      <c r="L82" s="38">
        <f>IF(IF(L85=0,0,3),3,0)</f>
        <v>3</v>
      </c>
      <c r="M82" s="38">
        <f>IF(IF(M85=0,0,3),3,0)</f>
        <v>0</v>
      </c>
      <c r="N82" s="38">
        <f>IF(IF(N85=0,0,3),3,0)</f>
        <v>0</v>
      </c>
      <c r="O82" s="38">
        <f>IF(IF(O85=0,0,2),2,0)</f>
        <v>0</v>
      </c>
      <c r="P82" s="38">
        <f>IF(IF(P85=0,0,2),2,0)</f>
        <v>0</v>
      </c>
      <c r="Q82" s="38">
        <f>IF(IF(Q85=0,0,3),3,0)</f>
        <v>3</v>
      </c>
      <c r="R82" s="38">
        <f>IF(IF(R85=0,0,3),3,0)</f>
        <v>0</v>
      </c>
      <c r="S82" s="38">
        <f>IF(IF(N85=0,0,3),3,0)</f>
        <v>0</v>
      </c>
      <c r="T82" s="37">
        <f>IF(IF(N85=0,0,3),3,0)</f>
        <v>0</v>
      </c>
      <c r="U82" s="38">
        <f>SUM(F82:T82)</f>
        <v>19</v>
      </c>
      <c r="V82" s="39"/>
      <c r="W82" s="101"/>
      <c r="X82" s="101"/>
      <c r="Y82" s="128"/>
    </row>
    <row r="83" spans="2:25" ht="19.5" thickTop="1" thickBot="1" x14ac:dyDescent="0.25">
      <c r="B83" s="158"/>
      <c r="C83" s="107"/>
      <c r="D83" s="101"/>
      <c r="E83" s="40" t="s">
        <v>216</v>
      </c>
      <c r="F83" s="75"/>
      <c r="G83" s="75">
        <v>25</v>
      </c>
      <c r="H83" s="75"/>
      <c r="I83" s="79">
        <v>26</v>
      </c>
      <c r="J83" s="75">
        <v>24</v>
      </c>
      <c r="K83" s="79">
        <v>30</v>
      </c>
      <c r="L83" s="79">
        <v>33</v>
      </c>
      <c r="M83" s="41">
        <v>0</v>
      </c>
      <c r="N83" s="41">
        <v>0</v>
      </c>
      <c r="O83" s="41">
        <v>0</v>
      </c>
      <c r="P83" s="41">
        <v>0</v>
      </c>
      <c r="Q83" s="75">
        <v>39</v>
      </c>
      <c r="R83" s="41">
        <v>0</v>
      </c>
      <c r="S83" s="41">
        <v>0</v>
      </c>
      <c r="T83" s="41">
        <v>0</v>
      </c>
      <c r="U83" s="42"/>
      <c r="V83" s="43"/>
      <c r="W83" s="101"/>
      <c r="X83" s="101"/>
      <c r="Y83" s="128"/>
    </row>
    <row r="84" spans="2:25" ht="19.5" thickTop="1" thickBot="1" x14ac:dyDescent="0.25">
      <c r="B84" s="158"/>
      <c r="C84" s="107"/>
      <c r="D84" s="101"/>
      <c r="E84" s="44" t="s">
        <v>3</v>
      </c>
      <c r="F84" s="74"/>
      <c r="G84" s="74"/>
      <c r="H84" s="74"/>
      <c r="I84" s="74"/>
      <c r="J84" s="74"/>
      <c r="K84" s="74">
        <v>30</v>
      </c>
      <c r="L84" s="74"/>
      <c r="M84" s="45">
        <v>0</v>
      </c>
      <c r="N84" s="45">
        <v>0</v>
      </c>
      <c r="O84" s="45">
        <v>0</v>
      </c>
      <c r="P84" s="45">
        <v>0</v>
      </c>
      <c r="Q84" s="74">
        <v>0</v>
      </c>
      <c r="R84" s="45">
        <v>0</v>
      </c>
      <c r="S84" s="45">
        <v>0</v>
      </c>
      <c r="T84" s="45">
        <v>0</v>
      </c>
      <c r="U84" s="46"/>
      <c r="V84" s="47"/>
      <c r="W84" s="101"/>
      <c r="X84" s="101"/>
      <c r="Y84" s="128"/>
    </row>
    <row r="85" spans="2:25" ht="19.5" thickTop="1" thickBot="1" x14ac:dyDescent="0.25">
      <c r="B85" s="158"/>
      <c r="C85" s="107"/>
      <c r="D85" s="101"/>
      <c r="E85" s="48" t="s">
        <v>4</v>
      </c>
      <c r="F85" s="74">
        <f t="shared" ref="F85:T85" si="45">IF(F84&lt;30,F83,F83+F84)</f>
        <v>0</v>
      </c>
      <c r="G85" s="74">
        <f t="shared" si="45"/>
        <v>25</v>
      </c>
      <c r="H85" s="74">
        <f t="shared" si="45"/>
        <v>0</v>
      </c>
      <c r="I85" s="74">
        <f t="shared" si="45"/>
        <v>26</v>
      </c>
      <c r="J85" s="74">
        <f t="shared" si="45"/>
        <v>24</v>
      </c>
      <c r="K85" s="74">
        <f t="shared" si="45"/>
        <v>60</v>
      </c>
      <c r="L85" s="74">
        <f t="shared" si="45"/>
        <v>33</v>
      </c>
      <c r="M85" s="45">
        <f t="shared" si="45"/>
        <v>0</v>
      </c>
      <c r="N85" s="45">
        <f t="shared" si="45"/>
        <v>0</v>
      </c>
      <c r="O85" s="45">
        <f t="shared" si="45"/>
        <v>0</v>
      </c>
      <c r="P85" s="45">
        <f t="shared" si="45"/>
        <v>0</v>
      </c>
      <c r="Q85" s="74">
        <f t="shared" si="45"/>
        <v>39</v>
      </c>
      <c r="R85" s="45">
        <f t="shared" si="45"/>
        <v>0</v>
      </c>
      <c r="S85" s="45">
        <f t="shared" si="45"/>
        <v>0</v>
      </c>
      <c r="T85" s="45">
        <f t="shared" si="45"/>
        <v>0</v>
      </c>
      <c r="U85" s="46"/>
      <c r="V85" s="47"/>
      <c r="W85" s="101"/>
      <c r="X85" s="101"/>
      <c r="Y85" s="128"/>
    </row>
    <row r="86" spans="2:25" ht="37.5" thickTop="1" thickBot="1" x14ac:dyDescent="0.25">
      <c r="B86" s="166"/>
      <c r="C86" s="108"/>
      <c r="D86" s="102"/>
      <c r="E86" s="66" t="s">
        <v>6</v>
      </c>
      <c r="F86" s="77">
        <f t="shared" ref="F86:L86" si="46">SUM(F82*F85)</f>
        <v>0</v>
      </c>
      <c r="G86" s="77">
        <f t="shared" si="46"/>
        <v>100</v>
      </c>
      <c r="H86" s="77">
        <f t="shared" si="46"/>
        <v>0</v>
      </c>
      <c r="I86" s="77">
        <f t="shared" si="46"/>
        <v>104</v>
      </c>
      <c r="J86" s="77">
        <f t="shared" si="46"/>
        <v>48</v>
      </c>
      <c r="K86" s="77">
        <f t="shared" si="46"/>
        <v>180</v>
      </c>
      <c r="L86" s="77">
        <f t="shared" si="46"/>
        <v>99</v>
      </c>
      <c r="M86" s="36">
        <f t="shared" ref="M86:T86" si="47">SUM(M82*M85)</f>
        <v>0</v>
      </c>
      <c r="N86" s="36">
        <f t="shared" si="47"/>
        <v>0</v>
      </c>
      <c r="O86" s="36">
        <f t="shared" si="47"/>
        <v>0</v>
      </c>
      <c r="P86" s="36">
        <f t="shared" si="47"/>
        <v>0</v>
      </c>
      <c r="Q86" s="77">
        <f t="shared" si="47"/>
        <v>117</v>
      </c>
      <c r="R86" s="36">
        <f t="shared" si="47"/>
        <v>0</v>
      </c>
      <c r="S86" s="36">
        <f t="shared" si="47"/>
        <v>0</v>
      </c>
      <c r="T86" s="36">
        <f t="shared" si="47"/>
        <v>0</v>
      </c>
      <c r="U86" s="50">
        <f>SUM(F86:T86)</f>
        <v>648</v>
      </c>
      <c r="V86" s="51">
        <f>SUM(U86/U82)</f>
        <v>34.10526315789474</v>
      </c>
      <c r="W86" s="102"/>
      <c r="X86" s="102"/>
      <c r="Y86" s="128"/>
    </row>
    <row r="87" spans="2:25" ht="20.25" thickTop="1" thickBot="1" x14ac:dyDescent="0.25">
      <c r="B87" s="158">
        <v>-17</v>
      </c>
      <c r="C87" s="106" t="s">
        <v>153</v>
      </c>
      <c r="D87" s="101" t="s">
        <v>369</v>
      </c>
      <c r="E87" s="37" t="s">
        <v>5</v>
      </c>
      <c r="F87" s="38">
        <f>IF(IF(F90=0,0,3),3,0)</f>
        <v>0</v>
      </c>
      <c r="G87" s="38">
        <f>IF(IF(G90=0,0,4),4,0)</f>
        <v>4</v>
      </c>
      <c r="H87" s="37">
        <f>IF(IF(H90=0,0,2),2,0)</f>
        <v>0</v>
      </c>
      <c r="I87" s="38">
        <f>IF(IF(I90=0,0,4),4,0)</f>
        <v>4</v>
      </c>
      <c r="J87" s="37">
        <f>IF(IF(J90=0,0,2),2,0)</f>
        <v>2</v>
      </c>
      <c r="K87" s="38">
        <f>IF(IF(K90=0,0,3),3,0)</f>
        <v>3</v>
      </c>
      <c r="L87" s="38">
        <f>IF(IF(L90=0,0,3),3,0)</f>
        <v>0</v>
      </c>
      <c r="M87" s="38">
        <f>IF(IF(M90=0,0,3),3,0)</f>
        <v>0</v>
      </c>
      <c r="N87" s="38">
        <f>IF(IF(N90=0,0,3),3,0)</f>
        <v>0</v>
      </c>
      <c r="O87" s="38">
        <f>IF(IF(O90=0,0,2),2,0)</f>
        <v>0</v>
      </c>
      <c r="P87" s="38">
        <f>IF(IF(P90=0,0,2),2,0)</f>
        <v>0</v>
      </c>
      <c r="Q87" s="38">
        <f>IF(IF(Q90=0,0,3),3,0)</f>
        <v>0</v>
      </c>
      <c r="R87" s="38">
        <f>IF(IF(R90=0,0,3),3,0)</f>
        <v>0</v>
      </c>
      <c r="S87" s="38">
        <f>IF(IF(N90=0,0,3),3,0)</f>
        <v>0</v>
      </c>
      <c r="T87" s="37">
        <f>IF(IF(N90=0,0,3),3,0)</f>
        <v>0</v>
      </c>
      <c r="U87" s="38">
        <f>SUM(F87:T87)</f>
        <v>13</v>
      </c>
      <c r="V87" s="39"/>
      <c r="W87" s="101"/>
      <c r="X87" s="101"/>
      <c r="Y87" s="128"/>
    </row>
    <row r="88" spans="2:25" ht="19.5" thickTop="1" thickBot="1" x14ac:dyDescent="0.25">
      <c r="B88" s="158"/>
      <c r="C88" s="107"/>
      <c r="D88" s="101"/>
      <c r="E88" s="40" t="s">
        <v>216</v>
      </c>
      <c r="F88" s="75"/>
      <c r="G88" s="75">
        <v>27</v>
      </c>
      <c r="H88" s="75"/>
      <c r="I88" s="79">
        <v>30</v>
      </c>
      <c r="J88" s="75">
        <v>32</v>
      </c>
      <c r="K88" s="79">
        <v>37</v>
      </c>
      <c r="L88" s="79"/>
      <c r="M88" s="41">
        <v>0</v>
      </c>
      <c r="N88" s="41">
        <v>0</v>
      </c>
      <c r="O88" s="41">
        <v>0</v>
      </c>
      <c r="P88" s="41">
        <v>0</v>
      </c>
      <c r="Q88" s="75">
        <v>0</v>
      </c>
      <c r="R88" s="41">
        <v>0</v>
      </c>
      <c r="S88" s="41">
        <v>0</v>
      </c>
      <c r="T88" s="41">
        <v>0</v>
      </c>
      <c r="U88" s="42"/>
      <c r="V88" s="43"/>
      <c r="W88" s="101"/>
      <c r="X88" s="101"/>
      <c r="Y88" s="128"/>
    </row>
    <row r="89" spans="2:25" ht="19.5" thickTop="1" thickBot="1" x14ac:dyDescent="0.25">
      <c r="B89" s="158"/>
      <c r="C89" s="107"/>
      <c r="D89" s="101"/>
      <c r="E89" s="44" t="s">
        <v>3</v>
      </c>
      <c r="F89" s="74"/>
      <c r="G89" s="74"/>
      <c r="H89" s="74"/>
      <c r="I89" s="74"/>
      <c r="J89" s="74"/>
      <c r="K89" s="74">
        <v>60</v>
      </c>
      <c r="L89" s="91"/>
      <c r="M89" s="45">
        <v>0</v>
      </c>
      <c r="N89" s="45">
        <v>0</v>
      </c>
      <c r="O89" s="45">
        <v>0</v>
      </c>
      <c r="P89" s="45">
        <v>0</v>
      </c>
      <c r="Q89" s="74">
        <v>0</v>
      </c>
      <c r="R89" s="45">
        <v>0</v>
      </c>
      <c r="S89" s="45">
        <v>0</v>
      </c>
      <c r="T89" s="45">
        <v>0</v>
      </c>
      <c r="U89" s="46"/>
      <c r="V89" s="47"/>
      <c r="W89" s="101"/>
      <c r="X89" s="101"/>
      <c r="Y89" s="128"/>
    </row>
    <row r="90" spans="2:25" ht="19.5" thickTop="1" thickBot="1" x14ac:dyDescent="0.25">
      <c r="B90" s="158"/>
      <c r="C90" s="107"/>
      <c r="D90" s="101"/>
      <c r="E90" s="48" t="s">
        <v>4</v>
      </c>
      <c r="F90" s="74">
        <f t="shared" ref="F90:T90" si="48">IF(F89&lt;30,F88,F88+F89)</f>
        <v>0</v>
      </c>
      <c r="G90" s="74">
        <f t="shared" si="48"/>
        <v>27</v>
      </c>
      <c r="H90" s="74">
        <f t="shared" si="48"/>
        <v>0</v>
      </c>
      <c r="I90" s="74">
        <f t="shared" si="48"/>
        <v>30</v>
      </c>
      <c r="J90" s="74">
        <f t="shared" si="48"/>
        <v>32</v>
      </c>
      <c r="K90" s="74">
        <f t="shared" si="48"/>
        <v>97</v>
      </c>
      <c r="L90" s="74">
        <f t="shared" si="48"/>
        <v>0</v>
      </c>
      <c r="M90" s="45">
        <f t="shared" si="48"/>
        <v>0</v>
      </c>
      <c r="N90" s="45">
        <f t="shared" si="48"/>
        <v>0</v>
      </c>
      <c r="O90" s="45">
        <f t="shared" si="48"/>
        <v>0</v>
      </c>
      <c r="P90" s="45">
        <f t="shared" si="48"/>
        <v>0</v>
      </c>
      <c r="Q90" s="74">
        <f t="shared" si="48"/>
        <v>0</v>
      </c>
      <c r="R90" s="45">
        <f t="shared" si="48"/>
        <v>0</v>
      </c>
      <c r="S90" s="45">
        <f t="shared" si="48"/>
        <v>0</v>
      </c>
      <c r="T90" s="45">
        <f t="shared" si="48"/>
        <v>0</v>
      </c>
      <c r="U90" s="46"/>
      <c r="V90" s="47"/>
      <c r="W90" s="101"/>
      <c r="X90" s="101"/>
      <c r="Y90" s="128"/>
    </row>
    <row r="91" spans="2:25" ht="37.5" thickTop="1" thickBot="1" x14ac:dyDescent="0.25">
      <c r="B91" s="161"/>
      <c r="C91" s="163"/>
      <c r="D91" s="102"/>
      <c r="E91" s="49" t="s">
        <v>6</v>
      </c>
      <c r="F91" s="77">
        <f t="shared" ref="F91:L91" si="49">SUM(F87*F90)</f>
        <v>0</v>
      </c>
      <c r="G91" s="77">
        <f t="shared" si="49"/>
        <v>108</v>
      </c>
      <c r="H91" s="77">
        <f t="shared" si="49"/>
        <v>0</v>
      </c>
      <c r="I91" s="77">
        <f t="shared" si="49"/>
        <v>120</v>
      </c>
      <c r="J91" s="77">
        <f t="shared" si="49"/>
        <v>64</v>
      </c>
      <c r="K91" s="77">
        <f t="shared" si="49"/>
        <v>291</v>
      </c>
      <c r="L91" s="77">
        <f t="shared" si="49"/>
        <v>0</v>
      </c>
      <c r="M91" s="36">
        <f t="shared" ref="M91:T91" si="50">SUM(M87*M90)</f>
        <v>0</v>
      </c>
      <c r="N91" s="36">
        <f t="shared" si="50"/>
        <v>0</v>
      </c>
      <c r="O91" s="36">
        <f t="shared" si="50"/>
        <v>0</v>
      </c>
      <c r="P91" s="36">
        <f t="shared" si="50"/>
        <v>0</v>
      </c>
      <c r="Q91" s="77">
        <f t="shared" si="50"/>
        <v>0</v>
      </c>
      <c r="R91" s="36">
        <f t="shared" si="50"/>
        <v>0</v>
      </c>
      <c r="S91" s="36">
        <f t="shared" si="50"/>
        <v>0</v>
      </c>
      <c r="T91" s="36">
        <f t="shared" si="50"/>
        <v>0</v>
      </c>
      <c r="U91" s="50">
        <f>SUM(F91:T91)</f>
        <v>583</v>
      </c>
      <c r="V91" s="51">
        <f>SUM(U91/U87)</f>
        <v>44.846153846153847</v>
      </c>
      <c r="W91" s="102"/>
      <c r="X91" s="102"/>
      <c r="Y91" s="128"/>
    </row>
    <row r="92" spans="2:25" ht="20.25" thickTop="1" thickBot="1" x14ac:dyDescent="0.25">
      <c r="B92" s="162">
        <v>-18</v>
      </c>
      <c r="C92" s="164"/>
      <c r="D92" s="101"/>
      <c r="E92" s="37" t="s">
        <v>5</v>
      </c>
      <c r="F92" s="38">
        <f>IF(IF(F95=0,0,3),3,0)</f>
        <v>0</v>
      </c>
      <c r="G92" s="38">
        <f>IF(IF(G95=0,0,4),4,0)</f>
        <v>0</v>
      </c>
      <c r="H92" s="37">
        <f>IF(IF(H95=0,0,2),2,0)</f>
        <v>0</v>
      </c>
      <c r="I92" s="38">
        <f>IF(IF(I95=0,0,4),4,0)</f>
        <v>0</v>
      </c>
      <c r="J92" s="37">
        <f>IF(IF(J95=0,0,2),2,0)</f>
        <v>0</v>
      </c>
      <c r="K92" s="38">
        <f>IF(IF(K95=0,0,3),3,0)</f>
        <v>0</v>
      </c>
      <c r="L92" s="38">
        <f>IF(IF(L95=0,0,3),3,0)</f>
        <v>0</v>
      </c>
      <c r="M92" s="38">
        <f>IF(IF(M95=0,0,3),3,0)</f>
        <v>0</v>
      </c>
      <c r="N92" s="38">
        <f>IF(IF(N95=0,0,3),3,0)</f>
        <v>0</v>
      </c>
      <c r="O92" s="38">
        <f>IF(IF(O95=0,0,2),2,0)</f>
        <v>0</v>
      </c>
      <c r="P92" s="38">
        <f>IF(IF(P95=0,0,2),2,0)</f>
        <v>0</v>
      </c>
      <c r="Q92" s="38">
        <f>IF(IF(Q95=0,0,3),3,0)</f>
        <v>0</v>
      </c>
      <c r="R92" s="38">
        <f>IF(IF(R95=0,0,3),3,0)</f>
        <v>0</v>
      </c>
      <c r="S92" s="38">
        <f>IF(IF(N95=0,0,3),3,0)</f>
        <v>0</v>
      </c>
      <c r="T92" s="37">
        <f>IF(IF(N95=0,0,3),3,0)</f>
        <v>0</v>
      </c>
      <c r="U92" s="38">
        <f>SUM(F92:T92)</f>
        <v>0</v>
      </c>
      <c r="V92" s="39"/>
      <c r="W92" s="101"/>
      <c r="X92" s="101"/>
      <c r="Y92" s="128"/>
    </row>
    <row r="93" spans="2:25" ht="19.5" thickTop="1" thickBot="1" x14ac:dyDescent="0.25">
      <c r="B93" s="158"/>
      <c r="C93" s="107"/>
      <c r="D93" s="101"/>
      <c r="E93" s="40" t="s">
        <v>216</v>
      </c>
      <c r="F93" s="75"/>
      <c r="G93" s="75"/>
      <c r="H93" s="75"/>
      <c r="I93" s="79"/>
      <c r="J93" s="75"/>
      <c r="K93" s="79"/>
      <c r="L93" s="79"/>
      <c r="M93" s="41">
        <v>0</v>
      </c>
      <c r="N93" s="41">
        <v>0</v>
      </c>
      <c r="O93" s="41">
        <v>0</v>
      </c>
      <c r="P93" s="41">
        <v>0</v>
      </c>
      <c r="Q93" s="75">
        <v>0</v>
      </c>
      <c r="R93" s="41">
        <v>0</v>
      </c>
      <c r="S93" s="41">
        <v>0</v>
      </c>
      <c r="T93" s="41">
        <v>0</v>
      </c>
      <c r="U93" s="42"/>
      <c r="V93" s="43"/>
      <c r="W93" s="101"/>
      <c r="X93" s="101"/>
      <c r="Y93" s="128"/>
    </row>
    <row r="94" spans="2:25" ht="19.5" thickTop="1" thickBot="1" x14ac:dyDescent="0.25">
      <c r="B94" s="158"/>
      <c r="C94" s="107"/>
      <c r="D94" s="101"/>
      <c r="E94" s="44" t="s">
        <v>3</v>
      </c>
      <c r="F94" s="74"/>
      <c r="G94" s="74"/>
      <c r="H94" s="74"/>
      <c r="I94" s="74"/>
      <c r="J94" s="74"/>
      <c r="K94" s="74"/>
      <c r="L94" s="74"/>
      <c r="M94" s="45">
        <v>0</v>
      </c>
      <c r="N94" s="45">
        <v>0</v>
      </c>
      <c r="O94" s="45">
        <v>0</v>
      </c>
      <c r="P94" s="45">
        <v>0</v>
      </c>
      <c r="Q94" s="74">
        <v>0</v>
      </c>
      <c r="R94" s="45">
        <v>0</v>
      </c>
      <c r="S94" s="45">
        <v>0</v>
      </c>
      <c r="T94" s="45">
        <v>0</v>
      </c>
      <c r="U94" s="46"/>
      <c r="V94" s="47"/>
      <c r="W94" s="101"/>
      <c r="X94" s="101"/>
      <c r="Y94" s="128"/>
    </row>
    <row r="95" spans="2:25" ht="19.5" thickTop="1" thickBot="1" x14ac:dyDescent="0.25">
      <c r="B95" s="158"/>
      <c r="C95" s="107"/>
      <c r="D95" s="101"/>
      <c r="E95" s="48" t="s">
        <v>4</v>
      </c>
      <c r="F95" s="74">
        <f t="shared" ref="F95:T95" si="51">IF(F94&lt;30,F93,F93+F94)</f>
        <v>0</v>
      </c>
      <c r="G95" s="74">
        <f t="shared" si="51"/>
        <v>0</v>
      </c>
      <c r="H95" s="74">
        <f t="shared" si="51"/>
        <v>0</v>
      </c>
      <c r="I95" s="74">
        <f t="shared" si="51"/>
        <v>0</v>
      </c>
      <c r="J95" s="74">
        <f t="shared" si="51"/>
        <v>0</v>
      </c>
      <c r="K95" s="74">
        <f t="shared" si="51"/>
        <v>0</v>
      </c>
      <c r="L95" s="74">
        <f t="shared" si="51"/>
        <v>0</v>
      </c>
      <c r="M95" s="45">
        <f t="shared" si="51"/>
        <v>0</v>
      </c>
      <c r="N95" s="45">
        <f t="shared" si="51"/>
        <v>0</v>
      </c>
      <c r="O95" s="45">
        <f t="shared" si="51"/>
        <v>0</v>
      </c>
      <c r="P95" s="45">
        <f t="shared" si="51"/>
        <v>0</v>
      </c>
      <c r="Q95" s="74">
        <f t="shared" si="51"/>
        <v>0</v>
      </c>
      <c r="R95" s="45">
        <f t="shared" si="51"/>
        <v>0</v>
      </c>
      <c r="S95" s="45">
        <f t="shared" si="51"/>
        <v>0</v>
      </c>
      <c r="T95" s="45">
        <f t="shared" si="51"/>
        <v>0</v>
      </c>
      <c r="U95" s="46"/>
      <c r="V95" s="47"/>
      <c r="W95" s="101"/>
      <c r="X95" s="101"/>
      <c r="Y95" s="128"/>
    </row>
    <row r="96" spans="2:25" ht="37.5" thickTop="1" thickBot="1" x14ac:dyDescent="0.25">
      <c r="B96" s="161"/>
      <c r="C96" s="163"/>
      <c r="D96" s="102"/>
      <c r="E96" s="49" t="s">
        <v>6</v>
      </c>
      <c r="F96" s="77">
        <f t="shared" ref="F96:L96" si="52">SUM(F92*F95)</f>
        <v>0</v>
      </c>
      <c r="G96" s="77">
        <f t="shared" si="52"/>
        <v>0</v>
      </c>
      <c r="H96" s="77">
        <f t="shared" si="52"/>
        <v>0</v>
      </c>
      <c r="I96" s="77">
        <f t="shared" si="52"/>
        <v>0</v>
      </c>
      <c r="J96" s="77">
        <f t="shared" si="52"/>
        <v>0</v>
      </c>
      <c r="K96" s="77">
        <f t="shared" si="52"/>
        <v>0</v>
      </c>
      <c r="L96" s="77">
        <f t="shared" si="52"/>
        <v>0</v>
      </c>
      <c r="M96" s="36">
        <f t="shared" ref="M96:T96" si="53">SUM(M92*M95)</f>
        <v>0</v>
      </c>
      <c r="N96" s="36">
        <f t="shared" si="53"/>
        <v>0</v>
      </c>
      <c r="O96" s="36">
        <f t="shared" si="53"/>
        <v>0</v>
      </c>
      <c r="P96" s="36">
        <f t="shared" si="53"/>
        <v>0</v>
      </c>
      <c r="Q96" s="77">
        <f t="shared" si="53"/>
        <v>0</v>
      </c>
      <c r="R96" s="36">
        <f t="shared" si="53"/>
        <v>0</v>
      </c>
      <c r="S96" s="36">
        <f t="shared" si="53"/>
        <v>0</v>
      </c>
      <c r="T96" s="36">
        <f t="shared" si="53"/>
        <v>0</v>
      </c>
      <c r="U96" s="50">
        <f>SUM(F96:T96)</f>
        <v>0</v>
      </c>
      <c r="V96" s="51" t="e">
        <f>SUM(U96/U92)</f>
        <v>#DIV/0!</v>
      </c>
      <c r="W96" s="102"/>
      <c r="X96" s="102"/>
      <c r="Y96" s="128"/>
    </row>
    <row r="97" spans="2:25" ht="20.25" thickTop="1" thickBot="1" x14ac:dyDescent="0.25">
      <c r="B97" s="162">
        <v>-19</v>
      </c>
      <c r="C97" s="164"/>
      <c r="D97" s="101"/>
      <c r="E97" s="37" t="s">
        <v>5</v>
      </c>
      <c r="F97" s="38">
        <f>IF(IF(F100=0,0,3),3,0)</f>
        <v>0</v>
      </c>
      <c r="G97" s="38">
        <f>IF(IF(G100=0,0,4),4,0)</f>
        <v>0</v>
      </c>
      <c r="H97" s="37">
        <f>IF(IF(H100=0,0,2),2,0)</f>
        <v>0</v>
      </c>
      <c r="I97" s="38">
        <f>IF(IF(I100=0,0,4),4,0)</f>
        <v>0</v>
      </c>
      <c r="J97" s="37">
        <f>IF(IF(J100=0,0,2),2,0)</f>
        <v>0</v>
      </c>
      <c r="K97" s="38">
        <f>IF(IF(K100=0,0,3),3,0)</f>
        <v>0</v>
      </c>
      <c r="L97" s="38">
        <f>IF(IF(L100=0,0,3),3,0)</f>
        <v>0</v>
      </c>
      <c r="M97" s="38">
        <f>IF(IF(M100=0,0,3),3,0)</f>
        <v>0</v>
      </c>
      <c r="N97" s="38">
        <f>IF(IF(N100=0,0,3),3,0)</f>
        <v>0</v>
      </c>
      <c r="O97" s="38">
        <f>IF(IF(O100=0,0,2),2,0)</f>
        <v>0</v>
      </c>
      <c r="P97" s="38">
        <f>IF(IF(P100=0,0,2),2,0)</f>
        <v>0</v>
      </c>
      <c r="Q97" s="38">
        <f>IF(IF(Q100=0,0,3),3,0)</f>
        <v>0</v>
      </c>
      <c r="R97" s="38">
        <f>IF(IF(R100=0,0,3),3,0)</f>
        <v>0</v>
      </c>
      <c r="S97" s="38">
        <f>IF(IF(N100=0,0,3),3,0)</f>
        <v>0</v>
      </c>
      <c r="T97" s="37">
        <f>IF(IF(N100=0,0,3),3,0)</f>
        <v>0</v>
      </c>
      <c r="U97" s="38">
        <f>SUM(F97:T97)</f>
        <v>0</v>
      </c>
      <c r="V97" s="39"/>
      <c r="W97" s="101"/>
      <c r="X97" s="101"/>
      <c r="Y97" s="128"/>
    </row>
    <row r="98" spans="2:25" ht="19.5" thickTop="1" thickBot="1" x14ac:dyDescent="0.25">
      <c r="B98" s="158"/>
      <c r="C98" s="107"/>
      <c r="D98" s="101"/>
      <c r="E98" s="40" t="s">
        <v>216</v>
      </c>
      <c r="F98" s="75"/>
      <c r="G98" s="75"/>
      <c r="H98" s="75"/>
      <c r="I98" s="79"/>
      <c r="J98" s="75"/>
      <c r="K98" s="79"/>
      <c r="L98" s="79"/>
      <c r="M98" s="41">
        <v>0</v>
      </c>
      <c r="N98" s="41">
        <v>0</v>
      </c>
      <c r="O98" s="41">
        <v>0</v>
      </c>
      <c r="P98" s="41">
        <v>0</v>
      </c>
      <c r="Q98" s="75">
        <v>0</v>
      </c>
      <c r="R98" s="41">
        <v>0</v>
      </c>
      <c r="S98" s="41">
        <v>0</v>
      </c>
      <c r="T98" s="41">
        <v>0</v>
      </c>
      <c r="U98" s="42"/>
      <c r="V98" s="43"/>
      <c r="W98" s="101"/>
      <c r="X98" s="101"/>
      <c r="Y98" s="128"/>
    </row>
    <row r="99" spans="2:25" ht="19.5" thickTop="1" thickBot="1" x14ac:dyDescent="0.25">
      <c r="B99" s="158"/>
      <c r="C99" s="107"/>
      <c r="D99" s="101"/>
      <c r="E99" s="44" t="s">
        <v>3</v>
      </c>
      <c r="F99" s="74"/>
      <c r="G99" s="74"/>
      <c r="H99" s="74"/>
      <c r="I99" s="74"/>
      <c r="J99" s="74"/>
      <c r="K99" s="74"/>
      <c r="L99" s="74"/>
      <c r="M99" s="45">
        <v>0</v>
      </c>
      <c r="N99" s="45">
        <v>0</v>
      </c>
      <c r="O99" s="45">
        <v>0</v>
      </c>
      <c r="P99" s="45">
        <v>0</v>
      </c>
      <c r="Q99" s="74">
        <v>0</v>
      </c>
      <c r="R99" s="45">
        <v>0</v>
      </c>
      <c r="S99" s="45">
        <v>0</v>
      </c>
      <c r="T99" s="45">
        <v>0</v>
      </c>
      <c r="U99" s="46"/>
      <c r="V99" s="47"/>
      <c r="W99" s="101"/>
      <c r="X99" s="101"/>
      <c r="Y99" s="128"/>
    </row>
    <row r="100" spans="2:25" ht="19.5" thickTop="1" thickBot="1" x14ac:dyDescent="0.25">
      <c r="B100" s="158"/>
      <c r="C100" s="107"/>
      <c r="D100" s="101"/>
      <c r="E100" s="48" t="s">
        <v>4</v>
      </c>
      <c r="F100" s="74">
        <f t="shared" ref="F100:T100" si="54">IF(F99&lt;30,F98,F98+F99)</f>
        <v>0</v>
      </c>
      <c r="G100" s="74">
        <f t="shared" si="54"/>
        <v>0</v>
      </c>
      <c r="H100" s="74">
        <f t="shared" si="54"/>
        <v>0</v>
      </c>
      <c r="I100" s="74">
        <f t="shared" si="54"/>
        <v>0</v>
      </c>
      <c r="J100" s="74">
        <f t="shared" si="54"/>
        <v>0</v>
      </c>
      <c r="K100" s="74">
        <f t="shared" si="54"/>
        <v>0</v>
      </c>
      <c r="L100" s="74">
        <f t="shared" si="54"/>
        <v>0</v>
      </c>
      <c r="M100" s="45">
        <f t="shared" si="54"/>
        <v>0</v>
      </c>
      <c r="N100" s="45">
        <f t="shared" si="54"/>
        <v>0</v>
      </c>
      <c r="O100" s="45">
        <f t="shared" si="54"/>
        <v>0</v>
      </c>
      <c r="P100" s="45">
        <f t="shared" si="54"/>
        <v>0</v>
      </c>
      <c r="Q100" s="74">
        <f t="shared" si="54"/>
        <v>0</v>
      </c>
      <c r="R100" s="45">
        <f t="shared" si="54"/>
        <v>0</v>
      </c>
      <c r="S100" s="45">
        <f t="shared" si="54"/>
        <v>0</v>
      </c>
      <c r="T100" s="45">
        <f t="shared" si="54"/>
        <v>0</v>
      </c>
      <c r="U100" s="46"/>
      <c r="V100" s="47"/>
      <c r="W100" s="101"/>
      <c r="X100" s="101"/>
      <c r="Y100" s="128"/>
    </row>
    <row r="101" spans="2:25" ht="37.5" thickTop="1" thickBot="1" x14ac:dyDescent="0.25">
      <c r="B101" s="159"/>
      <c r="C101" s="163"/>
      <c r="D101" s="102"/>
      <c r="E101" s="52" t="s">
        <v>6</v>
      </c>
      <c r="F101" s="77">
        <f t="shared" ref="F101:L101" si="55">SUM(F97*F100)</f>
        <v>0</v>
      </c>
      <c r="G101" s="77">
        <f t="shared" si="55"/>
        <v>0</v>
      </c>
      <c r="H101" s="77">
        <f t="shared" si="55"/>
        <v>0</v>
      </c>
      <c r="I101" s="77">
        <f t="shared" si="55"/>
        <v>0</v>
      </c>
      <c r="J101" s="77">
        <f t="shared" si="55"/>
        <v>0</v>
      </c>
      <c r="K101" s="77">
        <f t="shared" si="55"/>
        <v>0</v>
      </c>
      <c r="L101" s="77">
        <f t="shared" si="55"/>
        <v>0</v>
      </c>
      <c r="M101" s="36">
        <f t="shared" ref="M101:T101" si="56">SUM(M97*M100)</f>
        <v>0</v>
      </c>
      <c r="N101" s="36">
        <f t="shared" si="56"/>
        <v>0</v>
      </c>
      <c r="O101" s="36">
        <f t="shared" si="56"/>
        <v>0</v>
      </c>
      <c r="P101" s="36">
        <f t="shared" si="56"/>
        <v>0</v>
      </c>
      <c r="Q101" s="77">
        <f t="shared" si="56"/>
        <v>0</v>
      </c>
      <c r="R101" s="36">
        <f t="shared" si="56"/>
        <v>0</v>
      </c>
      <c r="S101" s="36">
        <f t="shared" si="56"/>
        <v>0</v>
      </c>
      <c r="T101" s="36">
        <f t="shared" si="56"/>
        <v>0</v>
      </c>
      <c r="U101" s="50">
        <f>SUM(F101:T101)</f>
        <v>0</v>
      </c>
      <c r="V101" s="51" t="e">
        <f>SUM(U101/U97)</f>
        <v>#DIV/0!</v>
      </c>
      <c r="W101" s="102"/>
      <c r="X101" s="102"/>
      <c r="Y101" s="128"/>
    </row>
    <row r="102" spans="2:25" ht="20.25" thickTop="1" thickBot="1" x14ac:dyDescent="0.25">
      <c r="B102" s="160">
        <v>-20</v>
      </c>
      <c r="C102" s="164"/>
      <c r="D102" s="101"/>
      <c r="E102" s="37" t="s">
        <v>5</v>
      </c>
      <c r="F102" s="38">
        <f>IF(IF(F105=0,0,3),3,0)</f>
        <v>0</v>
      </c>
      <c r="G102" s="38">
        <f>IF(IF(G105=0,0,4),4,0)</f>
        <v>0</v>
      </c>
      <c r="H102" s="37">
        <f>IF(IF(H105=0,0,2),2,0)</f>
        <v>0</v>
      </c>
      <c r="I102" s="38">
        <f>IF(IF(I105=0,0,4),4,0)</f>
        <v>0</v>
      </c>
      <c r="J102" s="37">
        <f>IF(IF(J105=0,0,2),2,0)</f>
        <v>0</v>
      </c>
      <c r="K102" s="38">
        <f>IF(IF(K105=0,0,3),3,0)</f>
        <v>0</v>
      </c>
      <c r="L102" s="38">
        <f>IF(IF(L105=0,0,3),3,0)</f>
        <v>0</v>
      </c>
      <c r="M102" s="38">
        <f>IF(IF(M105=0,0,3),3,0)</f>
        <v>0</v>
      </c>
      <c r="N102" s="38">
        <f>IF(IF(N105=0,0,3),3,0)</f>
        <v>0</v>
      </c>
      <c r="O102" s="38">
        <f>IF(IF(O105=0,0,2),2,0)</f>
        <v>0</v>
      </c>
      <c r="P102" s="38">
        <f>IF(IF(P105=0,0,2),2,0)</f>
        <v>0</v>
      </c>
      <c r="Q102" s="38">
        <f>IF(IF(Q105=0,0,3),3,0)</f>
        <v>0</v>
      </c>
      <c r="R102" s="38">
        <f>IF(IF(R105=0,0,3),3,0)</f>
        <v>0</v>
      </c>
      <c r="S102" s="38">
        <f>IF(IF(N105=0,0,3),3,0)</f>
        <v>0</v>
      </c>
      <c r="T102" s="37">
        <f>IF(IF(N105=0,0,3),3,0)</f>
        <v>0</v>
      </c>
      <c r="U102" s="38">
        <f>SUM(F102:T102)</f>
        <v>0</v>
      </c>
      <c r="V102" s="39"/>
      <c r="W102" s="101"/>
      <c r="X102" s="101"/>
      <c r="Y102" s="128"/>
    </row>
    <row r="103" spans="2:25" ht="19.5" thickTop="1" thickBot="1" x14ac:dyDescent="0.25">
      <c r="B103" s="158"/>
      <c r="C103" s="107"/>
      <c r="D103" s="101"/>
      <c r="E103" s="40" t="s">
        <v>216</v>
      </c>
      <c r="F103" s="75"/>
      <c r="G103" s="75"/>
      <c r="H103" s="75"/>
      <c r="I103" s="79"/>
      <c r="J103" s="75"/>
      <c r="K103" s="79"/>
      <c r="L103" s="79"/>
      <c r="M103" s="41">
        <v>0</v>
      </c>
      <c r="N103" s="41">
        <v>0</v>
      </c>
      <c r="O103" s="41">
        <v>0</v>
      </c>
      <c r="P103" s="41">
        <v>0</v>
      </c>
      <c r="Q103" s="75">
        <v>0</v>
      </c>
      <c r="R103" s="41">
        <v>0</v>
      </c>
      <c r="S103" s="41">
        <v>0</v>
      </c>
      <c r="T103" s="41">
        <v>0</v>
      </c>
      <c r="U103" s="42"/>
      <c r="V103" s="43"/>
      <c r="W103" s="101"/>
      <c r="X103" s="101"/>
      <c r="Y103" s="128"/>
    </row>
    <row r="104" spans="2:25" ht="19.5" thickTop="1" thickBot="1" x14ac:dyDescent="0.25">
      <c r="B104" s="158"/>
      <c r="C104" s="107"/>
      <c r="D104" s="101"/>
      <c r="E104" s="44" t="s">
        <v>3</v>
      </c>
      <c r="F104" s="74"/>
      <c r="G104" s="74"/>
      <c r="H104" s="74"/>
      <c r="I104" s="74"/>
      <c r="J104" s="74"/>
      <c r="K104" s="74"/>
      <c r="L104" s="74"/>
      <c r="M104" s="45">
        <v>0</v>
      </c>
      <c r="N104" s="45">
        <v>0</v>
      </c>
      <c r="O104" s="45">
        <v>0</v>
      </c>
      <c r="P104" s="45">
        <v>0</v>
      </c>
      <c r="Q104" s="74">
        <v>0</v>
      </c>
      <c r="R104" s="45">
        <v>0</v>
      </c>
      <c r="S104" s="45">
        <v>0</v>
      </c>
      <c r="T104" s="45">
        <v>0</v>
      </c>
      <c r="U104" s="46"/>
      <c r="V104" s="47"/>
      <c r="W104" s="101"/>
      <c r="X104" s="101"/>
      <c r="Y104" s="128"/>
    </row>
    <row r="105" spans="2:25" ht="19.5" thickTop="1" thickBot="1" x14ac:dyDescent="0.25">
      <c r="B105" s="158"/>
      <c r="C105" s="107"/>
      <c r="D105" s="101"/>
      <c r="E105" s="48" t="s">
        <v>4</v>
      </c>
      <c r="F105" s="74">
        <f t="shared" ref="F105:T105" si="57">IF(F104&lt;30,F103,F103+F104)</f>
        <v>0</v>
      </c>
      <c r="G105" s="74">
        <f t="shared" si="57"/>
        <v>0</v>
      </c>
      <c r="H105" s="74">
        <f t="shared" si="57"/>
        <v>0</v>
      </c>
      <c r="I105" s="74">
        <f t="shared" si="57"/>
        <v>0</v>
      </c>
      <c r="J105" s="74">
        <f t="shared" si="57"/>
        <v>0</v>
      </c>
      <c r="K105" s="74">
        <f t="shared" si="57"/>
        <v>0</v>
      </c>
      <c r="L105" s="74">
        <f t="shared" si="57"/>
        <v>0</v>
      </c>
      <c r="M105" s="45">
        <f t="shared" si="57"/>
        <v>0</v>
      </c>
      <c r="N105" s="45">
        <f t="shared" si="57"/>
        <v>0</v>
      </c>
      <c r="O105" s="45">
        <f t="shared" si="57"/>
        <v>0</v>
      </c>
      <c r="P105" s="45">
        <f t="shared" si="57"/>
        <v>0</v>
      </c>
      <c r="Q105" s="74">
        <f t="shared" si="57"/>
        <v>0</v>
      </c>
      <c r="R105" s="45">
        <f t="shared" si="57"/>
        <v>0</v>
      </c>
      <c r="S105" s="45">
        <f t="shared" si="57"/>
        <v>0</v>
      </c>
      <c r="T105" s="45">
        <f t="shared" si="57"/>
        <v>0</v>
      </c>
      <c r="U105" s="46"/>
      <c r="V105" s="47"/>
      <c r="W105" s="101"/>
      <c r="X105" s="101"/>
      <c r="Y105" s="128"/>
    </row>
    <row r="106" spans="2:25" ht="37.5" thickTop="1" thickBot="1" x14ac:dyDescent="0.25">
      <c r="B106" s="159"/>
      <c r="C106" s="163"/>
      <c r="D106" s="102"/>
      <c r="E106" s="52" t="s">
        <v>6</v>
      </c>
      <c r="F106" s="77">
        <f t="shared" ref="F106:L106" si="58">SUM(F102*F105)</f>
        <v>0</v>
      </c>
      <c r="G106" s="77">
        <f t="shared" si="58"/>
        <v>0</v>
      </c>
      <c r="H106" s="77">
        <f t="shared" si="58"/>
        <v>0</v>
      </c>
      <c r="I106" s="77">
        <f t="shared" si="58"/>
        <v>0</v>
      </c>
      <c r="J106" s="77">
        <f t="shared" si="58"/>
        <v>0</v>
      </c>
      <c r="K106" s="77">
        <f t="shared" si="58"/>
        <v>0</v>
      </c>
      <c r="L106" s="77">
        <f t="shared" si="58"/>
        <v>0</v>
      </c>
      <c r="M106" s="36">
        <f t="shared" ref="M106:T106" si="59">SUM(M102*M105)</f>
        <v>0</v>
      </c>
      <c r="N106" s="36">
        <f t="shared" si="59"/>
        <v>0</v>
      </c>
      <c r="O106" s="36">
        <f t="shared" si="59"/>
        <v>0</v>
      </c>
      <c r="P106" s="36">
        <f t="shared" si="59"/>
        <v>0</v>
      </c>
      <c r="Q106" s="77">
        <f t="shared" si="59"/>
        <v>0</v>
      </c>
      <c r="R106" s="36">
        <f t="shared" si="59"/>
        <v>0</v>
      </c>
      <c r="S106" s="36">
        <f t="shared" si="59"/>
        <v>0</v>
      </c>
      <c r="T106" s="36">
        <f t="shared" si="59"/>
        <v>0</v>
      </c>
      <c r="U106" s="50">
        <f>SUM(F106:T106)</f>
        <v>0</v>
      </c>
      <c r="V106" s="51" t="e">
        <f>SUM(U106/U102)</f>
        <v>#DIV/0!</v>
      </c>
      <c r="W106" s="102"/>
      <c r="X106" s="102"/>
      <c r="Y106" s="129"/>
    </row>
    <row r="107" spans="2:25" ht="20.25" thickTop="1" thickBot="1" x14ac:dyDescent="0.25">
      <c r="B107" s="160">
        <v>-21</v>
      </c>
      <c r="C107" s="164"/>
      <c r="D107" s="101"/>
      <c r="E107" s="37" t="s">
        <v>5</v>
      </c>
      <c r="F107" s="82">
        <f>IF(IF(F110=0,0,3),3,0)</f>
        <v>0</v>
      </c>
      <c r="G107" s="82">
        <f>IF(IF(G110=0,0,4),4,0)</f>
        <v>0</v>
      </c>
      <c r="H107" s="83">
        <f>IF(IF(H110=0,0,2),2,0)</f>
        <v>0</v>
      </c>
      <c r="I107" s="82">
        <f>IF(IF(I110=0,0,4),4,0)</f>
        <v>0</v>
      </c>
      <c r="J107" s="83">
        <f>IF(IF(J110=0,0,2),2,0)</f>
        <v>0</v>
      </c>
      <c r="K107" s="82">
        <f>IF(IF(K110=0,0,3),3,0)</f>
        <v>0</v>
      </c>
      <c r="L107" s="82">
        <f>IF(IF(L110=0,0,3),3,0)</f>
        <v>0</v>
      </c>
      <c r="M107" s="82">
        <f>IF(IF(M110=0,0,3),3,0)</f>
        <v>0</v>
      </c>
      <c r="N107" s="82">
        <f>IF(IF(N110=0,0,3),3,0)</f>
        <v>0</v>
      </c>
      <c r="O107" s="82">
        <f>IF(IF(O110=0,0,2),2,0)</f>
        <v>0</v>
      </c>
      <c r="P107" s="82">
        <f>IF(IF(P110=0,0,2),2,0)</f>
        <v>0</v>
      </c>
      <c r="Q107" s="82">
        <f>IF(IF(Q110=0,0,3),3,0)</f>
        <v>0</v>
      </c>
      <c r="R107" s="82">
        <f>IF(IF(R110=0,0,3),3,0)</f>
        <v>0</v>
      </c>
      <c r="S107" s="82">
        <f>IF(IF(N110=0,0,3),3,0)</f>
        <v>0</v>
      </c>
      <c r="T107" s="83">
        <f>IF(IF(N110=0,0,3),3,0)</f>
        <v>0</v>
      </c>
      <c r="U107" s="82">
        <f>SUM(F107:T107)</f>
        <v>0</v>
      </c>
      <c r="V107" s="84"/>
      <c r="W107" s="112"/>
      <c r="X107" s="112"/>
      <c r="Y107" s="141"/>
    </row>
    <row r="108" spans="2:25" ht="19.5" thickTop="1" thickBot="1" x14ac:dyDescent="0.25">
      <c r="B108" s="158"/>
      <c r="C108" s="107"/>
      <c r="D108" s="101"/>
      <c r="E108" s="40" t="s">
        <v>216</v>
      </c>
      <c r="F108" s="75"/>
      <c r="G108" s="75"/>
      <c r="H108" s="75"/>
      <c r="I108" s="79"/>
      <c r="J108" s="75"/>
      <c r="K108" s="79"/>
      <c r="L108" s="79"/>
      <c r="M108" s="41">
        <v>0</v>
      </c>
      <c r="N108" s="41">
        <v>0</v>
      </c>
      <c r="O108" s="41">
        <v>0</v>
      </c>
      <c r="P108" s="41">
        <v>0</v>
      </c>
      <c r="Q108" s="75">
        <v>0</v>
      </c>
      <c r="R108" s="41">
        <v>0</v>
      </c>
      <c r="S108" s="41">
        <v>0</v>
      </c>
      <c r="T108" s="41">
        <v>0</v>
      </c>
      <c r="U108" s="42"/>
      <c r="V108" s="43"/>
      <c r="W108" s="101"/>
      <c r="X108" s="101"/>
      <c r="Y108" s="128"/>
    </row>
    <row r="109" spans="2:25" ht="19.5" thickTop="1" thickBot="1" x14ac:dyDescent="0.25">
      <c r="B109" s="158"/>
      <c r="C109" s="107"/>
      <c r="D109" s="101"/>
      <c r="E109" s="44" t="s">
        <v>3</v>
      </c>
      <c r="F109" s="74"/>
      <c r="G109" s="74"/>
      <c r="H109" s="74"/>
      <c r="I109" s="74"/>
      <c r="J109" s="74"/>
      <c r="K109" s="74"/>
      <c r="L109" s="74"/>
      <c r="M109" s="45">
        <v>0</v>
      </c>
      <c r="N109" s="45">
        <v>0</v>
      </c>
      <c r="O109" s="45">
        <v>0</v>
      </c>
      <c r="P109" s="45">
        <v>0</v>
      </c>
      <c r="Q109" s="74">
        <v>0</v>
      </c>
      <c r="R109" s="45">
        <v>0</v>
      </c>
      <c r="S109" s="45">
        <v>0</v>
      </c>
      <c r="T109" s="45">
        <v>0</v>
      </c>
      <c r="U109" s="46"/>
      <c r="V109" s="47"/>
      <c r="W109" s="101"/>
      <c r="X109" s="101"/>
      <c r="Y109" s="128"/>
    </row>
    <row r="110" spans="2:25" ht="19.5" thickTop="1" thickBot="1" x14ac:dyDescent="0.25">
      <c r="B110" s="158"/>
      <c r="C110" s="107"/>
      <c r="D110" s="101"/>
      <c r="E110" s="48" t="s">
        <v>4</v>
      </c>
      <c r="F110" s="74">
        <f t="shared" ref="F110:T110" si="60">IF(F109&lt;30,F108,F108+F109)</f>
        <v>0</v>
      </c>
      <c r="G110" s="74">
        <f t="shared" si="60"/>
        <v>0</v>
      </c>
      <c r="H110" s="74">
        <f t="shared" si="60"/>
        <v>0</v>
      </c>
      <c r="I110" s="74">
        <f t="shared" si="60"/>
        <v>0</v>
      </c>
      <c r="J110" s="74">
        <f t="shared" si="60"/>
        <v>0</v>
      </c>
      <c r="K110" s="74">
        <f t="shared" si="60"/>
        <v>0</v>
      </c>
      <c r="L110" s="74">
        <f t="shared" si="60"/>
        <v>0</v>
      </c>
      <c r="M110" s="45">
        <f t="shared" si="60"/>
        <v>0</v>
      </c>
      <c r="N110" s="45">
        <f t="shared" si="60"/>
        <v>0</v>
      </c>
      <c r="O110" s="45">
        <f t="shared" si="60"/>
        <v>0</v>
      </c>
      <c r="P110" s="45">
        <f t="shared" si="60"/>
        <v>0</v>
      </c>
      <c r="Q110" s="74">
        <f t="shared" si="60"/>
        <v>0</v>
      </c>
      <c r="R110" s="45">
        <f t="shared" si="60"/>
        <v>0</v>
      </c>
      <c r="S110" s="45">
        <f t="shared" si="60"/>
        <v>0</v>
      </c>
      <c r="T110" s="45">
        <f t="shared" si="60"/>
        <v>0</v>
      </c>
      <c r="U110" s="46"/>
      <c r="V110" s="47"/>
      <c r="W110" s="101"/>
      <c r="X110" s="101"/>
      <c r="Y110" s="128"/>
    </row>
    <row r="111" spans="2:25" ht="37.5" thickTop="1" thickBot="1" x14ac:dyDescent="0.25">
      <c r="B111" s="166"/>
      <c r="C111" s="163"/>
      <c r="D111" s="102"/>
      <c r="E111" s="52" t="s">
        <v>6</v>
      </c>
      <c r="F111" s="76">
        <f t="shared" ref="F111:L111" si="61">SUM(F107*F110)</f>
        <v>0</v>
      </c>
      <c r="G111" s="76">
        <f t="shared" si="61"/>
        <v>0</v>
      </c>
      <c r="H111" s="76">
        <f t="shared" si="61"/>
        <v>0</v>
      </c>
      <c r="I111" s="76">
        <f t="shared" si="61"/>
        <v>0</v>
      </c>
      <c r="J111" s="76">
        <f t="shared" si="61"/>
        <v>0</v>
      </c>
      <c r="K111" s="76">
        <f t="shared" si="61"/>
        <v>0</v>
      </c>
      <c r="L111" s="76">
        <f t="shared" si="61"/>
        <v>0</v>
      </c>
      <c r="M111" s="53">
        <f t="shared" ref="M111:T111" si="62">SUM(M107*M110)</f>
        <v>0</v>
      </c>
      <c r="N111" s="53">
        <f t="shared" si="62"/>
        <v>0</v>
      </c>
      <c r="O111" s="53">
        <f t="shared" si="62"/>
        <v>0</v>
      </c>
      <c r="P111" s="53">
        <f t="shared" si="62"/>
        <v>0</v>
      </c>
      <c r="Q111" s="76">
        <f t="shared" si="62"/>
        <v>0</v>
      </c>
      <c r="R111" s="53">
        <f t="shared" si="62"/>
        <v>0</v>
      </c>
      <c r="S111" s="53">
        <f t="shared" si="62"/>
        <v>0</v>
      </c>
      <c r="T111" s="53">
        <f t="shared" si="62"/>
        <v>0</v>
      </c>
      <c r="U111" s="54">
        <f>SUM(F111:T111)</f>
        <v>0</v>
      </c>
      <c r="V111" s="81" t="e">
        <f>SUM(U111/U107)</f>
        <v>#DIV/0!</v>
      </c>
      <c r="W111" s="102"/>
      <c r="X111" s="102"/>
      <c r="Y111" s="129"/>
    </row>
    <row r="112" spans="2:25" ht="20.25" thickTop="1" thickBot="1" x14ac:dyDescent="0.35">
      <c r="B112" s="157">
        <v>-22</v>
      </c>
      <c r="C112" s="164"/>
      <c r="D112" s="101"/>
      <c r="E112" s="9" t="s">
        <v>5</v>
      </c>
      <c r="F112" s="65">
        <f>IF(IF(F115=0,0,3),3,0)</f>
        <v>0</v>
      </c>
      <c r="G112" s="65">
        <f>IF(IF(G115=0,0,4),4,0)</f>
        <v>0</v>
      </c>
      <c r="H112" s="64">
        <f>IF(IF(H115=0,0,2),2,0)</f>
        <v>0</v>
      </c>
      <c r="I112" s="65">
        <f>IF(IF(I115=0,0,4),4,0)</f>
        <v>0</v>
      </c>
      <c r="J112" s="64">
        <f>IF(IF(J115=0,0,2),2,0)</f>
        <v>0</v>
      </c>
      <c r="K112" s="65">
        <f>IF(IF(K115=0,0,3),3,0)</f>
        <v>0</v>
      </c>
      <c r="L112" s="65">
        <f>IF(IF(L115=0,0,3),3,0)</f>
        <v>0</v>
      </c>
      <c r="M112" s="65">
        <f>IF(IF(M115=0,0,3),3,0)</f>
        <v>0</v>
      </c>
      <c r="N112" s="65">
        <f>IF(IF(N115=0,0,3),3,0)</f>
        <v>0</v>
      </c>
      <c r="O112" s="65">
        <f>IF(IF(O115=0,0,2),2,0)</f>
        <v>0</v>
      </c>
      <c r="P112" s="65">
        <f>IF(IF(P115=0,0,2),2,0)</f>
        <v>0</v>
      </c>
      <c r="Q112" s="65">
        <f>IF(IF(Q115=0,0,3),3,0)</f>
        <v>0</v>
      </c>
      <c r="R112" s="65">
        <f>IF(IF(R115=0,0,3),3,0)</f>
        <v>0</v>
      </c>
      <c r="S112" s="65">
        <f>IF(IF(N115=0,0,3),3,0)</f>
        <v>0</v>
      </c>
      <c r="T112" s="64">
        <f>IF(IF(N115=0,0,3),3,0)</f>
        <v>0</v>
      </c>
      <c r="U112" s="65">
        <f>SUM(F112:T112)</f>
        <v>0</v>
      </c>
      <c r="V112" s="64"/>
      <c r="W112" s="101"/>
      <c r="X112" s="101"/>
      <c r="Y112" s="141"/>
    </row>
    <row r="113" spans="2:25" ht="19.5" thickTop="1" thickBot="1" x14ac:dyDescent="0.3">
      <c r="B113" s="158"/>
      <c r="C113" s="107"/>
      <c r="D113" s="101"/>
      <c r="E113" s="29" t="s">
        <v>216</v>
      </c>
      <c r="F113" s="75"/>
      <c r="G113" s="75"/>
      <c r="H113" s="75"/>
      <c r="I113" s="79"/>
      <c r="J113" s="75"/>
      <c r="K113" s="79"/>
      <c r="L113" s="79"/>
      <c r="M113" s="41">
        <v>0</v>
      </c>
      <c r="N113" s="41">
        <v>0</v>
      </c>
      <c r="O113" s="41">
        <v>0</v>
      </c>
      <c r="P113" s="41">
        <v>0</v>
      </c>
      <c r="Q113" s="75">
        <v>0</v>
      </c>
      <c r="R113" s="41">
        <v>0</v>
      </c>
      <c r="S113" s="41">
        <v>0</v>
      </c>
      <c r="T113" s="41">
        <v>0</v>
      </c>
      <c r="U113" s="42"/>
      <c r="V113" s="43"/>
      <c r="W113" s="101"/>
      <c r="X113" s="101"/>
      <c r="Y113" s="128"/>
    </row>
    <row r="114" spans="2:25" ht="19.5" thickTop="1" thickBot="1" x14ac:dyDescent="0.3">
      <c r="B114" s="158"/>
      <c r="C114" s="107"/>
      <c r="D114" s="101"/>
      <c r="E114" s="30" t="s">
        <v>3</v>
      </c>
      <c r="F114" s="74"/>
      <c r="G114" s="74"/>
      <c r="H114" s="74"/>
      <c r="I114" s="74"/>
      <c r="J114" s="74"/>
      <c r="K114" s="74"/>
      <c r="L114" s="74"/>
      <c r="M114" s="45">
        <v>0</v>
      </c>
      <c r="N114" s="45">
        <v>0</v>
      </c>
      <c r="O114" s="45">
        <v>0</v>
      </c>
      <c r="P114" s="45">
        <v>0</v>
      </c>
      <c r="Q114" s="74">
        <v>0</v>
      </c>
      <c r="R114" s="45">
        <v>0</v>
      </c>
      <c r="S114" s="45">
        <v>0</v>
      </c>
      <c r="T114" s="45">
        <v>0</v>
      </c>
      <c r="U114" s="46"/>
      <c r="V114" s="47"/>
      <c r="W114" s="101"/>
      <c r="X114" s="101"/>
      <c r="Y114" s="128"/>
    </row>
    <row r="115" spans="2:25" ht="19.5" thickTop="1" thickBot="1" x14ac:dyDescent="0.3">
      <c r="B115" s="158"/>
      <c r="C115" s="107"/>
      <c r="D115" s="101"/>
      <c r="E115" s="31" t="s">
        <v>4</v>
      </c>
      <c r="F115" s="74">
        <f t="shared" ref="F115:T115" si="63">IF(F114&lt;30,F113,F113+F114)</f>
        <v>0</v>
      </c>
      <c r="G115" s="74">
        <f t="shared" si="63"/>
        <v>0</v>
      </c>
      <c r="H115" s="74">
        <f t="shared" si="63"/>
        <v>0</v>
      </c>
      <c r="I115" s="74">
        <f t="shared" si="63"/>
        <v>0</v>
      </c>
      <c r="J115" s="74">
        <f t="shared" si="63"/>
        <v>0</v>
      </c>
      <c r="K115" s="74">
        <f t="shared" si="63"/>
        <v>0</v>
      </c>
      <c r="L115" s="74">
        <f t="shared" si="63"/>
        <v>0</v>
      </c>
      <c r="M115" s="45">
        <f t="shared" si="63"/>
        <v>0</v>
      </c>
      <c r="N115" s="45">
        <f t="shared" si="63"/>
        <v>0</v>
      </c>
      <c r="O115" s="45">
        <f t="shared" si="63"/>
        <v>0</v>
      </c>
      <c r="P115" s="45">
        <f t="shared" si="63"/>
        <v>0</v>
      </c>
      <c r="Q115" s="74">
        <f t="shared" si="63"/>
        <v>0</v>
      </c>
      <c r="R115" s="45">
        <f t="shared" si="63"/>
        <v>0</v>
      </c>
      <c r="S115" s="45">
        <f t="shared" si="63"/>
        <v>0</v>
      </c>
      <c r="T115" s="45">
        <f t="shared" si="63"/>
        <v>0</v>
      </c>
      <c r="U115" s="46"/>
      <c r="V115" s="47"/>
      <c r="W115" s="101"/>
      <c r="X115" s="101"/>
      <c r="Y115" s="128"/>
    </row>
    <row r="116" spans="2:25" ht="37.5" thickTop="1" thickBot="1" x14ac:dyDescent="0.3">
      <c r="B116" s="159"/>
      <c r="C116" s="163"/>
      <c r="D116" s="102"/>
      <c r="E116" s="32" t="s">
        <v>6</v>
      </c>
      <c r="F116" s="77">
        <f t="shared" ref="F116:L116" si="64">SUM(F112*F115)</f>
        <v>0</v>
      </c>
      <c r="G116" s="77">
        <f t="shared" si="64"/>
        <v>0</v>
      </c>
      <c r="H116" s="77">
        <f t="shared" si="64"/>
        <v>0</v>
      </c>
      <c r="I116" s="77">
        <f t="shared" si="64"/>
        <v>0</v>
      </c>
      <c r="J116" s="77">
        <f t="shared" si="64"/>
        <v>0</v>
      </c>
      <c r="K116" s="77">
        <f t="shared" si="64"/>
        <v>0</v>
      </c>
      <c r="L116" s="77">
        <f t="shared" si="64"/>
        <v>0</v>
      </c>
      <c r="M116" s="36">
        <f t="shared" ref="M116:T116" si="65">SUM(M112*M115)</f>
        <v>0</v>
      </c>
      <c r="N116" s="36">
        <f t="shared" si="65"/>
        <v>0</v>
      </c>
      <c r="O116" s="36">
        <f t="shared" si="65"/>
        <v>0</v>
      </c>
      <c r="P116" s="36">
        <f t="shared" si="65"/>
        <v>0</v>
      </c>
      <c r="Q116" s="77">
        <f t="shared" si="65"/>
        <v>0</v>
      </c>
      <c r="R116" s="36">
        <f t="shared" si="65"/>
        <v>0</v>
      </c>
      <c r="S116" s="36">
        <f t="shared" si="65"/>
        <v>0</v>
      </c>
      <c r="T116" s="36">
        <f t="shared" si="65"/>
        <v>0</v>
      </c>
      <c r="U116" s="50">
        <f>SUM(F116:T116)</f>
        <v>0</v>
      </c>
      <c r="V116" s="51" t="e">
        <f>SUM(U116/U112)</f>
        <v>#DIV/0!</v>
      </c>
      <c r="W116" s="102"/>
      <c r="X116" s="102"/>
      <c r="Y116" s="128"/>
    </row>
    <row r="117" spans="2:25" ht="20.25" thickTop="1" thickBot="1" x14ac:dyDescent="0.25">
      <c r="B117" s="160">
        <v>-23</v>
      </c>
      <c r="C117" s="164"/>
      <c r="D117" s="101"/>
      <c r="E117" s="37" t="s">
        <v>5</v>
      </c>
      <c r="F117" s="38">
        <f>IF(IF(F120=0,0,3),3,0)</f>
        <v>0</v>
      </c>
      <c r="G117" s="38">
        <f>IF(IF(G120=0,0,4),4,0)</f>
        <v>0</v>
      </c>
      <c r="H117" s="37">
        <f>IF(IF(H120=0,0,2),2,0)</f>
        <v>0</v>
      </c>
      <c r="I117" s="38">
        <f>IF(IF(I120=0,0,4),4,0)</f>
        <v>0</v>
      </c>
      <c r="J117" s="37">
        <f>IF(IF(J120=0,0,2),2,0)</f>
        <v>0</v>
      </c>
      <c r="K117" s="38">
        <f>IF(IF(K120=0,0,3),3,0)</f>
        <v>0</v>
      </c>
      <c r="L117" s="38">
        <f>IF(IF(L120=0,0,3),3,0)</f>
        <v>0</v>
      </c>
      <c r="M117" s="38">
        <f>IF(IF(M120=0,0,3),3,0)</f>
        <v>0</v>
      </c>
      <c r="N117" s="38">
        <f>IF(IF(N120=0,0,3),3,0)</f>
        <v>0</v>
      </c>
      <c r="O117" s="38">
        <f>IF(IF(O120=0,0,2),2,0)</f>
        <v>0</v>
      </c>
      <c r="P117" s="38">
        <f>IF(IF(P120=0,0,2),2,0)</f>
        <v>0</v>
      </c>
      <c r="Q117" s="38">
        <f>IF(IF(Q120=0,0,3),3,0)</f>
        <v>0</v>
      </c>
      <c r="R117" s="38">
        <f>IF(IF(R120=0,0,3),3,0)</f>
        <v>0</v>
      </c>
      <c r="S117" s="38">
        <f>IF(IF(N120=0,0,3),3,0)</f>
        <v>0</v>
      </c>
      <c r="T117" s="37">
        <f>IF(IF(N120=0,0,3),3,0)</f>
        <v>0</v>
      </c>
      <c r="U117" s="38">
        <f>SUM(F117:T117)</f>
        <v>0</v>
      </c>
      <c r="V117" s="39"/>
      <c r="W117" s="101"/>
      <c r="X117" s="101"/>
      <c r="Y117" s="128"/>
    </row>
    <row r="118" spans="2:25" ht="19.5" thickTop="1" thickBot="1" x14ac:dyDescent="0.25">
      <c r="B118" s="158"/>
      <c r="C118" s="107"/>
      <c r="D118" s="101"/>
      <c r="E118" s="40" t="s">
        <v>216</v>
      </c>
      <c r="F118" s="75"/>
      <c r="G118" s="75"/>
      <c r="H118" s="75"/>
      <c r="I118" s="79"/>
      <c r="J118" s="75"/>
      <c r="K118" s="79"/>
      <c r="L118" s="79"/>
      <c r="M118" s="41">
        <v>0</v>
      </c>
      <c r="N118" s="41">
        <v>0</v>
      </c>
      <c r="O118" s="41">
        <v>0</v>
      </c>
      <c r="P118" s="41">
        <v>0</v>
      </c>
      <c r="Q118" s="75">
        <v>0</v>
      </c>
      <c r="R118" s="41">
        <v>0</v>
      </c>
      <c r="S118" s="41">
        <v>0</v>
      </c>
      <c r="T118" s="41">
        <v>0</v>
      </c>
      <c r="U118" s="42"/>
      <c r="V118" s="43"/>
      <c r="W118" s="101"/>
      <c r="X118" s="101"/>
      <c r="Y118" s="128"/>
    </row>
    <row r="119" spans="2:25" ht="19.5" thickTop="1" thickBot="1" x14ac:dyDescent="0.25">
      <c r="B119" s="158"/>
      <c r="C119" s="107"/>
      <c r="D119" s="101"/>
      <c r="E119" s="44" t="s">
        <v>3</v>
      </c>
      <c r="F119" s="74"/>
      <c r="G119" s="74"/>
      <c r="H119" s="74"/>
      <c r="I119" s="74"/>
      <c r="J119" s="74"/>
      <c r="K119" s="74"/>
      <c r="L119" s="74"/>
      <c r="M119" s="45">
        <v>0</v>
      </c>
      <c r="N119" s="45">
        <v>0</v>
      </c>
      <c r="O119" s="45">
        <v>0</v>
      </c>
      <c r="P119" s="45">
        <v>0</v>
      </c>
      <c r="Q119" s="74">
        <v>0</v>
      </c>
      <c r="R119" s="45">
        <v>0</v>
      </c>
      <c r="S119" s="45">
        <v>0</v>
      </c>
      <c r="T119" s="45">
        <v>0</v>
      </c>
      <c r="U119" s="46"/>
      <c r="V119" s="47"/>
      <c r="W119" s="101"/>
      <c r="X119" s="101"/>
      <c r="Y119" s="128"/>
    </row>
    <row r="120" spans="2:25" ht="19.5" thickTop="1" thickBot="1" x14ac:dyDescent="0.25">
      <c r="B120" s="158"/>
      <c r="C120" s="107"/>
      <c r="D120" s="101"/>
      <c r="E120" s="48" t="s">
        <v>4</v>
      </c>
      <c r="F120" s="74">
        <f t="shared" ref="F120:T120" si="66">IF(F119&lt;30,F118,F118+F119)</f>
        <v>0</v>
      </c>
      <c r="G120" s="74">
        <f t="shared" si="66"/>
        <v>0</v>
      </c>
      <c r="H120" s="74">
        <f t="shared" si="66"/>
        <v>0</v>
      </c>
      <c r="I120" s="74">
        <f t="shared" si="66"/>
        <v>0</v>
      </c>
      <c r="J120" s="74">
        <f t="shared" si="66"/>
        <v>0</v>
      </c>
      <c r="K120" s="74">
        <f t="shared" si="66"/>
        <v>0</v>
      </c>
      <c r="L120" s="74">
        <f t="shared" si="66"/>
        <v>0</v>
      </c>
      <c r="M120" s="45">
        <f t="shared" si="66"/>
        <v>0</v>
      </c>
      <c r="N120" s="45">
        <f t="shared" si="66"/>
        <v>0</v>
      </c>
      <c r="O120" s="45">
        <f t="shared" si="66"/>
        <v>0</v>
      </c>
      <c r="P120" s="45">
        <f t="shared" si="66"/>
        <v>0</v>
      </c>
      <c r="Q120" s="74">
        <f t="shared" si="66"/>
        <v>0</v>
      </c>
      <c r="R120" s="45">
        <f t="shared" si="66"/>
        <v>0</v>
      </c>
      <c r="S120" s="45">
        <f t="shared" si="66"/>
        <v>0</v>
      </c>
      <c r="T120" s="45">
        <f t="shared" si="66"/>
        <v>0</v>
      </c>
      <c r="U120" s="46"/>
      <c r="V120" s="47"/>
      <c r="W120" s="101"/>
      <c r="X120" s="101"/>
      <c r="Y120" s="128"/>
    </row>
    <row r="121" spans="2:25" ht="37.5" thickTop="1" thickBot="1" x14ac:dyDescent="0.25">
      <c r="B121" s="158"/>
      <c r="C121" s="163"/>
      <c r="D121" s="102"/>
      <c r="E121" s="66" t="s">
        <v>6</v>
      </c>
      <c r="F121" s="77">
        <f t="shared" ref="F121:L121" si="67">SUM(F117*F120)</f>
        <v>0</v>
      </c>
      <c r="G121" s="77">
        <f t="shared" si="67"/>
        <v>0</v>
      </c>
      <c r="H121" s="77">
        <f t="shared" si="67"/>
        <v>0</v>
      </c>
      <c r="I121" s="77">
        <f t="shared" si="67"/>
        <v>0</v>
      </c>
      <c r="J121" s="77">
        <f t="shared" si="67"/>
        <v>0</v>
      </c>
      <c r="K121" s="77">
        <f t="shared" si="67"/>
        <v>0</v>
      </c>
      <c r="L121" s="77">
        <f t="shared" si="67"/>
        <v>0</v>
      </c>
      <c r="M121" s="36">
        <f t="shared" ref="M121:T121" si="68">SUM(M117*M120)</f>
        <v>0</v>
      </c>
      <c r="N121" s="36">
        <f t="shared" si="68"/>
        <v>0</v>
      </c>
      <c r="O121" s="36">
        <f t="shared" si="68"/>
        <v>0</v>
      </c>
      <c r="P121" s="36">
        <f t="shared" si="68"/>
        <v>0</v>
      </c>
      <c r="Q121" s="77">
        <f t="shared" si="68"/>
        <v>0</v>
      </c>
      <c r="R121" s="36">
        <f t="shared" si="68"/>
        <v>0</v>
      </c>
      <c r="S121" s="36">
        <f t="shared" si="68"/>
        <v>0</v>
      </c>
      <c r="T121" s="36">
        <f t="shared" si="68"/>
        <v>0</v>
      </c>
      <c r="U121" s="50">
        <f>SUM(F121:T121)</f>
        <v>0</v>
      </c>
      <c r="V121" s="51" t="e">
        <f>SUM(U121/U117)</f>
        <v>#DIV/0!</v>
      </c>
      <c r="W121" s="102"/>
      <c r="X121" s="102"/>
      <c r="Y121" s="128"/>
    </row>
    <row r="122" spans="2:25" ht="20.25" thickTop="1" thickBot="1" x14ac:dyDescent="0.25">
      <c r="B122" s="158">
        <v>-24</v>
      </c>
      <c r="C122" s="164"/>
      <c r="D122" s="101"/>
      <c r="E122" s="37" t="s">
        <v>5</v>
      </c>
      <c r="F122" s="38">
        <f>IF(IF(F125=0,0,3),3,0)</f>
        <v>0</v>
      </c>
      <c r="G122" s="38">
        <f>IF(IF(G125=0,0,4),4,0)</f>
        <v>0</v>
      </c>
      <c r="H122" s="37">
        <f>IF(IF(H125=0,0,2),2,0)</f>
        <v>0</v>
      </c>
      <c r="I122" s="38">
        <f>IF(IF(I125=0,0,4),4,0)</f>
        <v>0</v>
      </c>
      <c r="J122" s="37">
        <f>IF(IF(J125=0,0,2),2,0)</f>
        <v>0</v>
      </c>
      <c r="K122" s="38">
        <f>IF(IF(K125=0,0,3),3,0)</f>
        <v>0</v>
      </c>
      <c r="L122" s="38">
        <f>IF(IF(L125=0,0,3),3,0)</f>
        <v>0</v>
      </c>
      <c r="M122" s="38">
        <f>IF(IF(M125=0,0,3),3,0)</f>
        <v>0</v>
      </c>
      <c r="N122" s="38">
        <f>IF(IF(N125=0,0,3),3,0)</f>
        <v>0</v>
      </c>
      <c r="O122" s="38">
        <f>IF(IF(O125=0,0,2),2,0)</f>
        <v>0</v>
      </c>
      <c r="P122" s="38">
        <f>IF(IF(P125=0,0,2),2,0)</f>
        <v>0</v>
      </c>
      <c r="Q122" s="38">
        <f>IF(IF(Q125=0,0,3),3,0)</f>
        <v>0</v>
      </c>
      <c r="R122" s="38">
        <f>IF(IF(R125=0,0,3),3,0)</f>
        <v>0</v>
      </c>
      <c r="S122" s="38">
        <f>IF(IF(N125=0,0,3),3,0)</f>
        <v>0</v>
      </c>
      <c r="T122" s="37">
        <f>IF(IF(N125=0,0,3),3,0)</f>
        <v>0</v>
      </c>
      <c r="U122" s="38">
        <f>SUM(F122:T122)</f>
        <v>0</v>
      </c>
      <c r="V122" s="39"/>
      <c r="W122" s="101"/>
      <c r="X122" s="101"/>
      <c r="Y122" s="128"/>
    </row>
    <row r="123" spans="2:25" ht="19.5" thickTop="1" thickBot="1" x14ac:dyDescent="0.25">
      <c r="B123" s="158"/>
      <c r="C123" s="107"/>
      <c r="D123" s="101"/>
      <c r="E123" s="40" t="s">
        <v>216</v>
      </c>
      <c r="F123" s="75"/>
      <c r="G123" s="75"/>
      <c r="H123" s="75"/>
      <c r="I123" s="79"/>
      <c r="J123" s="75"/>
      <c r="K123" s="79"/>
      <c r="L123" s="79"/>
      <c r="M123" s="41">
        <v>0</v>
      </c>
      <c r="N123" s="41">
        <v>0</v>
      </c>
      <c r="O123" s="41">
        <v>0</v>
      </c>
      <c r="P123" s="41">
        <v>0</v>
      </c>
      <c r="Q123" s="75">
        <v>0</v>
      </c>
      <c r="R123" s="41">
        <v>0</v>
      </c>
      <c r="S123" s="41">
        <v>0</v>
      </c>
      <c r="T123" s="41">
        <v>0</v>
      </c>
      <c r="U123" s="42"/>
      <c r="V123" s="43"/>
      <c r="W123" s="101"/>
      <c r="X123" s="101"/>
      <c r="Y123" s="128"/>
    </row>
    <row r="124" spans="2:25" ht="19.5" thickTop="1" thickBot="1" x14ac:dyDescent="0.25">
      <c r="B124" s="158"/>
      <c r="C124" s="107"/>
      <c r="D124" s="101"/>
      <c r="E124" s="44" t="s">
        <v>3</v>
      </c>
      <c r="F124" s="74"/>
      <c r="G124" s="74"/>
      <c r="H124" s="74"/>
      <c r="I124" s="74"/>
      <c r="J124" s="74"/>
      <c r="K124" s="74"/>
      <c r="L124" s="74"/>
      <c r="M124" s="45">
        <v>0</v>
      </c>
      <c r="N124" s="45">
        <v>0</v>
      </c>
      <c r="O124" s="45">
        <v>0</v>
      </c>
      <c r="P124" s="45">
        <v>0</v>
      </c>
      <c r="Q124" s="74">
        <v>0</v>
      </c>
      <c r="R124" s="45">
        <v>0</v>
      </c>
      <c r="S124" s="45">
        <v>0</v>
      </c>
      <c r="T124" s="45">
        <v>0</v>
      </c>
      <c r="U124" s="46"/>
      <c r="V124" s="47"/>
      <c r="W124" s="101"/>
      <c r="X124" s="101"/>
      <c r="Y124" s="128"/>
    </row>
    <row r="125" spans="2:25" ht="19.5" thickTop="1" thickBot="1" x14ac:dyDescent="0.25">
      <c r="B125" s="158"/>
      <c r="C125" s="107"/>
      <c r="D125" s="101"/>
      <c r="E125" s="48" t="s">
        <v>4</v>
      </c>
      <c r="F125" s="74">
        <f t="shared" ref="F125:T125" si="69">IF(F124&lt;30,F123,F123+F124)</f>
        <v>0</v>
      </c>
      <c r="G125" s="74">
        <f t="shared" si="69"/>
        <v>0</v>
      </c>
      <c r="H125" s="74">
        <f t="shared" si="69"/>
        <v>0</v>
      </c>
      <c r="I125" s="74">
        <f t="shared" si="69"/>
        <v>0</v>
      </c>
      <c r="J125" s="74">
        <f t="shared" si="69"/>
        <v>0</v>
      </c>
      <c r="K125" s="74">
        <f t="shared" si="69"/>
        <v>0</v>
      </c>
      <c r="L125" s="74">
        <f t="shared" si="69"/>
        <v>0</v>
      </c>
      <c r="M125" s="45">
        <f t="shared" si="69"/>
        <v>0</v>
      </c>
      <c r="N125" s="45">
        <f t="shared" si="69"/>
        <v>0</v>
      </c>
      <c r="O125" s="45">
        <f t="shared" si="69"/>
        <v>0</v>
      </c>
      <c r="P125" s="45">
        <f t="shared" si="69"/>
        <v>0</v>
      </c>
      <c r="Q125" s="74">
        <f t="shared" si="69"/>
        <v>0</v>
      </c>
      <c r="R125" s="45">
        <f t="shared" si="69"/>
        <v>0</v>
      </c>
      <c r="S125" s="45">
        <f t="shared" si="69"/>
        <v>0</v>
      </c>
      <c r="T125" s="45">
        <f t="shared" si="69"/>
        <v>0</v>
      </c>
      <c r="U125" s="46"/>
      <c r="V125" s="47"/>
      <c r="W125" s="101"/>
      <c r="X125" s="101"/>
      <c r="Y125" s="128"/>
    </row>
    <row r="126" spans="2:25" ht="37.5" thickTop="1" thickBot="1" x14ac:dyDescent="0.25">
      <c r="B126" s="161"/>
      <c r="C126" s="163"/>
      <c r="D126" s="102"/>
      <c r="E126" s="49" t="s">
        <v>6</v>
      </c>
      <c r="F126" s="77">
        <f t="shared" ref="F126:L126" si="70">SUM(F122*F125)</f>
        <v>0</v>
      </c>
      <c r="G126" s="77">
        <f t="shared" si="70"/>
        <v>0</v>
      </c>
      <c r="H126" s="77">
        <f t="shared" si="70"/>
        <v>0</v>
      </c>
      <c r="I126" s="77">
        <f t="shared" si="70"/>
        <v>0</v>
      </c>
      <c r="J126" s="77">
        <f t="shared" si="70"/>
        <v>0</v>
      </c>
      <c r="K126" s="77">
        <f t="shared" si="70"/>
        <v>0</v>
      </c>
      <c r="L126" s="77">
        <f t="shared" si="70"/>
        <v>0</v>
      </c>
      <c r="M126" s="36">
        <f t="shared" ref="M126:T126" si="71">SUM(M122*M125)</f>
        <v>0</v>
      </c>
      <c r="N126" s="36">
        <f t="shared" si="71"/>
        <v>0</v>
      </c>
      <c r="O126" s="36">
        <f t="shared" si="71"/>
        <v>0</v>
      </c>
      <c r="P126" s="36">
        <f t="shared" si="71"/>
        <v>0</v>
      </c>
      <c r="Q126" s="77">
        <f t="shared" si="71"/>
        <v>0</v>
      </c>
      <c r="R126" s="36">
        <f t="shared" si="71"/>
        <v>0</v>
      </c>
      <c r="S126" s="36">
        <f t="shared" si="71"/>
        <v>0</v>
      </c>
      <c r="T126" s="36">
        <f t="shared" si="71"/>
        <v>0</v>
      </c>
      <c r="U126" s="50">
        <f>SUM(F126:T126)</f>
        <v>0</v>
      </c>
      <c r="V126" s="51" t="e">
        <f>SUM(U126/U122)</f>
        <v>#DIV/0!</v>
      </c>
      <c r="W126" s="102"/>
      <c r="X126" s="102"/>
      <c r="Y126" s="128"/>
    </row>
    <row r="127" spans="2:25" ht="20.25" thickTop="1" thickBot="1" x14ac:dyDescent="0.25">
      <c r="B127" s="162">
        <v>-25</v>
      </c>
      <c r="C127" s="164"/>
      <c r="D127" s="101"/>
      <c r="E127" s="37" t="s">
        <v>5</v>
      </c>
      <c r="F127" s="38">
        <f>IF(IF(F130=0,0,3),3,0)</f>
        <v>0</v>
      </c>
      <c r="G127" s="38">
        <f>IF(IF(G130=0,0,4),4,0)</f>
        <v>0</v>
      </c>
      <c r="H127" s="37">
        <f>IF(IF(H130=0,0,2),2,0)</f>
        <v>0</v>
      </c>
      <c r="I127" s="38">
        <f>IF(IF(I130=0,0,4),4,0)</f>
        <v>0</v>
      </c>
      <c r="J127" s="37">
        <f>IF(IF(J130=0,0,2),2,0)</f>
        <v>0</v>
      </c>
      <c r="K127" s="38">
        <f>IF(IF(K130=0,0,3),3,0)</f>
        <v>0</v>
      </c>
      <c r="L127" s="38">
        <f>IF(IF(L130=0,0,3),3,0)</f>
        <v>0</v>
      </c>
      <c r="M127" s="38">
        <f>IF(IF(M130=0,0,3),3,0)</f>
        <v>0</v>
      </c>
      <c r="N127" s="38">
        <f>IF(IF(N130=0,0,3),3,0)</f>
        <v>0</v>
      </c>
      <c r="O127" s="38">
        <f>IF(IF(O130=0,0,2),2,0)</f>
        <v>0</v>
      </c>
      <c r="P127" s="38">
        <f>IF(IF(P130=0,0,2),2,0)</f>
        <v>0</v>
      </c>
      <c r="Q127" s="38">
        <f>IF(IF(Q130=0,0,3),3,0)</f>
        <v>0</v>
      </c>
      <c r="R127" s="38">
        <f>IF(IF(R130=0,0,3),3,0)</f>
        <v>0</v>
      </c>
      <c r="S127" s="38">
        <f>IF(IF(N130=0,0,3),3,0)</f>
        <v>0</v>
      </c>
      <c r="T127" s="37">
        <f>IF(IF(N130=0,0,3),3,0)</f>
        <v>0</v>
      </c>
      <c r="U127" s="38">
        <f>SUM(F127:T127)</f>
        <v>0</v>
      </c>
      <c r="V127" s="39"/>
      <c r="W127" s="101"/>
      <c r="X127" s="101"/>
      <c r="Y127" s="128"/>
    </row>
    <row r="128" spans="2:25" ht="19.5" thickTop="1" thickBot="1" x14ac:dyDescent="0.25">
      <c r="B128" s="158"/>
      <c r="C128" s="107"/>
      <c r="D128" s="101"/>
      <c r="E128" s="40" t="s">
        <v>216</v>
      </c>
      <c r="F128" s="75"/>
      <c r="G128" s="75"/>
      <c r="H128" s="75"/>
      <c r="I128" s="79"/>
      <c r="J128" s="75"/>
      <c r="K128" s="79"/>
      <c r="L128" s="79"/>
      <c r="M128" s="41">
        <v>0</v>
      </c>
      <c r="N128" s="41">
        <v>0</v>
      </c>
      <c r="O128" s="41">
        <v>0</v>
      </c>
      <c r="P128" s="41">
        <v>0</v>
      </c>
      <c r="Q128" s="75">
        <v>0</v>
      </c>
      <c r="R128" s="41">
        <v>0</v>
      </c>
      <c r="S128" s="41">
        <v>0</v>
      </c>
      <c r="T128" s="41">
        <v>0</v>
      </c>
      <c r="U128" s="42"/>
      <c r="V128" s="43"/>
      <c r="W128" s="101"/>
      <c r="X128" s="101"/>
      <c r="Y128" s="128"/>
    </row>
    <row r="129" spans="2:25" ht="19.5" thickTop="1" thickBot="1" x14ac:dyDescent="0.25">
      <c r="B129" s="158"/>
      <c r="C129" s="107"/>
      <c r="D129" s="101"/>
      <c r="E129" s="44" t="s">
        <v>3</v>
      </c>
      <c r="F129" s="74"/>
      <c r="G129" s="74"/>
      <c r="H129" s="74"/>
      <c r="I129" s="74"/>
      <c r="J129" s="74"/>
      <c r="K129" s="74"/>
      <c r="L129" s="74"/>
      <c r="M129" s="45">
        <v>0</v>
      </c>
      <c r="N129" s="45">
        <v>0</v>
      </c>
      <c r="O129" s="45">
        <v>0</v>
      </c>
      <c r="P129" s="45">
        <v>0</v>
      </c>
      <c r="Q129" s="74">
        <v>0</v>
      </c>
      <c r="R129" s="45">
        <v>0</v>
      </c>
      <c r="S129" s="45">
        <v>0</v>
      </c>
      <c r="T129" s="45">
        <v>0</v>
      </c>
      <c r="U129" s="46"/>
      <c r="V129" s="47"/>
      <c r="W129" s="101"/>
      <c r="X129" s="101"/>
      <c r="Y129" s="128"/>
    </row>
    <row r="130" spans="2:25" ht="19.5" thickTop="1" thickBot="1" x14ac:dyDescent="0.25">
      <c r="B130" s="158"/>
      <c r="C130" s="107"/>
      <c r="D130" s="101"/>
      <c r="E130" s="48" t="s">
        <v>4</v>
      </c>
      <c r="F130" s="74">
        <f t="shared" ref="F130:T130" si="72">IF(F129&lt;30,F128,F128+F129)</f>
        <v>0</v>
      </c>
      <c r="G130" s="74">
        <f t="shared" si="72"/>
        <v>0</v>
      </c>
      <c r="H130" s="74">
        <f t="shared" si="72"/>
        <v>0</v>
      </c>
      <c r="I130" s="74">
        <f t="shared" si="72"/>
        <v>0</v>
      </c>
      <c r="J130" s="74">
        <f t="shared" si="72"/>
        <v>0</v>
      </c>
      <c r="K130" s="74">
        <f t="shared" si="72"/>
        <v>0</v>
      </c>
      <c r="L130" s="74">
        <f t="shared" si="72"/>
        <v>0</v>
      </c>
      <c r="M130" s="45">
        <f t="shared" si="72"/>
        <v>0</v>
      </c>
      <c r="N130" s="45">
        <f t="shared" si="72"/>
        <v>0</v>
      </c>
      <c r="O130" s="45">
        <f t="shared" si="72"/>
        <v>0</v>
      </c>
      <c r="P130" s="45">
        <f t="shared" si="72"/>
        <v>0</v>
      </c>
      <c r="Q130" s="74">
        <f t="shared" si="72"/>
        <v>0</v>
      </c>
      <c r="R130" s="45">
        <f t="shared" si="72"/>
        <v>0</v>
      </c>
      <c r="S130" s="45">
        <f t="shared" si="72"/>
        <v>0</v>
      </c>
      <c r="T130" s="45">
        <f t="shared" si="72"/>
        <v>0</v>
      </c>
      <c r="U130" s="46"/>
      <c r="V130" s="47"/>
      <c r="W130" s="101"/>
      <c r="X130" s="101"/>
      <c r="Y130" s="128"/>
    </row>
    <row r="131" spans="2:25" ht="37.5" thickTop="1" thickBot="1" x14ac:dyDescent="0.25">
      <c r="B131" s="161"/>
      <c r="C131" s="163"/>
      <c r="D131" s="102"/>
      <c r="E131" s="49" t="s">
        <v>6</v>
      </c>
      <c r="F131" s="77">
        <f t="shared" ref="F131:L131" si="73">SUM(F127*F130)</f>
        <v>0</v>
      </c>
      <c r="G131" s="77">
        <f t="shared" si="73"/>
        <v>0</v>
      </c>
      <c r="H131" s="77">
        <f t="shared" si="73"/>
        <v>0</v>
      </c>
      <c r="I131" s="77">
        <f t="shared" si="73"/>
        <v>0</v>
      </c>
      <c r="J131" s="77">
        <f t="shared" si="73"/>
        <v>0</v>
      </c>
      <c r="K131" s="77">
        <f t="shared" si="73"/>
        <v>0</v>
      </c>
      <c r="L131" s="77">
        <f t="shared" si="73"/>
        <v>0</v>
      </c>
      <c r="M131" s="36">
        <f t="shared" ref="M131:T131" si="74">SUM(M127*M130)</f>
        <v>0</v>
      </c>
      <c r="N131" s="36">
        <f t="shared" si="74"/>
        <v>0</v>
      </c>
      <c r="O131" s="36">
        <f t="shared" si="74"/>
        <v>0</v>
      </c>
      <c r="P131" s="36">
        <f t="shared" si="74"/>
        <v>0</v>
      </c>
      <c r="Q131" s="77">
        <f t="shared" si="74"/>
        <v>0</v>
      </c>
      <c r="R131" s="36">
        <f t="shared" si="74"/>
        <v>0</v>
      </c>
      <c r="S131" s="36">
        <f t="shared" si="74"/>
        <v>0</v>
      </c>
      <c r="T131" s="36">
        <f t="shared" si="74"/>
        <v>0</v>
      </c>
      <c r="U131" s="50">
        <f>SUM(F131:T131)</f>
        <v>0</v>
      </c>
      <c r="V131" s="51" t="e">
        <f>SUM(U131/U127)</f>
        <v>#DIV/0!</v>
      </c>
      <c r="W131" s="102"/>
      <c r="X131" s="102"/>
      <c r="Y131" s="128"/>
    </row>
    <row r="132" spans="2:25" ht="20.25" thickTop="1" thickBot="1" x14ac:dyDescent="0.25">
      <c r="B132" s="162">
        <v>-26</v>
      </c>
      <c r="C132" s="164"/>
      <c r="D132" s="101"/>
      <c r="E132" s="37" t="s">
        <v>5</v>
      </c>
      <c r="F132" s="38">
        <f>IF(IF(F135=0,0,3),3,0)</f>
        <v>0</v>
      </c>
      <c r="G132" s="38">
        <f>IF(IF(G135=0,0,4),4,0)</f>
        <v>0</v>
      </c>
      <c r="H132" s="37">
        <f>IF(IF(H135=0,0,2),2,0)</f>
        <v>0</v>
      </c>
      <c r="I132" s="38">
        <f>IF(IF(I135=0,0,4),4,0)</f>
        <v>0</v>
      </c>
      <c r="J132" s="37">
        <f>IF(IF(J135=0,0,2),2,0)</f>
        <v>0</v>
      </c>
      <c r="K132" s="38">
        <f>IF(IF(K135=0,0,3),3,0)</f>
        <v>0</v>
      </c>
      <c r="L132" s="38">
        <f>IF(IF(L135=0,0,3),3,0)</f>
        <v>0</v>
      </c>
      <c r="M132" s="38">
        <f>IF(IF(M135=0,0,3),3,0)</f>
        <v>0</v>
      </c>
      <c r="N132" s="38">
        <f>IF(IF(N135=0,0,3),3,0)</f>
        <v>0</v>
      </c>
      <c r="O132" s="38">
        <f>IF(IF(O135=0,0,2),2,0)</f>
        <v>0</v>
      </c>
      <c r="P132" s="38">
        <f>IF(IF(P135=0,0,2),2,0)</f>
        <v>0</v>
      </c>
      <c r="Q132" s="38">
        <f>IF(IF(Q135=0,0,3),3,0)</f>
        <v>0</v>
      </c>
      <c r="R132" s="38">
        <f>IF(IF(R135=0,0,3),3,0)</f>
        <v>0</v>
      </c>
      <c r="S132" s="38">
        <f>IF(IF(N135=0,0,3),3,0)</f>
        <v>0</v>
      </c>
      <c r="T132" s="37">
        <f>IF(IF(N135=0,0,3),3,0)</f>
        <v>0</v>
      </c>
      <c r="U132" s="38">
        <f>SUM(F132:T132)</f>
        <v>0</v>
      </c>
      <c r="V132" s="39"/>
      <c r="W132" s="101"/>
      <c r="X132" s="101"/>
      <c r="Y132" s="128"/>
    </row>
    <row r="133" spans="2:25" ht="19.5" thickTop="1" thickBot="1" x14ac:dyDescent="0.25">
      <c r="B133" s="158"/>
      <c r="C133" s="107"/>
      <c r="D133" s="101"/>
      <c r="E133" s="40" t="s">
        <v>216</v>
      </c>
      <c r="F133" s="75"/>
      <c r="G133" s="75"/>
      <c r="H133" s="75"/>
      <c r="I133" s="79"/>
      <c r="J133" s="75"/>
      <c r="K133" s="79"/>
      <c r="L133" s="79"/>
      <c r="M133" s="41">
        <v>0</v>
      </c>
      <c r="N133" s="41">
        <v>0</v>
      </c>
      <c r="O133" s="41">
        <v>0</v>
      </c>
      <c r="P133" s="41">
        <v>0</v>
      </c>
      <c r="Q133" s="75">
        <v>0</v>
      </c>
      <c r="R133" s="41">
        <v>0</v>
      </c>
      <c r="S133" s="41">
        <v>0</v>
      </c>
      <c r="T133" s="41">
        <v>0</v>
      </c>
      <c r="U133" s="42"/>
      <c r="V133" s="43"/>
      <c r="W133" s="101"/>
      <c r="X133" s="101"/>
      <c r="Y133" s="128"/>
    </row>
    <row r="134" spans="2:25" ht="19.5" thickTop="1" thickBot="1" x14ac:dyDescent="0.25">
      <c r="B134" s="158"/>
      <c r="C134" s="107"/>
      <c r="D134" s="101"/>
      <c r="E134" s="44" t="s">
        <v>3</v>
      </c>
      <c r="F134" s="74"/>
      <c r="G134" s="74"/>
      <c r="H134" s="74"/>
      <c r="I134" s="74"/>
      <c r="J134" s="74"/>
      <c r="K134" s="74"/>
      <c r="L134" s="74"/>
      <c r="M134" s="45">
        <v>0</v>
      </c>
      <c r="N134" s="45">
        <v>0</v>
      </c>
      <c r="O134" s="45">
        <v>0</v>
      </c>
      <c r="P134" s="45">
        <v>0</v>
      </c>
      <c r="Q134" s="74">
        <v>0</v>
      </c>
      <c r="R134" s="45">
        <v>0</v>
      </c>
      <c r="S134" s="45">
        <v>0</v>
      </c>
      <c r="T134" s="45">
        <v>0</v>
      </c>
      <c r="U134" s="46"/>
      <c r="V134" s="47"/>
      <c r="W134" s="101"/>
      <c r="X134" s="101"/>
      <c r="Y134" s="128"/>
    </row>
    <row r="135" spans="2:25" ht="19.5" thickTop="1" thickBot="1" x14ac:dyDescent="0.25">
      <c r="B135" s="158"/>
      <c r="C135" s="107"/>
      <c r="D135" s="101"/>
      <c r="E135" s="48" t="s">
        <v>4</v>
      </c>
      <c r="F135" s="74">
        <f t="shared" ref="F135:T135" si="75">IF(F134&lt;30,F133,F133+F134)</f>
        <v>0</v>
      </c>
      <c r="G135" s="74">
        <f t="shared" si="75"/>
        <v>0</v>
      </c>
      <c r="H135" s="74">
        <f t="shared" si="75"/>
        <v>0</v>
      </c>
      <c r="I135" s="74">
        <f t="shared" si="75"/>
        <v>0</v>
      </c>
      <c r="J135" s="74">
        <f t="shared" si="75"/>
        <v>0</v>
      </c>
      <c r="K135" s="74">
        <f t="shared" si="75"/>
        <v>0</v>
      </c>
      <c r="L135" s="74">
        <f t="shared" si="75"/>
        <v>0</v>
      </c>
      <c r="M135" s="45">
        <f t="shared" si="75"/>
        <v>0</v>
      </c>
      <c r="N135" s="45">
        <f t="shared" si="75"/>
        <v>0</v>
      </c>
      <c r="O135" s="45">
        <f t="shared" si="75"/>
        <v>0</v>
      </c>
      <c r="P135" s="45">
        <f t="shared" si="75"/>
        <v>0</v>
      </c>
      <c r="Q135" s="74">
        <f t="shared" si="75"/>
        <v>0</v>
      </c>
      <c r="R135" s="45">
        <f t="shared" si="75"/>
        <v>0</v>
      </c>
      <c r="S135" s="45">
        <f t="shared" si="75"/>
        <v>0</v>
      </c>
      <c r="T135" s="45">
        <f t="shared" si="75"/>
        <v>0</v>
      </c>
      <c r="U135" s="46"/>
      <c r="V135" s="47"/>
      <c r="W135" s="101"/>
      <c r="X135" s="101"/>
      <c r="Y135" s="128"/>
    </row>
    <row r="136" spans="2:25" ht="37.5" thickTop="1" thickBot="1" x14ac:dyDescent="0.25">
      <c r="B136" s="159"/>
      <c r="C136" s="163"/>
      <c r="D136" s="102"/>
      <c r="E136" s="52" t="s">
        <v>6</v>
      </c>
      <c r="F136" s="77">
        <f t="shared" ref="F136:L136" si="76">SUM(F132*F135)</f>
        <v>0</v>
      </c>
      <c r="G136" s="77">
        <f t="shared" si="76"/>
        <v>0</v>
      </c>
      <c r="H136" s="77">
        <f t="shared" si="76"/>
        <v>0</v>
      </c>
      <c r="I136" s="77">
        <f t="shared" si="76"/>
        <v>0</v>
      </c>
      <c r="J136" s="77">
        <f t="shared" si="76"/>
        <v>0</v>
      </c>
      <c r="K136" s="77">
        <f t="shared" si="76"/>
        <v>0</v>
      </c>
      <c r="L136" s="77">
        <f t="shared" si="76"/>
        <v>0</v>
      </c>
      <c r="M136" s="36">
        <f t="shared" ref="M136:T136" si="77">SUM(M132*M135)</f>
        <v>0</v>
      </c>
      <c r="N136" s="36">
        <f t="shared" si="77"/>
        <v>0</v>
      </c>
      <c r="O136" s="36">
        <f t="shared" si="77"/>
        <v>0</v>
      </c>
      <c r="P136" s="36">
        <f t="shared" si="77"/>
        <v>0</v>
      </c>
      <c r="Q136" s="77">
        <f t="shared" si="77"/>
        <v>0</v>
      </c>
      <c r="R136" s="36">
        <f t="shared" si="77"/>
        <v>0</v>
      </c>
      <c r="S136" s="36">
        <f t="shared" si="77"/>
        <v>0</v>
      </c>
      <c r="T136" s="36">
        <f t="shared" si="77"/>
        <v>0</v>
      </c>
      <c r="U136" s="50">
        <f>SUM(F136:T136)</f>
        <v>0</v>
      </c>
      <c r="V136" s="51" t="e">
        <f>SUM(U136/U132)</f>
        <v>#DIV/0!</v>
      </c>
      <c r="W136" s="102"/>
      <c r="X136" s="102"/>
      <c r="Y136" s="128"/>
    </row>
    <row r="137" spans="2:25" ht="20.25" thickTop="1" thickBot="1" x14ac:dyDescent="0.25">
      <c r="B137" s="160">
        <v>-27</v>
      </c>
      <c r="C137" s="164"/>
      <c r="D137" s="101"/>
      <c r="E137" s="37" t="s">
        <v>5</v>
      </c>
      <c r="F137" s="38">
        <f>IF(IF(F140=0,0,3),3,0)</f>
        <v>0</v>
      </c>
      <c r="G137" s="38">
        <f>IF(IF(G140=0,0,4),4,0)</f>
        <v>0</v>
      </c>
      <c r="H137" s="37">
        <f>IF(IF(H140=0,0,2),2,0)</f>
        <v>0</v>
      </c>
      <c r="I137" s="38">
        <f>IF(IF(I140=0,0,4),4,0)</f>
        <v>0</v>
      </c>
      <c r="J137" s="37">
        <f>IF(IF(J140=0,0,2),2,0)</f>
        <v>0</v>
      </c>
      <c r="K137" s="38">
        <f>IF(IF(K140=0,0,3),3,0)</f>
        <v>0</v>
      </c>
      <c r="L137" s="38">
        <f>IF(IF(L140=0,0,3),3,0)</f>
        <v>0</v>
      </c>
      <c r="M137" s="38">
        <f>IF(IF(M140=0,0,3),3,0)</f>
        <v>0</v>
      </c>
      <c r="N137" s="38">
        <f>IF(IF(N140=0,0,3),3,0)</f>
        <v>0</v>
      </c>
      <c r="O137" s="38">
        <f>IF(IF(O140=0,0,2),2,0)</f>
        <v>0</v>
      </c>
      <c r="P137" s="38">
        <f>IF(IF(P140=0,0,2),2,0)</f>
        <v>0</v>
      </c>
      <c r="Q137" s="38">
        <f>IF(IF(Q140=0,0,3),3,0)</f>
        <v>0</v>
      </c>
      <c r="R137" s="38">
        <f>IF(IF(R140=0,0,3),3,0)</f>
        <v>0</v>
      </c>
      <c r="S137" s="38">
        <f>IF(IF(N140=0,0,3),3,0)</f>
        <v>0</v>
      </c>
      <c r="T137" s="37">
        <f>IF(IF(N140=0,0,3),3,0)</f>
        <v>0</v>
      </c>
      <c r="U137" s="38">
        <f>SUM(F137:T137)</f>
        <v>0</v>
      </c>
      <c r="V137" s="39"/>
      <c r="W137" s="101"/>
      <c r="X137" s="101"/>
      <c r="Y137" s="128"/>
    </row>
    <row r="138" spans="2:25" ht="19.5" thickTop="1" thickBot="1" x14ac:dyDescent="0.25">
      <c r="B138" s="158"/>
      <c r="C138" s="107"/>
      <c r="D138" s="101"/>
      <c r="E138" s="40" t="s">
        <v>216</v>
      </c>
      <c r="F138" s="75"/>
      <c r="G138" s="75"/>
      <c r="H138" s="75"/>
      <c r="I138" s="79"/>
      <c r="J138" s="75"/>
      <c r="K138" s="79"/>
      <c r="L138" s="79"/>
      <c r="M138" s="41">
        <v>0</v>
      </c>
      <c r="N138" s="41">
        <v>0</v>
      </c>
      <c r="O138" s="41">
        <v>0</v>
      </c>
      <c r="P138" s="41">
        <v>0</v>
      </c>
      <c r="Q138" s="75">
        <v>0</v>
      </c>
      <c r="R138" s="41">
        <v>0</v>
      </c>
      <c r="S138" s="41">
        <v>0</v>
      </c>
      <c r="T138" s="41">
        <v>0</v>
      </c>
      <c r="U138" s="42"/>
      <c r="V138" s="43"/>
      <c r="W138" s="101"/>
      <c r="X138" s="101"/>
      <c r="Y138" s="128"/>
    </row>
    <row r="139" spans="2:25" ht="19.5" thickTop="1" thickBot="1" x14ac:dyDescent="0.25">
      <c r="B139" s="158"/>
      <c r="C139" s="107"/>
      <c r="D139" s="101"/>
      <c r="E139" s="44" t="s">
        <v>3</v>
      </c>
      <c r="F139" s="74"/>
      <c r="G139" s="74"/>
      <c r="H139" s="74"/>
      <c r="I139" s="74"/>
      <c r="J139" s="74"/>
      <c r="K139" s="74"/>
      <c r="L139" s="74"/>
      <c r="M139" s="45">
        <v>0</v>
      </c>
      <c r="N139" s="45">
        <v>0</v>
      </c>
      <c r="O139" s="45">
        <v>0</v>
      </c>
      <c r="P139" s="45">
        <v>0</v>
      </c>
      <c r="Q139" s="74">
        <v>0</v>
      </c>
      <c r="R139" s="45">
        <v>0</v>
      </c>
      <c r="S139" s="45">
        <v>0</v>
      </c>
      <c r="T139" s="45">
        <v>0</v>
      </c>
      <c r="U139" s="46"/>
      <c r="V139" s="47"/>
      <c r="W139" s="101"/>
      <c r="X139" s="101"/>
      <c r="Y139" s="128"/>
    </row>
    <row r="140" spans="2:25" ht="19.5" thickTop="1" thickBot="1" x14ac:dyDescent="0.25">
      <c r="B140" s="158"/>
      <c r="C140" s="107"/>
      <c r="D140" s="101"/>
      <c r="E140" s="48" t="s">
        <v>4</v>
      </c>
      <c r="F140" s="74">
        <f t="shared" ref="F140:T140" si="78">IF(F139&lt;30,F138,F138+F139)</f>
        <v>0</v>
      </c>
      <c r="G140" s="74">
        <f t="shared" si="78"/>
        <v>0</v>
      </c>
      <c r="H140" s="74">
        <f t="shared" si="78"/>
        <v>0</v>
      </c>
      <c r="I140" s="74">
        <f t="shared" si="78"/>
        <v>0</v>
      </c>
      <c r="J140" s="74">
        <f t="shared" si="78"/>
        <v>0</v>
      </c>
      <c r="K140" s="74">
        <f t="shared" si="78"/>
        <v>0</v>
      </c>
      <c r="L140" s="74">
        <f t="shared" si="78"/>
        <v>0</v>
      </c>
      <c r="M140" s="45">
        <f t="shared" si="78"/>
        <v>0</v>
      </c>
      <c r="N140" s="45">
        <f t="shared" si="78"/>
        <v>0</v>
      </c>
      <c r="O140" s="45">
        <f t="shared" si="78"/>
        <v>0</v>
      </c>
      <c r="P140" s="45">
        <f t="shared" si="78"/>
        <v>0</v>
      </c>
      <c r="Q140" s="74">
        <f t="shared" si="78"/>
        <v>0</v>
      </c>
      <c r="R140" s="45">
        <f t="shared" si="78"/>
        <v>0</v>
      </c>
      <c r="S140" s="45">
        <f t="shared" si="78"/>
        <v>0</v>
      </c>
      <c r="T140" s="45">
        <f t="shared" si="78"/>
        <v>0</v>
      </c>
      <c r="U140" s="46"/>
      <c r="V140" s="47"/>
      <c r="W140" s="101"/>
      <c r="X140" s="101"/>
      <c r="Y140" s="128"/>
    </row>
    <row r="141" spans="2:25" ht="37.5" thickTop="1" thickBot="1" x14ac:dyDescent="0.25">
      <c r="B141" s="159"/>
      <c r="C141" s="163"/>
      <c r="D141" s="102"/>
      <c r="E141" s="52" t="s">
        <v>6</v>
      </c>
      <c r="F141" s="77">
        <f t="shared" ref="F141:L141" si="79">SUM(F137*F140)</f>
        <v>0</v>
      </c>
      <c r="G141" s="77">
        <f t="shared" si="79"/>
        <v>0</v>
      </c>
      <c r="H141" s="77">
        <f t="shared" si="79"/>
        <v>0</v>
      </c>
      <c r="I141" s="77">
        <f t="shared" si="79"/>
        <v>0</v>
      </c>
      <c r="J141" s="77">
        <f t="shared" si="79"/>
        <v>0</v>
      </c>
      <c r="K141" s="77">
        <f t="shared" si="79"/>
        <v>0</v>
      </c>
      <c r="L141" s="77">
        <f t="shared" si="79"/>
        <v>0</v>
      </c>
      <c r="M141" s="36">
        <f t="shared" ref="M141:T141" si="80">SUM(M137*M140)</f>
        <v>0</v>
      </c>
      <c r="N141" s="36">
        <f t="shared" si="80"/>
        <v>0</v>
      </c>
      <c r="O141" s="36">
        <f t="shared" si="80"/>
        <v>0</v>
      </c>
      <c r="P141" s="36">
        <f t="shared" si="80"/>
        <v>0</v>
      </c>
      <c r="Q141" s="77">
        <f t="shared" si="80"/>
        <v>0</v>
      </c>
      <c r="R141" s="36">
        <f t="shared" si="80"/>
        <v>0</v>
      </c>
      <c r="S141" s="36">
        <f t="shared" si="80"/>
        <v>0</v>
      </c>
      <c r="T141" s="36">
        <f t="shared" si="80"/>
        <v>0</v>
      </c>
      <c r="U141" s="50">
        <f>SUM(F141:T141)</f>
        <v>0</v>
      </c>
      <c r="V141" s="51" t="e">
        <f>SUM(U141/U137)</f>
        <v>#DIV/0!</v>
      </c>
      <c r="W141" s="102"/>
      <c r="X141" s="102"/>
      <c r="Y141" s="128"/>
    </row>
    <row r="142" spans="2:25" ht="20.25" thickTop="1" thickBot="1" x14ac:dyDescent="0.25">
      <c r="B142" s="160">
        <v>-28</v>
      </c>
      <c r="C142" s="164"/>
      <c r="D142" s="101"/>
      <c r="E142" s="37" t="s">
        <v>5</v>
      </c>
      <c r="F142" s="38">
        <f>IF(IF(F145=0,0,3),3,0)</f>
        <v>0</v>
      </c>
      <c r="G142" s="38">
        <f>IF(IF(G145=0,0,4),4,0)</f>
        <v>0</v>
      </c>
      <c r="H142" s="37">
        <f>IF(IF(H145=0,0,2),2,0)</f>
        <v>0</v>
      </c>
      <c r="I142" s="38">
        <f>IF(IF(I145=0,0,4),4,0)</f>
        <v>0</v>
      </c>
      <c r="J142" s="37">
        <f>IF(IF(J145=0,0,2),2,0)</f>
        <v>0</v>
      </c>
      <c r="K142" s="38">
        <f>IF(IF(K145=0,0,3),3,0)</f>
        <v>0</v>
      </c>
      <c r="L142" s="38">
        <f>IF(IF(L145=0,0,3),3,0)</f>
        <v>0</v>
      </c>
      <c r="M142" s="38">
        <f>IF(IF(M145=0,0,3),3,0)</f>
        <v>0</v>
      </c>
      <c r="N142" s="38">
        <f>IF(IF(N145=0,0,3),3,0)</f>
        <v>0</v>
      </c>
      <c r="O142" s="38">
        <f>IF(IF(O145=0,0,2),2,0)</f>
        <v>0</v>
      </c>
      <c r="P142" s="38">
        <f>IF(IF(P145=0,0,2),2,0)</f>
        <v>0</v>
      </c>
      <c r="Q142" s="38">
        <f>IF(IF(Q145=0,0,3),3,0)</f>
        <v>0</v>
      </c>
      <c r="R142" s="38">
        <f>IF(IF(R145=0,0,3),3,0)</f>
        <v>0</v>
      </c>
      <c r="S142" s="38">
        <f>IF(IF(N145=0,0,3),3,0)</f>
        <v>0</v>
      </c>
      <c r="T142" s="37">
        <f>IF(IF(N145=0,0,3),3,0)</f>
        <v>0</v>
      </c>
      <c r="U142" s="38">
        <f>SUM(F142:T142)</f>
        <v>0</v>
      </c>
      <c r="V142" s="39"/>
      <c r="W142" s="106"/>
      <c r="X142" s="106"/>
      <c r="Y142" s="134"/>
    </row>
    <row r="143" spans="2:25" ht="19.5" thickTop="1" thickBot="1" x14ac:dyDescent="0.25">
      <c r="B143" s="158"/>
      <c r="C143" s="107"/>
      <c r="D143" s="101"/>
      <c r="E143" s="40" t="s">
        <v>216</v>
      </c>
      <c r="F143" s="41"/>
      <c r="G143" s="41"/>
      <c r="H143" s="41"/>
      <c r="I143" s="42"/>
      <c r="J143" s="41"/>
      <c r="K143" s="42"/>
      <c r="L143" s="42"/>
      <c r="M143" s="41">
        <v>0</v>
      </c>
      <c r="N143" s="41">
        <v>0</v>
      </c>
      <c r="O143" s="41">
        <v>0</v>
      </c>
      <c r="P143" s="41">
        <v>0</v>
      </c>
      <c r="Q143" s="41">
        <v>0</v>
      </c>
      <c r="R143" s="41">
        <v>0</v>
      </c>
      <c r="S143" s="41">
        <v>0</v>
      </c>
      <c r="T143" s="41">
        <v>0</v>
      </c>
      <c r="U143" s="42"/>
      <c r="V143" s="43"/>
      <c r="W143" s="107"/>
      <c r="X143" s="107"/>
      <c r="Y143" s="134"/>
    </row>
    <row r="144" spans="2:25" ht="19.5" thickTop="1" thickBot="1" x14ac:dyDescent="0.25">
      <c r="B144" s="158"/>
      <c r="C144" s="107"/>
      <c r="D144" s="101"/>
      <c r="E144" s="44" t="s">
        <v>3</v>
      </c>
      <c r="F144" s="45"/>
      <c r="G144" s="45"/>
      <c r="H144" s="45"/>
      <c r="I144" s="45"/>
      <c r="J144" s="45"/>
      <c r="K144" s="45"/>
      <c r="L144" s="45"/>
      <c r="M144" s="45">
        <v>0</v>
      </c>
      <c r="N144" s="45">
        <v>0</v>
      </c>
      <c r="O144" s="45">
        <v>0</v>
      </c>
      <c r="P144" s="45">
        <v>0</v>
      </c>
      <c r="Q144" s="45">
        <v>0</v>
      </c>
      <c r="R144" s="45">
        <v>0</v>
      </c>
      <c r="S144" s="45">
        <v>0</v>
      </c>
      <c r="T144" s="45">
        <v>0</v>
      </c>
      <c r="U144" s="46"/>
      <c r="V144" s="47"/>
      <c r="W144" s="107"/>
      <c r="X144" s="107"/>
      <c r="Y144" s="134"/>
    </row>
    <row r="145" spans="2:25" ht="19.5" thickTop="1" thickBot="1" x14ac:dyDescent="0.25">
      <c r="B145" s="158"/>
      <c r="C145" s="107"/>
      <c r="D145" s="101"/>
      <c r="E145" s="48" t="s">
        <v>4</v>
      </c>
      <c r="F145" s="45">
        <f t="shared" ref="F145:T145" si="81">IF(F144&lt;30,F143,F143+F144)</f>
        <v>0</v>
      </c>
      <c r="G145" s="45">
        <f t="shared" si="81"/>
        <v>0</v>
      </c>
      <c r="H145" s="45">
        <f t="shared" si="81"/>
        <v>0</v>
      </c>
      <c r="I145" s="45">
        <f t="shared" si="81"/>
        <v>0</v>
      </c>
      <c r="J145" s="45">
        <f t="shared" si="81"/>
        <v>0</v>
      </c>
      <c r="K145" s="45">
        <f t="shared" si="81"/>
        <v>0</v>
      </c>
      <c r="L145" s="45">
        <f t="shared" si="81"/>
        <v>0</v>
      </c>
      <c r="M145" s="45">
        <f t="shared" si="81"/>
        <v>0</v>
      </c>
      <c r="N145" s="45">
        <f t="shared" si="81"/>
        <v>0</v>
      </c>
      <c r="O145" s="45">
        <f t="shared" si="81"/>
        <v>0</v>
      </c>
      <c r="P145" s="45">
        <f t="shared" si="81"/>
        <v>0</v>
      </c>
      <c r="Q145" s="45">
        <f t="shared" si="81"/>
        <v>0</v>
      </c>
      <c r="R145" s="45">
        <f t="shared" si="81"/>
        <v>0</v>
      </c>
      <c r="S145" s="45">
        <f t="shared" si="81"/>
        <v>0</v>
      </c>
      <c r="T145" s="45">
        <f t="shared" si="81"/>
        <v>0</v>
      </c>
      <c r="U145" s="46"/>
      <c r="V145" s="47"/>
      <c r="W145" s="107"/>
      <c r="X145" s="107"/>
      <c r="Y145" s="134"/>
    </row>
    <row r="146" spans="2:25" ht="37.5" thickTop="1" thickBot="1" x14ac:dyDescent="0.25">
      <c r="B146" s="166"/>
      <c r="C146" s="165"/>
      <c r="D146" s="102"/>
      <c r="E146" s="52" t="s">
        <v>6</v>
      </c>
      <c r="F146" s="53">
        <f t="shared" ref="F146:L146" si="82">SUM(F142*F145)</f>
        <v>0</v>
      </c>
      <c r="G146" s="53">
        <f t="shared" si="82"/>
        <v>0</v>
      </c>
      <c r="H146" s="53">
        <f t="shared" si="82"/>
        <v>0</v>
      </c>
      <c r="I146" s="53">
        <f t="shared" si="82"/>
        <v>0</v>
      </c>
      <c r="J146" s="53">
        <f t="shared" si="82"/>
        <v>0</v>
      </c>
      <c r="K146" s="53">
        <f t="shared" si="82"/>
        <v>0</v>
      </c>
      <c r="L146" s="53">
        <f t="shared" si="82"/>
        <v>0</v>
      </c>
      <c r="M146" s="53">
        <f t="shared" ref="M146:T146" si="83">SUM(M142*M145)</f>
        <v>0</v>
      </c>
      <c r="N146" s="53">
        <f t="shared" si="83"/>
        <v>0</v>
      </c>
      <c r="O146" s="53">
        <f t="shared" si="83"/>
        <v>0</v>
      </c>
      <c r="P146" s="53">
        <f t="shared" si="83"/>
        <v>0</v>
      </c>
      <c r="Q146" s="53">
        <f t="shared" si="83"/>
        <v>0</v>
      </c>
      <c r="R146" s="53">
        <f t="shared" si="83"/>
        <v>0</v>
      </c>
      <c r="S146" s="53">
        <f t="shared" si="83"/>
        <v>0</v>
      </c>
      <c r="T146" s="53">
        <f t="shared" si="83"/>
        <v>0</v>
      </c>
      <c r="U146" s="54">
        <f>SUM(F146:T146)</f>
        <v>0</v>
      </c>
      <c r="V146" s="53" t="e">
        <f>SUM(U146/U142)</f>
        <v>#DIV/0!</v>
      </c>
      <c r="W146" s="108"/>
      <c r="X146" s="108"/>
      <c r="Y146" s="135"/>
    </row>
    <row r="147" spans="2:25" ht="20.25" thickTop="1" thickBot="1" x14ac:dyDescent="0.35">
      <c r="B147" s="157">
        <v>-29</v>
      </c>
      <c r="C147" s="142"/>
      <c r="D147" s="113"/>
      <c r="E147" s="9" t="s">
        <v>5</v>
      </c>
      <c r="F147" s="65">
        <f>IF(IF(F150=0,0,3),3,0)</f>
        <v>0</v>
      </c>
      <c r="G147" s="65">
        <f>IF(IF(G150=0,0,4),4,0)</f>
        <v>0</v>
      </c>
      <c r="H147" s="64">
        <f>IF(IF(H150=0,0,2),2,0)</f>
        <v>0</v>
      </c>
      <c r="I147" s="38">
        <f>IF(IF(I150=0,0,4),4,0)</f>
        <v>0</v>
      </c>
      <c r="J147" s="64">
        <f>IF(IF(J150=0,0,2),2,0)</f>
        <v>0</v>
      </c>
      <c r="K147" s="38">
        <f>IF(IF(K150=0,0,3),3,0)</f>
        <v>0</v>
      </c>
      <c r="L147" s="38">
        <f>IF(IF(L150=0,0,3),3,0)</f>
        <v>0</v>
      </c>
      <c r="M147" s="65">
        <f>IF(IF(M150=0,0,3),3,0)</f>
        <v>0</v>
      </c>
      <c r="N147" s="65">
        <f>IF(IF(N150=0,0,3),3,0)</f>
        <v>0</v>
      </c>
      <c r="O147" s="65">
        <f>IF(IF(O150=0,0,2),2,0)</f>
        <v>0</v>
      </c>
      <c r="P147" s="65">
        <f>IF(IF(P150=0,0,2),2,0)</f>
        <v>0</v>
      </c>
      <c r="Q147" s="65">
        <f>IF(IF(Q150=0,0,3),3,0)</f>
        <v>0</v>
      </c>
      <c r="R147" s="65">
        <f>IF(IF(R150=0,0,3),3,0)</f>
        <v>0</v>
      </c>
      <c r="S147" s="65">
        <f>IF(IF(N150=0,0,3),3,0)</f>
        <v>0</v>
      </c>
      <c r="T147" s="64">
        <f>IF(IF(N150=0,0,3),3,0)</f>
        <v>0</v>
      </c>
      <c r="U147" s="38">
        <f>SUM(F147:T147)</f>
        <v>0</v>
      </c>
      <c r="V147" s="39"/>
      <c r="W147" s="142"/>
      <c r="X147" s="142"/>
      <c r="Y147" s="141"/>
    </row>
    <row r="148" spans="2:25" ht="19.5" thickTop="1" thickBot="1" x14ac:dyDescent="0.3">
      <c r="B148" s="158"/>
      <c r="C148" s="104"/>
      <c r="D148" s="101"/>
      <c r="E148" s="29" t="s">
        <v>216</v>
      </c>
      <c r="F148" s="41"/>
      <c r="G148" s="41"/>
      <c r="H148" s="41"/>
      <c r="I148" s="42"/>
      <c r="J148" s="41"/>
      <c r="K148" s="42"/>
      <c r="L148" s="42"/>
      <c r="M148" s="41">
        <v>0</v>
      </c>
      <c r="N148" s="41">
        <v>0</v>
      </c>
      <c r="O148" s="41">
        <v>0</v>
      </c>
      <c r="P148" s="41">
        <v>0</v>
      </c>
      <c r="Q148" s="41">
        <v>0</v>
      </c>
      <c r="R148" s="41">
        <v>0</v>
      </c>
      <c r="S148" s="41">
        <v>0</v>
      </c>
      <c r="T148" s="41">
        <v>0</v>
      </c>
      <c r="U148" s="42"/>
      <c r="V148" s="43"/>
      <c r="W148" s="104"/>
      <c r="X148" s="104"/>
      <c r="Y148" s="128"/>
    </row>
    <row r="149" spans="2:25" ht="19.5" thickTop="1" thickBot="1" x14ac:dyDescent="0.3">
      <c r="B149" s="158"/>
      <c r="C149" s="104"/>
      <c r="D149" s="101"/>
      <c r="E149" s="30" t="s">
        <v>3</v>
      </c>
      <c r="F149" s="45"/>
      <c r="G149" s="45"/>
      <c r="H149" s="45"/>
      <c r="I149" s="45"/>
      <c r="J149" s="45"/>
      <c r="K149" s="45"/>
      <c r="L149" s="45"/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6"/>
      <c r="V149" s="47"/>
      <c r="W149" s="104"/>
      <c r="X149" s="104"/>
      <c r="Y149" s="128"/>
    </row>
    <row r="150" spans="2:25" ht="19.5" thickTop="1" thickBot="1" x14ac:dyDescent="0.3">
      <c r="B150" s="158"/>
      <c r="C150" s="104"/>
      <c r="D150" s="101"/>
      <c r="E150" s="31" t="s">
        <v>4</v>
      </c>
      <c r="F150" s="45">
        <f t="shared" ref="F150:T150" si="84">IF(F149&lt;30,F148,F148+F149)</f>
        <v>0</v>
      </c>
      <c r="G150" s="45">
        <f t="shared" si="84"/>
        <v>0</v>
      </c>
      <c r="H150" s="45">
        <f t="shared" si="84"/>
        <v>0</v>
      </c>
      <c r="I150" s="45">
        <f t="shared" si="84"/>
        <v>0</v>
      </c>
      <c r="J150" s="45">
        <f t="shared" si="84"/>
        <v>0</v>
      </c>
      <c r="K150" s="45">
        <f t="shared" si="84"/>
        <v>0</v>
      </c>
      <c r="L150" s="45">
        <f t="shared" si="84"/>
        <v>0</v>
      </c>
      <c r="M150" s="45">
        <f t="shared" si="84"/>
        <v>0</v>
      </c>
      <c r="N150" s="45">
        <f t="shared" si="84"/>
        <v>0</v>
      </c>
      <c r="O150" s="45">
        <f t="shared" si="84"/>
        <v>0</v>
      </c>
      <c r="P150" s="45">
        <f t="shared" si="84"/>
        <v>0</v>
      </c>
      <c r="Q150" s="45">
        <f t="shared" si="84"/>
        <v>0</v>
      </c>
      <c r="R150" s="45">
        <f t="shared" si="84"/>
        <v>0</v>
      </c>
      <c r="S150" s="45">
        <f t="shared" si="84"/>
        <v>0</v>
      </c>
      <c r="T150" s="45">
        <f t="shared" si="84"/>
        <v>0</v>
      </c>
      <c r="U150" s="46"/>
      <c r="V150" s="47"/>
      <c r="W150" s="104"/>
      <c r="X150" s="104"/>
      <c r="Y150" s="128"/>
    </row>
    <row r="151" spans="2:25" ht="37.5" thickTop="1" thickBot="1" x14ac:dyDescent="0.3">
      <c r="B151" s="159"/>
      <c r="C151" s="105"/>
      <c r="D151" s="102"/>
      <c r="E151" s="32" t="s">
        <v>6</v>
      </c>
      <c r="F151" s="36">
        <f t="shared" ref="F151:L151" si="85">SUM(F147*F150)</f>
        <v>0</v>
      </c>
      <c r="G151" s="36">
        <f t="shared" si="85"/>
        <v>0</v>
      </c>
      <c r="H151" s="36">
        <f t="shared" si="85"/>
        <v>0</v>
      </c>
      <c r="I151" s="36">
        <f t="shared" si="85"/>
        <v>0</v>
      </c>
      <c r="J151" s="36">
        <f t="shared" si="85"/>
        <v>0</v>
      </c>
      <c r="K151" s="36">
        <f t="shared" si="85"/>
        <v>0</v>
      </c>
      <c r="L151" s="36">
        <f t="shared" si="85"/>
        <v>0</v>
      </c>
      <c r="M151" s="36">
        <f t="shared" ref="M151:T151" si="86">SUM(M147*M150)</f>
        <v>0</v>
      </c>
      <c r="N151" s="36">
        <f t="shared" si="86"/>
        <v>0</v>
      </c>
      <c r="O151" s="36">
        <f t="shared" si="86"/>
        <v>0</v>
      </c>
      <c r="P151" s="36">
        <f t="shared" si="86"/>
        <v>0</v>
      </c>
      <c r="Q151" s="36">
        <f t="shared" si="86"/>
        <v>0</v>
      </c>
      <c r="R151" s="36">
        <f t="shared" si="86"/>
        <v>0</v>
      </c>
      <c r="S151" s="36">
        <f t="shared" si="86"/>
        <v>0</v>
      </c>
      <c r="T151" s="36">
        <f t="shared" si="86"/>
        <v>0</v>
      </c>
      <c r="U151" s="50">
        <f>SUM(F151:T151)</f>
        <v>0</v>
      </c>
      <c r="V151" s="51" t="e">
        <f>SUM(U151/U147)</f>
        <v>#DIV/0!</v>
      </c>
      <c r="W151" s="105"/>
      <c r="X151" s="105"/>
      <c r="Y151" s="128"/>
    </row>
    <row r="152" spans="2:25" ht="20.25" thickTop="1" thickBot="1" x14ac:dyDescent="0.25">
      <c r="B152" s="160">
        <v>-30</v>
      </c>
      <c r="C152" s="106"/>
      <c r="D152" s="101"/>
      <c r="E152" s="37" t="s">
        <v>5</v>
      </c>
      <c r="F152" s="38">
        <f>IF(IF(F155=0,0,3),3,0)</f>
        <v>0</v>
      </c>
      <c r="G152" s="38">
        <f>IF(IF(G155=0,0,4),4,0)</f>
        <v>0</v>
      </c>
      <c r="H152" s="37">
        <f>IF(IF(H155=0,0,2),2,0)</f>
        <v>0</v>
      </c>
      <c r="I152" s="38">
        <f>IF(IF(I155=0,0,4),4,0)</f>
        <v>0</v>
      </c>
      <c r="J152" s="37">
        <f>IF(IF(J155=0,0,2),2,0)</f>
        <v>0</v>
      </c>
      <c r="K152" s="38">
        <f>IF(IF(K155=0,0,3),3,0)</f>
        <v>0</v>
      </c>
      <c r="L152" s="38">
        <f>IF(IF(L155=0,0,3),3,0)</f>
        <v>0</v>
      </c>
      <c r="M152" s="38">
        <f>IF(IF(M155=0,0,3),3,0)</f>
        <v>0</v>
      </c>
      <c r="N152" s="38">
        <f>IF(IF(N155=0,0,3),3,0)</f>
        <v>0</v>
      </c>
      <c r="O152" s="38">
        <f>IF(IF(O155=0,0,2),2,0)</f>
        <v>0</v>
      </c>
      <c r="P152" s="38">
        <f>IF(IF(P155=0,0,2),2,0)</f>
        <v>0</v>
      </c>
      <c r="Q152" s="38">
        <f>IF(IF(Q155=0,0,3),3,0)</f>
        <v>0</v>
      </c>
      <c r="R152" s="38">
        <f>IF(IF(R155=0,0,3),3,0)</f>
        <v>0</v>
      </c>
      <c r="S152" s="38">
        <f>IF(IF(N155=0,0,3),3,0)</f>
        <v>0</v>
      </c>
      <c r="T152" s="37">
        <f>IF(IF(N155=0,0,3),3,0)</f>
        <v>0</v>
      </c>
      <c r="U152" s="38">
        <f>SUM(F152:T152)</f>
        <v>0</v>
      </c>
      <c r="V152" s="39"/>
      <c r="W152" s="106"/>
      <c r="X152" s="106"/>
      <c r="Y152" s="134"/>
    </row>
    <row r="153" spans="2:25" ht="19.5" thickTop="1" thickBot="1" x14ac:dyDescent="0.25">
      <c r="B153" s="158"/>
      <c r="C153" s="107"/>
      <c r="D153" s="101"/>
      <c r="E153" s="40" t="s">
        <v>216</v>
      </c>
      <c r="F153" s="41"/>
      <c r="G153" s="41"/>
      <c r="H153" s="41"/>
      <c r="I153" s="42"/>
      <c r="J153" s="41"/>
      <c r="K153" s="42"/>
      <c r="L153" s="42"/>
      <c r="M153" s="41">
        <v>0</v>
      </c>
      <c r="N153" s="41">
        <v>0</v>
      </c>
      <c r="O153" s="41">
        <v>0</v>
      </c>
      <c r="P153" s="41">
        <v>0</v>
      </c>
      <c r="Q153" s="41">
        <v>0</v>
      </c>
      <c r="R153" s="41">
        <v>0</v>
      </c>
      <c r="S153" s="41">
        <v>0</v>
      </c>
      <c r="T153" s="41">
        <v>0</v>
      </c>
      <c r="U153" s="42"/>
      <c r="V153" s="43"/>
      <c r="W153" s="107"/>
      <c r="X153" s="107"/>
      <c r="Y153" s="134"/>
    </row>
    <row r="154" spans="2:25" ht="19.5" thickTop="1" thickBot="1" x14ac:dyDescent="0.25">
      <c r="B154" s="158"/>
      <c r="C154" s="107"/>
      <c r="D154" s="101"/>
      <c r="E154" s="44" t="s">
        <v>3</v>
      </c>
      <c r="F154" s="45"/>
      <c r="G154" s="45"/>
      <c r="H154" s="45"/>
      <c r="I154" s="45"/>
      <c r="J154" s="45"/>
      <c r="K154" s="45"/>
      <c r="L154" s="45"/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6"/>
      <c r="V154" s="47"/>
      <c r="W154" s="107"/>
      <c r="X154" s="107"/>
      <c r="Y154" s="134"/>
    </row>
    <row r="155" spans="2:25" ht="19.5" thickTop="1" thickBot="1" x14ac:dyDescent="0.25">
      <c r="B155" s="158"/>
      <c r="C155" s="107"/>
      <c r="D155" s="101"/>
      <c r="E155" s="48" t="s">
        <v>4</v>
      </c>
      <c r="F155" s="45">
        <f t="shared" ref="F155:T155" si="87">IF(F154&lt;30,F153,F153+F154)</f>
        <v>0</v>
      </c>
      <c r="G155" s="45">
        <f t="shared" si="87"/>
        <v>0</v>
      </c>
      <c r="H155" s="45">
        <f t="shared" si="87"/>
        <v>0</v>
      </c>
      <c r="I155" s="45">
        <f t="shared" si="87"/>
        <v>0</v>
      </c>
      <c r="J155" s="45">
        <f t="shared" si="87"/>
        <v>0</v>
      </c>
      <c r="K155" s="45">
        <f t="shared" si="87"/>
        <v>0</v>
      </c>
      <c r="L155" s="45">
        <f t="shared" si="87"/>
        <v>0</v>
      </c>
      <c r="M155" s="45">
        <f t="shared" si="87"/>
        <v>0</v>
      </c>
      <c r="N155" s="45">
        <f t="shared" si="87"/>
        <v>0</v>
      </c>
      <c r="O155" s="45">
        <f t="shared" si="87"/>
        <v>0</v>
      </c>
      <c r="P155" s="45">
        <f t="shared" si="87"/>
        <v>0</v>
      </c>
      <c r="Q155" s="45">
        <f t="shared" si="87"/>
        <v>0</v>
      </c>
      <c r="R155" s="45">
        <f t="shared" si="87"/>
        <v>0</v>
      </c>
      <c r="S155" s="45">
        <f t="shared" si="87"/>
        <v>0</v>
      </c>
      <c r="T155" s="45">
        <f t="shared" si="87"/>
        <v>0</v>
      </c>
      <c r="U155" s="46"/>
      <c r="V155" s="47"/>
      <c r="W155" s="107"/>
      <c r="X155" s="107"/>
      <c r="Y155" s="134"/>
    </row>
    <row r="156" spans="2:25" ht="37.5" thickTop="1" thickBot="1" x14ac:dyDescent="0.25">
      <c r="B156" s="166"/>
      <c r="C156" s="165"/>
      <c r="D156" s="102"/>
      <c r="E156" s="66" t="s">
        <v>6</v>
      </c>
      <c r="F156" s="36">
        <f t="shared" ref="F156:L156" si="88">SUM(F152*F155)</f>
        <v>0</v>
      </c>
      <c r="G156" s="36">
        <f t="shared" si="88"/>
        <v>0</v>
      </c>
      <c r="H156" s="36">
        <f t="shared" si="88"/>
        <v>0</v>
      </c>
      <c r="I156" s="36">
        <f t="shared" si="88"/>
        <v>0</v>
      </c>
      <c r="J156" s="36">
        <f t="shared" si="88"/>
        <v>0</v>
      </c>
      <c r="K156" s="36">
        <f t="shared" si="88"/>
        <v>0</v>
      </c>
      <c r="L156" s="36">
        <f t="shared" si="88"/>
        <v>0</v>
      </c>
      <c r="M156" s="36">
        <f t="shared" ref="M156:T156" si="89">SUM(M152*M155)</f>
        <v>0</v>
      </c>
      <c r="N156" s="36">
        <f t="shared" si="89"/>
        <v>0</v>
      </c>
      <c r="O156" s="36">
        <f t="shared" si="89"/>
        <v>0</v>
      </c>
      <c r="P156" s="36">
        <f t="shared" si="89"/>
        <v>0</v>
      </c>
      <c r="Q156" s="36">
        <f t="shared" si="89"/>
        <v>0</v>
      </c>
      <c r="R156" s="36">
        <f t="shared" si="89"/>
        <v>0</v>
      </c>
      <c r="S156" s="36">
        <f t="shared" si="89"/>
        <v>0</v>
      </c>
      <c r="T156" s="36">
        <f t="shared" si="89"/>
        <v>0</v>
      </c>
      <c r="U156" s="50">
        <f>SUM(F156:T156)</f>
        <v>0</v>
      </c>
      <c r="V156" s="51" t="e">
        <f>SUM(U156/U152)</f>
        <v>#DIV/0!</v>
      </c>
      <c r="W156" s="108"/>
      <c r="X156" s="108"/>
      <c r="Y156" s="134"/>
    </row>
    <row r="157" spans="2:25" ht="20.25" thickTop="1" thickBot="1" x14ac:dyDescent="0.25">
      <c r="B157" s="158">
        <v>-31</v>
      </c>
      <c r="C157" s="107"/>
      <c r="D157" s="101"/>
      <c r="E157" s="37" t="s">
        <v>5</v>
      </c>
      <c r="F157" s="38">
        <f>IF(IF(F160=0,0,3),3,0)</f>
        <v>0</v>
      </c>
      <c r="G157" s="38">
        <f>IF(IF(G160=0,0,4),4,0)</f>
        <v>0</v>
      </c>
      <c r="H157" s="37">
        <f>IF(IF(H160=0,0,2),2,0)</f>
        <v>0</v>
      </c>
      <c r="I157" s="38">
        <f>IF(IF(I160=0,0,4),4,0)</f>
        <v>0</v>
      </c>
      <c r="J157" s="37">
        <f>IF(IF(J160=0,0,2),2,0)</f>
        <v>0</v>
      </c>
      <c r="K157" s="38">
        <f>IF(IF(K160=0,0,3),3,0)</f>
        <v>0</v>
      </c>
      <c r="L157" s="38">
        <f>IF(IF(L160=0,0,3),3,0)</f>
        <v>0</v>
      </c>
      <c r="M157" s="38">
        <f>IF(IF(M160=0,0,3),3,0)</f>
        <v>0</v>
      </c>
      <c r="N157" s="38">
        <f>IF(IF(N160=0,0,3),3,0)</f>
        <v>0</v>
      </c>
      <c r="O157" s="38">
        <f>IF(IF(O160=0,0,2),2,0)</f>
        <v>0</v>
      </c>
      <c r="P157" s="38">
        <f>IF(IF(P160=0,0,2),2,0)</f>
        <v>0</v>
      </c>
      <c r="Q157" s="38">
        <f>IF(IF(Q160=0,0,3),3,0)</f>
        <v>0</v>
      </c>
      <c r="R157" s="38">
        <f>IF(IF(R160=0,0,3),3,0)</f>
        <v>0</v>
      </c>
      <c r="S157" s="38">
        <f>IF(IF(N160=0,0,3),3,0)</f>
        <v>0</v>
      </c>
      <c r="T157" s="37">
        <f>IF(IF(N160=0,0,3),3,0)</f>
        <v>0</v>
      </c>
      <c r="U157" s="38">
        <f>SUM(F157:T157)</f>
        <v>0</v>
      </c>
      <c r="V157" s="39"/>
      <c r="W157" s="106"/>
      <c r="X157" s="106"/>
      <c r="Y157" s="134"/>
    </row>
    <row r="158" spans="2:25" ht="19.5" thickTop="1" thickBot="1" x14ac:dyDescent="0.25">
      <c r="B158" s="158"/>
      <c r="C158" s="107"/>
      <c r="D158" s="101"/>
      <c r="E158" s="40" t="s">
        <v>216</v>
      </c>
      <c r="F158" s="41"/>
      <c r="G158" s="41"/>
      <c r="H158" s="41"/>
      <c r="I158" s="42"/>
      <c r="J158" s="41"/>
      <c r="K158" s="42"/>
      <c r="L158" s="42"/>
      <c r="M158" s="41">
        <v>0</v>
      </c>
      <c r="N158" s="41">
        <v>0</v>
      </c>
      <c r="O158" s="41">
        <v>0</v>
      </c>
      <c r="P158" s="41">
        <v>0</v>
      </c>
      <c r="Q158" s="41">
        <v>0</v>
      </c>
      <c r="R158" s="41">
        <v>0</v>
      </c>
      <c r="S158" s="41">
        <v>0</v>
      </c>
      <c r="T158" s="41">
        <v>0</v>
      </c>
      <c r="U158" s="42"/>
      <c r="V158" s="43"/>
      <c r="W158" s="107"/>
      <c r="X158" s="107"/>
      <c r="Y158" s="134"/>
    </row>
    <row r="159" spans="2:25" ht="19.5" thickTop="1" thickBot="1" x14ac:dyDescent="0.25">
      <c r="B159" s="158"/>
      <c r="C159" s="107"/>
      <c r="D159" s="101"/>
      <c r="E159" s="44" t="s">
        <v>3</v>
      </c>
      <c r="F159" s="45"/>
      <c r="G159" s="45"/>
      <c r="H159" s="45"/>
      <c r="I159" s="45"/>
      <c r="J159" s="45"/>
      <c r="K159" s="45"/>
      <c r="L159" s="45"/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6"/>
      <c r="V159" s="47"/>
      <c r="W159" s="107"/>
      <c r="X159" s="107"/>
      <c r="Y159" s="134"/>
    </row>
    <row r="160" spans="2:25" ht="19.5" thickTop="1" thickBot="1" x14ac:dyDescent="0.25">
      <c r="B160" s="158"/>
      <c r="C160" s="107"/>
      <c r="D160" s="101"/>
      <c r="E160" s="48" t="s">
        <v>4</v>
      </c>
      <c r="F160" s="45">
        <f t="shared" ref="F160:T160" si="90">IF(F159&lt;30,F158,F158+F159)</f>
        <v>0</v>
      </c>
      <c r="G160" s="45">
        <f t="shared" si="90"/>
        <v>0</v>
      </c>
      <c r="H160" s="45">
        <f t="shared" si="90"/>
        <v>0</v>
      </c>
      <c r="I160" s="45">
        <f t="shared" si="90"/>
        <v>0</v>
      </c>
      <c r="J160" s="45">
        <f t="shared" si="90"/>
        <v>0</v>
      </c>
      <c r="K160" s="45">
        <f t="shared" si="90"/>
        <v>0</v>
      </c>
      <c r="L160" s="45">
        <f t="shared" si="90"/>
        <v>0</v>
      </c>
      <c r="M160" s="45">
        <f t="shared" si="90"/>
        <v>0</v>
      </c>
      <c r="N160" s="45">
        <f t="shared" si="90"/>
        <v>0</v>
      </c>
      <c r="O160" s="45">
        <f t="shared" si="90"/>
        <v>0</v>
      </c>
      <c r="P160" s="45">
        <f t="shared" si="90"/>
        <v>0</v>
      </c>
      <c r="Q160" s="45">
        <f t="shared" si="90"/>
        <v>0</v>
      </c>
      <c r="R160" s="45">
        <f t="shared" si="90"/>
        <v>0</v>
      </c>
      <c r="S160" s="45">
        <f t="shared" si="90"/>
        <v>0</v>
      </c>
      <c r="T160" s="45">
        <f t="shared" si="90"/>
        <v>0</v>
      </c>
      <c r="U160" s="46"/>
      <c r="V160" s="47"/>
      <c r="W160" s="107"/>
      <c r="X160" s="107"/>
      <c r="Y160" s="134"/>
    </row>
    <row r="161" spans="2:25" ht="37.5" thickTop="1" thickBot="1" x14ac:dyDescent="0.25">
      <c r="B161" s="161"/>
      <c r="C161" s="163"/>
      <c r="D161" s="102"/>
      <c r="E161" s="49" t="s">
        <v>6</v>
      </c>
      <c r="F161" s="36">
        <f t="shared" ref="F161:L161" si="91">SUM(F157*F160)</f>
        <v>0</v>
      </c>
      <c r="G161" s="36">
        <f t="shared" si="91"/>
        <v>0</v>
      </c>
      <c r="H161" s="36">
        <f t="shared" si="91"/>
        <v>0</v>
      </c>
      <c r="I161" s="36">
        <f t="shared" si="91"/>
        <v>0</v>
      </c>
      <c r="J161" s="36">
        <f t="shared" si="91"/>
        <v>0</v>
      </c>
      <c r="K161" s="36">
        <f t="shared" si="91"/>
        <v>0</v>
      </c>
      <c r="L161" s="36">
        <f t="shared" si="91"/>
        <v>0</v>
      </c>
      <c r="M161" s="36">
        <f t="shared" ref="M161:T161" si="92">SUM(M157*M160)</f>
        <v>0</v>
      </c>
      <c r="N161" s="36">
        <f t="shared" si="92"/>
        <v>0</v>
      </c>
      <c r="O161" s="36">
        <f t="shared" si="92"/>
        <v>0</v>
      </c>
      <c r="P161" s="36">
        <f t="shared" si="92"/>
        <v>0</v>
      </c>
      <c r="Q161" s="36">
        <f t="shared" si="92"/>
        <v>0</v>
      </c>
      <c r="R161" s="36">
        <f t="shared" si="92"/>
        <v>0</v>
      </c>
      <c r="S161" s="36">
        <f t="shared" si="92"/>
        <v>0</v>
      </c>
      <c r="T161" s="36">
        <f t="shared" si="92"/>
        <v>0</v>
      </c>
      <c r="U161" s="50">
        <f>SUM(F161:T161)</f>
        <v>0</v>
      </c>
      <c r="V161" s="51" t="e">
        <f>SUM(U161/U157)</f>
        <v>#DIV/0!</v>
      </c>
      <c r="W161" s="108"/>
      <c r="X161" s="108"/>
      <c r="Y161" s="134"/>
    </row>
    <row r="162" spans="2:25" ht="20.25" thickTop="1" thickBot="1" x14ac:dyDescent="0.25">
      <c r="B162" s="162">
        <v>-32</v>
      </c>
      <c r="C162" s="164"/>
      <c r="D162" s="101"/>
      <c r="E162" s="37" t="s">
        <v>5</v>
      </c>
      <c r="F162" s="38">
        <f>IF(IF(F165=0,0,3),3,0)</f>
        <v>0</v>
      </c>
      <c r="G162" s="38">
        <f>IF(IF(G165=0,0,4),4,0)</f>
        <v>0</v>
      </c>
      <c r="H162" s="37">
        <f>IF(IF(H165=0,0,2),2,0)</f>
        <v>0</v>
      </c>
      <c r="I162" s="38">
        <f>IF(IF(I165=0,0,4),4,0)</f>
        <v>0</v>
      </c>
      <c r="J162" s="37">
        <f>IF(IF(J165=0,0,2),2,0)</f>
        <v>0</v>
      </c>
      <c r="K162" s="38">
        <f>IF(IF(K165=0,0,3),3,0)</f>
        <v>0</v>
      </c>
      <c r="L162" s="38">
        <f>IF(IF(L165=0,0,3),3,0)</f>
        <v>0</v>
      </c>
      <c r="M162" s="38">
        <f>IF(IF(M165=0,0,3),3,0)</f>
        <v>0</v>
      </c>
      <c r="N162" s="38">
        <f>IF(IF(N165=0,0,3),3,0)</f>
        <v>0</v>
      </c>
      <c r="O162" s="38">
        <f>IF(IF(O165=0,0,2),2,0)</f>
        <v>0</v>
      </c>
      <c r="P162" s="38">
        <f>IF(IF(P165=0,0,2),2,0)</f>
        <v>0</v>
      </c>
      <c r="Q162" s="38">
        <f>IF(IF(Q165=0,0,3),3,0)</f>
        <v>0</v>
      </c>
      <c r="R162" s="38">
        <f>IF(IF(R165=0,0,3),3,0)</f>
        <v>0</v>
      </c>
      <c r="S162" s="38">
        <f>IF(IF(N165=0,0,3),3,0)</f>
        <v>0</v>
      </c>
      <c r="T162" s="37">
        <f>IF(IF(N165=0,0,3),3,0)</f>
        <v>0</v>
      </c>
      <c r="U162" s="38">
        <f>SUM(F162:T162)</f>
        <v>0</v>
      </c>
      <c r="V162" s="39"/>
      <c r="W162" s="106"/>
      <c r="X162" s="106"/>
      <c r="Y162" s="134"/>
    </row>
    <row r="163" spans="2:25" ht="19.5" thickTop="1" thickBot="1" x14ac:dyDescent="0.25">
      <c r="B163" s="158"/>
      <c r="C163" s="107"/>
      <c r="D163" s="101"/>
      <c r="E163" s="40" t="s">
        <v>216</v>
      </c>
      <c r="F163" s="41"/>
      <c r="G163" s="41"/>
      <c r="H163" s="41"/>
      <c r="I163" s="42"/>
      <c r="J163" s="41"/>
      <c r="K163" s="42"/>
      <c r="L163" s="42"/>
      <c r="M163" s="41">
        <v>0</v>
      </c>
      <c r="N163" s="41">
        <v>0</v>
      </c>
      <c r="O163" s="41">
        <v>0</v>
      </c>
      <c r="P163" s="41">
        <v>0</v>
      </c>
      <c r="Q163" s="41">
        <v>0</v>
      </c>
      <c r="R163" s="41">
        <v>0</v>
      </c>
      <c r="S163" s="41">
        <v>0</v>
      </c>
      <c r="T163" s="41">
        <v>0</v>
      </c>
      <c r="U163" s="42"/>
      <c r="V163" s="43"/>
      <c r="W163" s="107"/>
      <c r="X163" s="107"/>
      <c r="Y163" s="134"/>
    </row>
    <row r="164" spans="2:25" ht="19.5" thickTop="1" thickBot="1" x14ac:dyDescent="0.25">
      <c r="B164" s="158"/>
      <c r="C164" s="107"/>
      <c r="D164" s="101"/>
      <c r="E164" s="44" t="s">
        <v>3</v>
      </c>
      <c r="F164" s="45"/>
      <c r="G164" s="45"/>
      <c r="H164" s="45"/>
      <c r="I164" s="45"/>
      <c r="J164" s="45"/>
      <c r="K164" s="45"/>
      <c r="L164" s="45"/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5">
        <v>0</v>
      </c>
      <c r="U164" s="46"/>
      <c r="V164" s="47"/>
      <c r="W164" s="107"/>
      <c r="X164" s="107"/>
      <c r="Y164" s="134"/>
    </row>
    <row r="165" spans="2:25" ht="19.5" thickTop="1" thickBot="1" x14ac:dyDescent="0.25">
      <c r="B165" s="158"/>
      <c r="C165" s="107"/>
      <c r="D165" s="101"/>
      <c r="E165" s="48" t="s">
        <v>4</v>
      </c>
      <c r="F165" s="45">
        <f t="shared" ref="F165:T165" si="93">IF(F164&lt;30,F163,F163+F164)</f>
        <v>0</v>
      </c>
      <c r="G165" s="45">
        <f t="shared" si="93"/>
        <v>0</v>
      </c>
      <c r="H165" s="45">
        <f t="shared" si="93"/>
        <v>0</v>
      </c>
      <c r="I165" s="45">
        <f t="shared" si="93"/>
        <v>0</v>
      </c>
      <c r="J165" s="45">
        <f t="shared" si="93"/>
        <v>0</v>
      </c>
      <c r="K165" s="45">
        <f t="shared" si="93"/>
        <v>0</v>
      </c>
      <c r="L165" s="45">
        <f t="shared" si="93"/>
        <v>0</v>
      </c>
      <c r="M165" s="45">
        <f t="shared" si="93"/>
        <v>0</v>
      </c>
      <c r="N165" s="45">
        <f t="shared" si="93"/>
        <v>0</v>
      </c>
      <c r="O165" s="45">
        <f t="shared" si="93"/>
        <v>0</v>
      </c>
      <c r="P165" s="45">
        <f t="shared" si="93"/>
        <v>0</v>
      </c>
      <c r="Q165" s="45">
        <f t="shared" si="93"/>
        <v>0</v>
      </c>
      <c r="R165" s="45">
        <f t="shared" si="93"/>
        <v>0</v>
      </c>
      <c r="S165" s="45">
        <f t="shared" si="93"/>
        <v>0</v>
      </c>
      <c r="T165" s="45">
        <f t="shared" si="93"/>
        <v>0</v>
      </c>
      <c r="U165" s="46"/>
      <c r="V165" s="47"/>
      <c r="W165" s="107"/>
      <c r="X165" s="107"/>
      <c r="Y165" s="134"/>
    </row>
    <row r="166" spans="2:25" ht="37.5" thickTop="1" thickBot="1" x14ac:dyDescent="0.25">
      <c r="B166" s="161"/>
      <c r="C166" s="163"/>
      <c r="D166" s="102"/>
      <c r="E166" s="49" t="s">
        <v>6</v>
      </c>
      <c r="F166" s="36">
        <f t="shared" ref="F166:L166" si="94">SUM(F162*F165)</f>
        <v>0</v>
      </c>
      <c r="G166" s="36">
        <f t="shared" si="94"/>
        <v>0</v>
      </c>
      <c r="H166" s="36">
        <f t="shared" si="94"/>
        <v>0</v>
      </c>
      <c r="I166" s="36">
        <f t="shared" si="94"/>
        <v>0</v>
      </c>
      <c r="J166" s="36">
        <f t="shared" si="94"/>
        <v>0</v>
      </c>
      <c r="K166" s="36">
        <f t="shared" si="94"/>
        <v>0</v>
      </c>
      <c r="L166" s="36">
        <f t="shared" si="94"/>
        <v>0</v>
      </c>
      <c r="M166" s="36">
        <f t="shared" ref="M166:T166" si="95">SUM(M162*M165)</f>
        <v>0</v>
      </c>
      <c r="N166" s="36">
        <f t="shared" si="95"/>
        <v>0</v>
      </c>
      <c r="O166" s="36">
        <f t="shared" si="95"/>
        <v>0</v>
      </c>
      <c r="P166" s="36">
        <f t="shared" si="95"/>
        <v>0</v>
      </c>
      <c r="Q166" s="36">
        <f t="shared" si="95"/>
        <v>0</v>
      </c>
      <c r="R166" s="36">
        <f t="shared" si="95"/>
        <v>0</v>
      </c>
      <c r="S166" s="36">
        <f t="shared" si="95"/>
        <v>0</v>
      </c>
      <c r="T166" s="36">
        <f t="shared" si="95"/>
        <v>0</v>
      </c>
      <c r="U166" s="50">
        <f>SUM(F166:T166)</f>
        <v>0</v>
      </c>
      <c r="V166" s="51" t="e">
        <f>SUM(U166/U162)</f>
        <v>#DIV/0!</v>
      </c>
      <c r="W166" s="108"/>
      <c r="X166" s="108"/>
      <c r="Y166" s="134"/>
    </row>
    <row r="167" spans="2:25" ht="20.25" thickTop="1" thickBot="1" x14ac:dyDescent="0.25">
      <c r="B167" s="162">
        <v>-33</v>
      </c>
      <c r="C167" s="164"/>
      <c r="D167" s="112"/>
      <c r="E167" s="37" t="s">
        <v>5</v>
      </c>
      <c r="F167" s="38">
        <f>IF(IF(F170=0,0,3),3,0)</f>
        <v>0</v>
      </c>
      <c r="G167" s="38">
        <f>IF(IF(G170=0,0,4),4,0)</f>
        <v>0</v>
      </c>
      <c r="H167" s="37">
        <f>IF(IF(H170=0,0,2),2,0)</f>
        <v>0</v>
      </c>
      <c r="I167" s="38">
        <f>IF(IF(I170=0,0,4),4,0)</f>
        <v>0</v>
      </c>
      <c r="J167" s="37">
        <f>IF(IF(J170=0,0,2),2,0)</f>
        <v>0</v>
      </c>
      <c r="K167" s="38">
        <f>IF(IF(K170=0,0,3),3,0)</f>
        <v>0</v>
      </c>
      <c r="L167" s="38">
        <f>IF(IF(L170=0,0,3),3,0)</f>
        <v>0</v>
      </c>
      <c r="M167" s="38">
        <f>IF(IF(M170=0,0,3),3,0)</f>
        <v>0</v>
      </c>
      <c r="N167" s="38">
        <f>IF(IF(N170=0,0,3),3,0)</f>
        <v>0</v>
      </c>
      <c r="O167" s="38">
        <f>IF(IF(O170=0,0,2),2,0)</f>
        <v>0</v>
      </c>
      <c r="P167" s="38">
        <f>IF(IF(P170=0,0,2),2,0)</f>
        <v>0</v>
      </c>
      <c r="Q167" s="38">
        <f>IF(IF(Q170=0,0,3),3,0)</f>
        <v>0</v>
      </c>
      <c r="R167" s="38">
        <f>IF(IF(R170=0,0,3),3,0)</f>
        <v>0</v>
      </c>
      <c r="S167" s="38">
        <f>IF(IF(N170=0,0,3),3,0)</f>
        <v>0</v>
      </c>
      <c r="T167" s="37">
        <f>IF(IF(N170=0,0,3),3,0)</f>
        <v>0</v>
      </c>
      <c r="U167" s="38">
        <f>SUM(F167:T167)</f>
        <v>0</v>
      </c>
      <c r="V167" s="39"/>
      <c r="W167" s="106"/>
      <c r="X167" s="106"/>
      <c r="Y167" s="134"/>
    </row>
    <row r="168" spans="2:25" ht="19.5" thickTop="1" thickBot="1" x14ac:dyDescent="0.25">
      <c r="B168" s="158"/>
      <c r="C168" s="107"/>
      <c r="D168" s="101"/>
      <c r="E168" s="40" t="s">
        <v>216</v>
      </c>
      <c r="F168" s="41"/>
      <c r="G168" s="41"/>
      <c r="H168" s="41"/>
      <c r="I168" s="42"/>
      <c r="J168" s="41"/>
      <c r="K168" s="42"/>
      <c r="L168" s="42"/>
      <c r="M168" s="41">
        <v>0</v>
      </c>
      <c r="N168" s="41">
        <v>0</v>
      </c>
      <c r="O168" s="41">
        <v>0</v>
      </c>
      <c r="P168" s="41">
        <v>0</v>
      </c>
      <c r="Q168" s="41">
        <v>0</v>
      </c>
      <c r="R168" s="41">
        <v>0</v>
      </c>
      <c r="S168" s="41">
        <v>0</v>
      </c>
      <c r="T168" s="41">
        <v>0</v>
      </c>
      <c r="U168" s="42"/>
      <c r="V168" s="43"/>
      <c r="W168" s="107"/>
      <c r="X168" s="107"/>
      <c r="Y168" s="134"/>
    </row>
    <row r="169" spans="2:25" ht="19.5" thickTop="1" thickBot="1" x14ac:dyDescent="0.25">
      <c r="B169" s="158"/>
      <c r="C169" s="107"/>
      <c r="D169" s="101"/>
      <c r="E169" s="44" t="s">
        <v>3</v>
      </c>
      <c r="F169" s="45"/>
      <c r="G169" s="45"/>
      <c r="H169" s="45"/>
      <c r="I169" s="45"/>
      <c r="J169" s="45"/>
      <c r="K169" s="45"/>
      <c r="L169" s="45"/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5">
        <v>0</v>
      </c>
      <c r="U169" s="46"/>
      <c r="V169" s="47"/>
      <c r="W169" s="107"/>
      <c r="X169" s="107"/>
      <c r="Y169" s="134"/>
    </row>
    <row r="170" spans="2:25" ht="19.5" thickTop="1" thickBot="1" x14ac:dyDescent="0.25">
      <c r="B170" s="158"/>
      <c r="C170" s="107"/>
      <c r="D170" s="101"/>
      <c r="E170" s="48" t="s">
        <v>4</v>
      </c>
      <c r="F170" s="45">
        <f t="shared" ref="F170:T170" si="96">IF(F169&lt;30,F168,F168+F169)</f>
        <v>0</v>
      </c>
      <c r="G170" s="45">
        <f t="shared" si="96"/>
        <v>0</v>
      </c>
      <c r="H170" s="45">
        <f t="shared" si="96"/>
        <v>0</v>
      </c>
      <c r="I170" s="45">
        <f t="shared" si="96"/>
        <v>0</v>
      </c>
      <c r="J170" s="45">
        <f t="shared" si="96"/>
        <v>0</v>
      </c>
      <c r="K170" s="45">
        <f t="shared" si="96"/>
        <v>0</v>
      </c>
      <c r="L170" s="45">
        <f t="shared" si="96"/>
        <v>0</v>
      </c>
      <c r="M170" s="45">
        <f t="shared" si="96"/>
        <v>0</v>
      </c>
      <c r="N170" s="45">
        <f t="shared" si="96"/>
        <v>0</v>
      </c>
      <c r="O170" s="45">
        <f t="shared" si="96"/>
        <v>0</v>
      </c>
      <c r="P170" s="45">
        <f t="shared" si="96"/>
        <v>0</v>
      </c>
      <c r="Q170" s="45">
        <f t="shared" si="96"/>
        <v>0</v>
      </c>
      <c r="R170" s="45">
        <f t="shared" si="96"/>
        <v>0</v>
      </c>
      <c r="S170" s="45">
        <f t="shared" si="96"/>
        <v>0</v>
      </c>
      <c r="T170" s="45">
        <f t="shared" si="96"/>
        <v>0</v>
      </c>
      <c r="U170" s="46"/>
      <c r="V170" s="47"/>
      <c r="W170" s="107"/>
      <c r="X170" s="107"/>
      <c r="Y170" s="134"/>
    </row>
    <row r="171" spans="2:25" ht="37.5" thickTop="1" thickBot="1" x14ac:dyDescent="0.25">
      <c r="B171" s="159"/>
      <c r="C171" s="108"/>
      <c r="D171" s="102"/>
      <c r="E171" s="52" t="s">
        <v>6</v>
      </c>
      <c r="F171" s="36">
        <f t="shared" ref="F171:L171" si="97">SUM(F167*F170)</f>
        <v>0</v>
      </c>
      <c r="G171" s="36">
        <f t="shared" si="97"/>
        <v>0</v>
      </c>
      <c r="H171" s="36">
        <f t="shared" si="97"/>
        <v>0</v>
      </c>
      <c r="I171" s="36">
        <f t="shared" si="97"/>
        <v>0</v>
      </c>
      <c r="J171" s="36">
        <f t="shared" si="97"/>
        <v>0</v>
      </c>
      <c r="K171" s="36">
        <f t="shared" si="97"/>
        <v>0</v>
      </c>
      <c r="L171" s="36">
        <f t="shared" si="97"/>
        <v>0</v>
      </c>
      <c r="M171" s="36">
        <f t="shared" ref="M171:T171" si="98">SUM(M167*M170)</f>
        <v>0</v>
      </c>
      <c r="N171" s="36">
        <f t="shared" si="98"/>
        <v>0</v>
      </c>
      <c r="O171" s="36">
        <f t="shared" si="98"/>
        <v>0</v>
      </c>
      <c r="P171" s="36">
        <f t="shared" si="98"/>
        <v>0</v>
      </c>
      <c r="Q171" s="36">
        <f t="shared" si="98"/>
        <v>0</v>
      </c>
      <c r="R171" s="36">
        <f t="shared" si="98"/>
        <v>0</v>
      </c>
      <c r="S171" s="36">
        <f t="shared" si="98"/>
        <v>0</v>
      </c>
      <c r="T171" s="36">
        <f t="shared" si="98"/>
        <v>0</v>
      </c>
      <c r="U171" s="50">
        <f>SUM(F171:T171)</f>
        <v>0</v>
      </c>
      <c r="V171" s="51" t="e">
        <f>SUM(U171/U167)</f>
        <v>#DIV/0!</v>
      </c>
      <c r="W171" s="108"/>
      <c r="X171" s="108"/>
      <c r="Y171" s="135"/>
    </row>
    <row r="172" spans="2:25" ht="20.25" thickTop="1" thickBot="1" x14ac:dyDescent="0.25">
      <c r="B172" s="160">
        <v>-34</v>
      </c>
      <c r="C172" s="106"/>
      <c r="D172" s="112"/>
      <c r="E172" s="37" t="s">
        <v>5</v>
      </c>
      <c r="F172" s="38">
        <f>IF(IF(F175=0,0,3),3,0)</f>
        <v>0</v>
      </c>
      <c r="G172" s="38">
        <f>IF(IF(G175=0,0,4),4,0)</f>
        <v>0</v>
      </c>
      <c r="H172" s="37">
        <f>IF(IF(H175=0,0,2),2,0)</f>
        <v>0</v>
      </c>
      <c r="I172" s="38">
        <f>IF(IF(I175=0,0,4),4,0)</f>
        <v>0</v>
      </c>
      <c r="J172" s="37">
        <f>IF(IF(J175=0,0,2),2,0)</f>
        <v>0</v>
      </c>
      <c r="K172" s="38">
        <f>IF(IF(K175=0,0,3),3,0)</f>
        <v>0</v>
      </c>
      <c r="L172" s="38">
        <f>IF(IF(L175=0,0,3),3,0)</f>
        <v>0</v>
      </c>
      <c r="M172" s="38">
        <f>IF(IF(M175=0,0,3),3,0)</f>
        <v>0</v>
      </c>
      <c r="N172" s="38">
        <f>IF(IF(N175=0,0,3),3,0)</f>
        <v>0</v>
      </c>
      <c r="O172" s="38">
        <f>IF(IF(O175=0,0,2),2,0)</f>
        <v>0</v>
      </c>
      <c r="P172" s="38">
        <f>IF(IF(P175=0,0,2),2,0)</f>
        <v>0</v>
      </c>
      <c r="Q172" s="38">
        <f>IF(IF(Q175=0,0,3),3,0)</f>
        <v>0</v>
      </c>
      <c r="R172" s="38">
        <f>IF(IF(R175=0,0,3),3,0)</f>
        <v>0</v>
      </c>
      <c r="S172" s="38">
        <f>IF(IF(N175=0,0,3),3,0)</f>
        <v>0</v>
      </c>
      <c r="T172" s="37">
        <f>IF(IF(N175=0,0,3),3,0)</f>
        <v>0</v>
      </c>
      <c r="U172" s="38">
        <f>SUM(F172:T172)</f>
        <v>0</v>
      </c>
      <c r="V172" s="39"/>
      <c r="W172" s="106"/>
      <c r="X172" s="106"/>
      <c r="Y172" s="136"/>
    </row>
    <row r="173" spans="2:25" ht="19.5" thickTop="1" thickBot="1" x14ac:dyDescent="0.25">
      <c r="B173" s="158"/>
      <c r="C173" s="107"/>
      <c r="D173" s="101"/>
      <c r="E173" s="40" t="s">
        <v>216</v>
      </c>
      <c r="F173" s="41"/>
      <c r="G173" s="41"/>
      <c r="H173" s="41"/>
      <c r="I173" s="42"/>
      <c r="J173" s="41"/>
      <c r="K173" s="42"/>
      <c r="L173" s="42"/>
      <c r="M173" s="41">
        <v>0</v>
      </c>
      <c r="N173" s="41">
        <v>0</v>
      </c>
      <c r="O173" s="41">
        <v>0</v>
      </c>
      <c r="P173" s="41">
        <v>0</v>
      </c>
      <c r="Q173" s="41">
        <v>0</v>
      </c>
      <c r="R173" s="41">
        <v>0</v>
      </c>
      <c r="S173" s="41">
        <v>0</v>
      </c>
      <c r="T173" s="41">
        <v>0</v>
      </c>
      <c r="U173" s="42"/>
      <c r="V173" s="43"/>
      <c r="W173" s="107"/>
      <c r="X173" s="107"/>
      <c r="Y173" s="134"/>
    </row>
    <row r="174" spans="2:25" ht="19.5" thickTop="1" thickBot="1" x14ac:dyDescent="0.25">
      <c r="B174" s="158"/>
      <c r="C174" s="107"/>
      <c r="D174" s="101"/>
      <c r="E174" s="44" t="s">
        <v>3</v>
      </c>
      <c r="F174" s="45"/>
      <c r="G174" s="45"/>
      <c r="H174" s="45"/>
      <c r="I174" s="45"/>
      <c r="J174" s="45"/>
      <c r="K174" s="45"/>
      <c r="L174" s="45"/>
      <c r="M174" s="45">
        <v>0</v>
      </c>
      <c r="N174" s="45">
        <v>0</v>
      </c>
      <c r="O174" s="45">
        <v>0</v>
      </c>
      <c r="P174" s="45">
        <v>0</v>
      </c>
      <c r="Q174" s="45">
        <v>0</v>
      </c>
      <c r="R174" s="45">
        <v>0</v>
      </c>
      <c r="S174" s="45">
        <v>0</v>
      </c>
      <c r="T174" s="45">
        <v>0</v>
      </c>
      <c r="U174" s="46"/>
      <c r="V174" s="47"/>
      <c r="W174" s="107"/>
      <c r="X174" s="107"/>
      <c r="Y174" s="134"/>
    </row>
    <row r="175" spans="2:25" ht="19.5" thickTop="1" thickBot="1" x14ac:dyDescent="0.25">
      <c r="B175" s="158"/>
      <c r="C175" s="107"/>
      <c r="D175" s="101"/>
      <c r="E175" s="48" t="s">
        <v>4</v>
      </c>
      <c r="F175" s="45">
        <f t="shared" ref="F175:T175" si="99">IF(F174&lt;30,F173,F173+F174)</f>
        <v>0</v>
      </c>
      <c r="G175" s="45">
        <f t="shared" si="99"/>
        <v>0</v>
      </c>
      <c r="H175" s="45">
        <f t="shared" si="99"/>
        <v>0</v>
      </c>
      <c r="I175" s="45">
        <f t="shared" si="99"/>
        <v>0</v>
      </c>
      <c r="J175" s="45">
        <f t="shared" si="99"/>
        <v>0</v>
      </c>
      <c r="K175" s="45">
        <f t="shared" si="99"/>
        <v>0</v>
      </c>
      <c r="L175" s="45">
        <f t="shared" si="99"/>
        <v>0</v>
      </c>
      <c r="M175" s="45">
        <f t="shared" si="99"/>
        <v>0</v>
      </c>
      <c r="N175" s="45">
        <f t="shared" si="99"/>
        <v>0</v>
      </c>
      <c r="O175" s="45">
        <f t="shared" si="99"/>
        <v>0</v>
      </c>
      <c r="P175" s="45">
        <f t="shared" si="99"/>
        <v>0</v>
      </c>
      <c r="Q175" s="45">
        <f t="shared" si="99"/>
        <v>0</v>
      </c>
      <c r="R175" s="45">
        <f t="shared" si="99"/>
        <v>0</v>
      </c>
      <c r="S175" s="45">
        <f t="shared" si="99"/>
        <v>0</v>
      </c>
      <c r="T175" s="45">
        <f t="shared" si="99"/>
        <v>0</v>
      </c>
      <c r="U175" s="46"/>
      <c r="V175" s="47"/>
      <c r="W175" s="107"/>
      <c r="X175" s="107"/>
      <c r="Y175" s="134"/>
    </row>
    <row r="176" spans="2:25" ht="37.5" thickTop="1" thickBot="1" x14ac:dyDescent="0.25">
      <c r="B176" s="159"/>
      <c r="C176" s="108"/>
      <c r="D176" s="102"/>
      <c r="E176" s="52" t="s">
        <v>6</v>
      </c>
      <c r="F176" s="53">
        <f t="shared" ref="F176:L176" si="100">SUM(F172*F175)</f>
        <v>0</v>
      </c>
      <c r="G176" s="53">
        <f t="shared" si="100"/>
        <v>0</v>
      </c>
      <c r="H176" s="53">
        <f t="shared" si="100"/>
        <v>0</v>
      </c>
      <c r="I176" s="53">
        <f t="shared" si="100"/>
        <v>0</v>
      </c>
      <c r="J176" s="53">
        <f t="shared" si="100"/>
        <v>0</v>
      </c>
      <c r="K176" s="53">
        <f t="shared" si="100"/>
        <v>0</v>
      </c>
      <c r="L176" s="53">
        <f t="shared" si="100"/>
        <v>0</v>
      </c>
      <c r="M176" s="53">
        <f t="shared" ref="M176:T176" si="101">SUM(M172*M175)</f>
        <v>0</v>
      </c>
      <c r="N176" s="53">
        <f t="shared" si="101"/>
        <v>0</v>
      </c>
      <c r="O176" s="53">
        <f t="shared" si="101"/>
        <v>0</v>
      </c>
      <c r="P176" s="53">
        <f t="shared" si="101"/>
        <v>0</v>
      </c>
      <c r="Q176" s="53">
        <f t="shared" si="101"/>
        <v>0</v>
      </c>
      <c r="R176" s="53">
        <f t="shared" si="101"/>
        <v>0</v>
      </c>
      <c r="S176" s="53">
        <f t="shared" si="101"/>
        <v>0</v>
      </c>
      <c r="T176" s="53">
        <f t="shared" si="101"/>
        <v>0</v>
      </c>
      <c r="U176" s="54">
        <f>SUM(F176:T176)</f>
        <v>0</v>
      </c>
      <c r="V176" s="53" t="e">
        <f>SUM(U176/U172)</f>
        <v>#DIV/0!</v>
      </c>
      <c r="W176" s="108"/>
      <c r="X176" s="108"/>
      <c r="Y176" s="135"/>
    </row>
    <row r="177" ht="13.5" thickTop="1" x14ac:dyDescent="0.2"/>
  </sheetData>
  <mergeCells count="213">
    <mergeCell ref="B172:B176"/>
    <mergeCell ref="C172:C176"/>
    <mergeCell ref="D172:D176"/>
    <mergeCell ref="W172:W176"/>
    <mergeCell ref="X172:X176"/>
    <mergeCell ref="Y172:Y176"/>
    <mergeCell ref="B167:B171"/>
    <mergeCell ref="C167:C171"/>
    <mergeCell ref="D167:D171"/>
    <mergeCell ref="W167:W171"/>
    <mergeCell ref="X167:X171"/>
    <mergeCell ref="Y167:Y171"/>
    <mergeCell ref="B162:B166"/>
    <mergeCell ref="C162:C166"/>
    <mergeCell ref="D162:D166"/>
    <mergeCell ref="W162:W166"/>
    <mergeCell ref="X162:X166"/>
    <mergeCell ref="Y162:Y166"/>
    <mergeCell ref="B157:B161"/>
    <mergeCell ref="C157:C161"/>
    <mergeCell ref="D157:D161"/>
    <mergeCell ref="W157:W161"/>
    <mergeCell ref="X157:X161"/>
    <mergeCell ref="Y157:Y161"/>
    <mergeCell ref="B152:B156"/>
    <mergeCell ref="C152:C156"/>
    <mergeCell ref="D152:D156"/>
    <mergeCell ref="W152:W156"/>
    <mergeCell ref="X152:X156"/>
    <mergeCell ref="Y152:Y156"/>
    <mergeCell ref="B147:B151"/>
    <mergeCell ref="C147:C151"/>
    <mergeCell ref="D147:D151"/>
    <mergeCell ref="W147:W151"/>
    <mergeCell ref="X147:X151"/>
    <mergeCell ref="Y147:Y151"/>
    <mergeCell ref="B142:B146"/>
    <mergeCell ref="C142:C146"/>
    <mergeCell ref="D142:D146"/>
    <mergeCell ref="W142:W146"/>
    <mergeCell ref="X142:X146"/>
    <mergeCell ref="Y142:Y146"/>
    <mergeCell ref="B137:B141"/>
    <mergeCell ref="C137:C141"/>
    <mergeCell ref="D137:D141"/>
    <mergeCell ref="W137:W141"/>
    <mergeCell ref="X137:X141"/>
    <mergeCell ref="Y137:Y141"/>
    <mergeCell ref="B132:B136"/>
    <mergeCell ref="C132:C136"/>
    <mergeCell ref="D132:D136"/>
    <mergeCell ref="W132:W136"/>
    <mergeCell ref="X132:X136"/>
    <mergeCell ref="Y132:Y136"/>
    <mergeCell ref="B127:B131"/>
    <mergeCell ref="C127:C131"/>
    <mergeCell ref="D127:D131"/>
    <mergeCell ref="W127:W131"/>
    <mergeCell ref="X127:X131"/>
    <mergeCell ref="Y127:Y131"/>
    <mergeCell ref="B122:B126"/>
    <mergeCell ref="C122:C126"/>
    <mergeCell ref="D122:D126"/>
    <mergeCell ref="W122:W126"/>
    <mergeCell ref="X122:X126"/>
    <mergeCell ref="Y122:Y126"/>
    <mergeCell ref="B117:B121"/>
    <mergeCell ref="C117:C121"/>
    <mergeCell ref="D117:D121"/>
    <mergeCell ref="W117:W121"/>
    <mergeCell ref="X117:X121"/>
    <mergeCell ref="Y117:Y121"/>
    <mergeCell ref="B112:B116"/>
    <mergeCell ref="C112:C116"/>
    <mergeCell ref="D112:D116"/>
    <mergeCell ref="W112:W116"/>
    <mergeCell ref="X112:X116"/>
    <mergeCell ref="Y112:Y116"/>
    <mergeCell ref="B107:B111"/>
    <mergeCell ref="C107:C111"/>
    <mergeCell ref="D107:D111"/>
    <mergeCell ref="W107:W111"/>
    <mergeCell ref="X107:X111"/>
    <mergeCell ref="Y107:Y111"/>
    <mergeCell ref="B102:B106"/>
    <mergeCell ref="C102:C106"/>
    <mergeCell ref="D102:D106"/>
    <mergeCell ref="W102:W106"/>
    <mergeCell ref="X102:X106"/>
    <mergeCell ref="Y102:Y106"/>
    <mergeCell ref="B97:B101"/>
    <mergeCell ref="C97:C101"/>
    <mergeCell ref="D97:D101"/>
    <mergeCell ref="W97:W101"/>
    <mergeCell ref="X97:X101"/>
    <mergeCell ref="Y97:Y101"/>
    <mergeCell ref="B92:B96"/>
    <mergeCell ref="C92:C96"/>
    <mergeCell ref="D92:D96"/>
    <mergeCell ref="W92:W96"/>
    <mergeCell ref="X92:X96"/>
    <mergeCell ref="Y92:Y96"/>
    <mergeCell ref="B87:B91"/>
    <mergeCell ref="C87:C91"/>
    <mergeCell ref="D87:D91"/>
    <mergeCell ref="W87:W91"/>
    <mergeCell ref="X87:X91"/>
    <mergeCell ref="Y87:Y91"/>
    <mergeCell ref="B82:B86"/>
    <mergeCell ref="C82:C86"/>
    <mergeCell ref="D82:D86"/>
    <mergeCell ref="W82:W86"/>
    <mergeCell ref="X82:X86"/>
    <mergeCell ref="Y82:Y86"/>
    <mergeCell ref="B77:B81"/>
    <mergeCell ref="C77:C81"/>
    <mergeCell ref="D77:D81"/>
    <mergeCell ref="W77:W81"/>
    <mergeCell ref="X77:X81"/>
    <mergeCell ref="Y77:Y81"/>
    <mergeCell ref="B72:B76"/>
    <mergeCell ref="C72:C76"/>
    <mergeCell ref="D72:D76"/>
    <mergeCell ref="W72:W76"/>
    <mergeCell ref="X72:X76"/>
    <mergeCell ref="Y72:Y76"/>
    <mergeCell ref="B67:B71"/>
    <mergeCell ref="C67:C71"/>
    <mergeCell ref="D67:D71"/>
    <mergeCell ref="W67:W71"/>
    <mergeCell ref="X67:X71"/>
    <mergeCell ref="Y67:Y71"/>
    <mergeCell ref="B62:B66"/>
    <mergeCell ref="C62:C66"/>
    <mergeCell ref="D62:D66"/>
    <mergeCell ref="W62:W66"/>
    <mergeCell ref="X62:X66"/>
    <mergeCell ref="Y62:Y66"/>
    <mergeCell ref="B57:B61"/>
    <mergeCell ref="C57:C61"/>
    <mergeCell ref="D57:D61"/>
    <mergeCell ref="W57:W61"/>
    <mergeCell ref="X57:X61"/>
    <mergeCell ref="Y57:Y61"/>
    <mergeCell ref="B52:B56"/>
    <mergeCell ref="C52:C56"/>
    <mergeCell ref="D52:D56"/>
    <mergeCell ref="W52:W56"/>
    <mergeCell ref="X52:X56"/>
    <mergeCell ref="Y52:Y56"/>
    <mergeCell ref="B47:B51"/>
    <mergeCell ref="C47:C51"/>
    <mergeCell ref="D47:D51"/>
    <mergeCell ref="W47:W51"/>
    <mergeCell ref="X47:X51"/>
    <mergeCell ref="Y47:Y51"/>
    <mergeCell ref="B42:B46"/>
    <mergeCell ref="C42:C46"/>
    <mergeCell ref="D42:D46"/>
    <mergeCell ref="W42:W46"/>
    <mergeCell ref="X42:X46"/>
    <mergeCell ref="Y42:Y46"/>
    <mergeCell ref="B37:B41"/>
    <mergeCell ref="C37:C41"/>
    <mergeCell ref="D37:D41"/>
    <mergeCell ref="W37:W41"/>
    <mergeCell ref="X37:X41"/>
    <mergeCell ref="Y37:Y41"/>
    <mergeCell ref="B32:B36"/>
    <mergeCell ref="C32:C36"/>
    <mergeCell ref="D32:D36"/>
    <mergeCell ref="W32:W36"/>
    <mergeCell ref="X32:X36"/>
    <mergeCell ref="Y32:Y36"/>
    <mergeCell ref="B27:B31"/>
    <mergeCell ref="C27:C31"/>
    <mergeCell ref="D27:D31"/>
    <mergeCell ref="W27:W31"/>
    <mergeCell ref="X27:X31"/>
    <mergeCell ref="Y27:Y31"/>
    <mergeCell ref="B22:B26"/>
    <mergeCell ref="C22:C26"/>
    <mergeCell ref="D22:D26"/>
    <mergeCell ref="W22:W26"/>
    <mergeCell ref="X22:X26"/>
    <mergeCell ref="Y22:Y26"/>
    <mergeCell ref="B17:B21"/>
    <mergeCell ref="C17:C21"/>
    <mergeCell ref="D17:D21"/>
    <mergeCell ref="W17:W21"/>
    <mergeCell ref="X17:X21"/>
    <mergeCell ref="Y17:Y21"/>
    <mergeCell ref="Y7:Y11"/>
    <mergeCell ref="B12:B16"/>
    <mergeCell ref="C12:C16"/>
    <mergeCell ref="D12:D16"/>
    <mergeCell ref="W12:W16"/>
    <mergeCell ref="X12:X16"/>
    <mergeCell ref="Y12:Y16"/>
    <mergeCell ref="U5:U6"/>
    <mergeCell ref="V5:V6"/>
    <mergeCell ref="X5:X6"/>
    <mergeCell ref="B7:B11"/>
    <mergeCell ref="C7:C11"/>
    <mergeCell ref="D7:D11"/>
    <mergeCell ref="W7:W11"/>
    <mergeCell ref="X7:X11"/>
    <mergeCell ref="B5:B6"/>
    <mergeCell ref="C5:C6"/>
    <mergeCell ref="D5:D6"/>
    <mergeCell ref="E5:E6"/>
    <mergeCell ref="F5:L5"/>
    <mergeCell ref="M5:T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6CCC-BE95-4C85-8BF4-44ED0FC7C7C8}">
  <dimension ref="B4:X182"/>
  <sheetViews>
    <sheetView rightToLeft="1" zoomScale="86" zoomScaleNormal="86" workbookViewId="0">
      <selection activeCell="C22" sqref="C22:C26"/>
    </sheetView>
  </sheetViews>
  <sheetFormatPr defaultRowHeight="12.75" x14ac:dyDescent="0.2"/>
  <cols>
    <col min="3" max="3" width="23.28515625" customWidth="1"/>
    <col min="5" max="5" width="20" customWidth="1"/>
    <col min="24" max="24" width="22.5703125" customWidth="1"/>
  </cols>
  <sheetData>
    <row r="4" spans="2:24" ht="13.5" thickBot="1" x14ac:dyDescent="0.25"/>
    <row r="5" spans="2:24" ht="16.5" thickTop="1" thickBot="1" x14ac:dyDescent="0.25">
      <c r="B5" s="143" t="s">
        <v>0</v>
      </c>
      <c r="C5" s="148" t="s">
        <v>7</v>
      </c>
      <c r="D5" s="150" t="s">
        <v>1</v>
      </c>
      <c r="E5" s="148" t="s">
        <v>2</v>
      </c>
      <c r="F5" s="145" t="s">
        <v>18</v>
      </c>
      <c r="G5" s="146"/>
      <c r="H5" s="146"/>
      <c r="I5" s="146"/>
      <c r="J5" s="146"/>
      <c r="K5" s="146"/>
      <c r="L5" s="147"/>
      <c r="M5" s="154" t="s">
        <v>19</v>
      </c>
      <c r="N5" s="155"/>
      <c r="O5" s="155"/>
      <c r="P5" s="155"/>
      <c r="Q5" s="155"/>
      <c r="R5" s="155"/>
      <c r="S5" s="155"/>
      <c r="T5" s="150" t="s">
        <v>4</v>
      </c>
      <c r="U5" s="150" t="s">
        <v>8</v>
      </c>
      <c r="V5" s="23"/>
      <c r="W5" s="150" t="s">
        <v>16</v>
      </c>
      <c r="X5" s="24"/>
    </row>
    <row r="6" spans="2:24" ht="101.25" thickTop="1" thickBot="1" x14ac:dyDescent="0.25">
      <c r="B6" s="144"/>
      <c r="C6" s="152"/>
      <c r="D6" s="151"/>
      <c r="E6" s="149"/>
      <c r="F6" s="21" t="s">
        <v>35</v>
      </c>
      <c r="G6" s="21" t="s">
        <v>36</v>
      </c>
      <c r="H6" s="21" t="s">
        <v>37</v>
      </c>
      <c r="I6" s="21" t="s">
        <v>38</v>
      </c>
      <c r="J6" s="21" t="s">
        <v>39</v>
      </c>
      <c r="K6" s="21" t="s">
        <v>40</v>
      </c>
      <c r="L6" s="21" t="s">
        <v>41</v>
      </c>
      <c r="M6" s="55" t="s">
        <v>28</v>
      </c>
      <c r="N6" s="55" t="s">
        <v>29</v>
      </c>
      <c r="O6" s="55" t="s">
        <v>30</v>
      </c>
      <c r="P6" s="21" t="s">
        <v>31</v>
      </c>
      <c r="Q6" s="55" t="s">
        <v>32</v>
      </c>
      <c r="R6" s="21" t="s">
        <v>33</v>
      </c>
      <c r="S6" s="21" t="s">
        <v>34</v>
      </c>
      <c r="T6" s="153"/>
      <c r="U6" s="153"/>
      <c r="V6" s="21" t="s">
        <v>15</v>
      </c>
      <c r="W6" s="153"/>
      <c r="X6" s="22" t="s">
        <v>17</v>
      </c>
    </row>
    <row r="7" spans="2:24" ht="20.25" thickTop="1" thickBot="1" x14ac:dyDescent="0.35">
      <c r="B7" s="157">
        <v>-1</v>
      </c>
      <c r="C7" s="138" t="s">
        <v>154</v>
      </c>
      <c r="D7" s="113" t="s">
        <v>288</v>
      </c>
      <c r="E7" s="9" t="s">
        <v>5</v>
      </c>
      <c r="F7" s="38">
        <f>IF(IF(F10=0,0,4),4,0)</f>
        <v>4</v>
      </c>
      <c r="G7" s="38">
        <f t="shared" ref="G7:L7" si="0">IF(IF(G10=0,0,3),3,0)</f>
        <v>3</v>
      </c>
      <c r="H7" s="38">
        <f t="shared" si="0"/>
        <v>3</v>
      </c>
      <c r="I7" s="38">
        <f t="shared" si="0"/>
        <v>3</v>
      </c>
      <c r="J7" s="38">
        <f t="shared" si="0"/>
        <v>3</v>
      </c>
      <c r="K7" s="38">
        <f t="shared" si="0"/>
        <v>3</v>
      </c>
      <c r="L7" s="38">
        <f t="shared" si="0"/>
        <v>3</v>
      </c>
      <c r="M7" s="65">
        <f>IF(IF(M10=0,0,3),3,0)</f>
        <v>0</v>
      </c>
      <c r="N7" s="65">
        <f>IF(IF(N10=0,0,4),4,0)</f>
        <v>4</v>
      </c>
      <c r="O7" s="64">
        <f>IF(IF(O10=0,0,2),2,0)</f>
        <v>0</v>
      </c>
      <c r="P7" s="65">
        <f>IF(IF(P10=0,0,4),4,0)</f>
        <v>0</v>
      </c>
      <c r="Q7" s="64">
        <f>IF(IF(Q10=0,0,2),2,0)</f>
        <v>0</v>
      </c>
      <c r="R7" s="38">
        <f>IF(IF(R10=0,0,3),3,0)</f>
        <v>0</v>
      </c>
      <c r="S7" s="38">
        <f>IF(IF(S10=0,0,3),3,0)</f>
        <v>0</v>
      </c>
      <c r="T7" s="38">
        <f>SUM(F7:S7)</f>
        <v>26</v>
      </c>
      <c r="U7" s="39"/>
      <c r="V7" s="112"/>
      <c r="W7" s="112"/>
      <c r="X7" s="127"/>
    </row>
    <row r="8" spans="2:24" ht="19.5" thickTop="1" thickBot="1" x14ac:dyDescent="0.3">
      <c r="B8" s="158"/>
      <c r="C8" s="107"/>
      <c r="D8" s="101"/>
      <c r="E8" s="29" t="s">
        <v>216</v>
      </c>
      <c r="F8" s="41">
        <v>0</v>
      </c>
      <c r="G8" s="41">
        <v>0</v>
      </c>
      <c r="H8" s="41">
        <v>0</v>
      </c>
      <c r="I8" s="42">
        <v>0</v>
      </c>
      <c r="J8" s="42">
        <v>0</v>
      </c>
      <c r="K8" s="42">
        <v>0</v>
      </c>
      <c r="L8" s="42">
        <v>0</v>
      </c>
      <c r="M8" s="41">
        <v>0</v>
      </c>
      <c r="N8" s="85">
        <v>26</v>
      </c>
      <c r="O8" s="41">
        <v>0</v>
      </c>
      <c r="P8" s="42">
        <v>0</v>
      </c>
      <c r="Q8" s="41">
        <v>0</v>
      </c>
      <c r="R8" s="42">
        <v>0</v>
      </c>
      <c r="S8" s="42">
        <v>0</v>
      </c>
      <c r="T8" s="42"/>
      <c r="U8" s="43"/>
      <c r="V8" s="101"/>
      <c r="W8" s="101"/>
      <c r="X8" s="128"/>
    </row>
    <row r="9" spans="2:24" ht="19.5" thickTop="1" thickBot="1" x14ac:dyDescent="0.3">
      <c r="B9" s="158"/>
      <c r="C9" s="107"/>
      <c r="D9" s="101"/>
      <c r="E9" s="30" t="s">
        <v>3</v>
      </c>
      <c r="F9" s="45">
        <v>75</v>
      </c>
      <c r="G9" s="45">
        <v>93</v>
      </c>
      <c r="H9" s="45">
        <v>71</v>
      </c>
      <c r="I9" s="45">
        <v>65</v>
      </c>
      <c r="J9" s="45">
        <v>74</v>
      </c>
      <c r="K9" s="45">
        <v>67</v>
      </c>
      <c r="L9" s="45">
        <v>63</v>
      </c>
      <c r="M9" s="45">
        <v>0</v>
      </c>
      <c r="N9" s="86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6"/>
      <c r="U9" s="47"/>
      <c r="V9" s="101"/>
      <c r="W9" s="101"/>
      <c r="X9" s="128"/>
    </row>
    <row r="10" spans="2:24" ht="19.5" thickTop="1" thickBot="1" x14ac:dyDescent="0.3">
      <c r="B10" s="158"/>
      <c r="C10" s="107"/>
      <c r="D10" s="101"/>
      <c r="E10" s="31" t="s">
        <v>4</v>
      </c>
      <c r="F10" s="45">
        <f t="shared" ref="F10:S10" si="1">IF(F9&lt;30,F8,F8+F9)</f>
        <v>75</v>
      </c>
      <c r="G10" s="45">
        <f t="shared" si="1"/>
        <v>93</v>
      </c>
      <c r="H10" s="45">
        <f t="shared" si="1"/>
        <v>71</v>
      </c>
      <c r="I10" s="45">
        <f t="shared" si="1"/>
        <v>65</v>
      </c>
      <c r="J10" s="45">
        <f t="shared" si="1"/>
        <v>74</v>
      </c>
      <c r="K10" s="45">
        <f t="shared" si="1"/>
        <v>67</v>
      </c>
      <c r="L10" s="45">
        <f t="shared" si="1"/>
        <v>63</v>
      </c>
      <c r="M10" s="45">
        <f t="shared" si="1"/>
        <v>0</v>
      </c>
      <c r="N10" s="86">
        <f t="shared" si="1"/>
        <v>26</v>
      </c>
      <c r="O10" s="45">
        <f t="shared" si="1"/>
        <v>0</v>
      </c>
      <c r="P10" s="45">
        <f t="shared" si="1"/>
        <v>0</v>
      </c>
      <c r="Q10" s="45">
        <f t="shared" si="1"/>
        <v>0</v>
      </c>
      <c r="R10" s="45">
        <f t="shared" si="1"/>
        <v>0</v>
      </c>
      <c r="S10" s="45">
        <f t="shared" si="1"/>
        <v>0</v>
      </c>
      <c r="T10" s="46"/>
      <c r="U10" s="47"/>
      <c r="V10" s="101"/>
      <c r="W10" s="101"/>
      <c r="X10" s="128"/>
    </row>
    <row r="11" spans="2:24" ht="37.5" thickTop="1" thickBot="1" x14ac:dyDescent="0.3">
      <c r="B11" s="159"/>
      <c r="C11" s="108"/>
      <c r="D11" s="102"/>
      <c r="E11" s="32" t="s">
        <v>6</v>
      </c>
      <c r="F11" s="36">
        <f t="shared" ref="F11:L11" si="2">SUM(F7*F10)</f>
        <v>300</v>
      </c>
      <c r="G11" s="36">
        <f t="shared" si="2"/>
        <v>279</v>
      </c>
      <c r="H11" s="36">
        <f t="shared" si="2"/>
        <v>213</v>
      </c>
      <c r="I11" s="36">
        <f t="shared" si="2"/>
        <v>195</v>
      </c>
      <c r="J11" s="36">
        <f t="shared" si="2"/>
        <v>222</v>
      </c>
      <c r="K11" s="36">
        <f t="shared" si="2"/>
        <v>201</v>
      </c>
      <c r="L11" s="36">
        <f t="shared" si="2"/>
        <v>189</v>
      </c>
      <c r="M11" s="36">
        <f t="shared" ref="M11:S11" si="3">SUM(M7*M10)</f>
        <v>0</v>
      </c>
      <c r="N11" s="87">
        <f t="shared" si="3"/>
        <v>104</v>
      </c>
      <c r="O11" s="36">
        <f t="shared" si="3"/>
        <v>0</v>
      </c>
      <c r="P11" s="36">
        <f t="shared" si="3"/>
        <v>0</v>
      </c>
      <c r="Q11" s="36">
        <f t="shared" si="3"/>
        <v>0</v>
      </c>
      <c r="R11" s="36">
        <f t="shared" si="3"/>
        <v>0</v>
      </c>
      <c r="S11" s="36">
        <f t="shared" si="3"/>
        <v>0</v>
      </c>
      <c r="T11" s="50">
        <f>SUM(F11:S11)</f>
        <v>1703</v>
      </c>
      <c r="U11" s="51">
        <f>SUM(T11/T7)</f>
        <v>65.5</v>
      </c>
      <c r="V11" s="102"/>
      <c r="W11" s="102"/>
      <c r="X11" s="129"/>
    </row>
    <row r="12" spans="2:24" ht="20.25" thickTop="1" thickBot="1" x14ac:dyDescent="0.35">
      <c r="B12" s="160">
        <v>-2</v>
      </c>
      <c r="C12" s="106" t="s">
        <v>155</v>
      </c>
      <c r="D12" s="101" t="s">
        <v>289</v>
      </c>
      <c r="E12" s="67" t="s">
        <v>5</v>
      </c>
      <c r="F12" s="38">
        <f>IF(IF(F15=0,0,4),4,0)</f>
        <v>4</v>
      </c>
      <c r="G12" s="38">
        <f t="shared" ref="G12:L12" si="4">IF(IF(G15=0,0,3),3,0)</f>
        <v>3</v>
      </c>
      <c r="H12" s="38">
        <f t="shared" si="4"/>
        <v>3</v>
      </c>
      <c r="I12" s="38">
        <f t="shared" si="4"/>
        <v>3</v>
      </c>
      <c r="J12" s="38">
        <f t="shared" si="4"/>
        <v>3</v>
      </c>
      <c r="K12" s="38">
        <f t="shared" si="4"/>
        <v>3</v>
      </c>
      <c r="L12" s="38">
        <f t="shared" si="4"/>
        <v>3</v>
      </c>
      <c r="M12" s="65">
        <f>IF(IF(M15=0,0,3),3,0)</f>
        <v>0</v>
      </c>
      <c r="N12" s="65">
        <f>IF(IF(N15=0,0,4),4,0)</f>
        <v>0</v>
      </c>
      <c r="O12" s="64">
        <f>IF(IF(O15=0,0,2),2,0)</f>
        <v>0</v>
      </c>
      <c r="P12" s="65">
        <f>IF(IF(P15=0,0,4),4,0)</f>
        <v>4</v>
      </c>
      <c r="Q12" s="64">
        <f>IF(IF(Q15=0,0,2),2,0)</f>
        <v>0</v>
      </c>
      <c r="R12" s="38">
        <f>IF(IF(R15=0,0,3),3,0)</f>
        <v>0</v>
      </c>
      <c r="S12" s="38">
        <f>IF(IF(S15=0,0,3),3,0)</f>
        <v>0</v>
      </c>
      <c r="T12" s="38">
        <f>SUM(F12:S12)</f>
        <v>26</v>
      </c>
      <c r="U12" s="39"/>
      <c r="V12" s="112"/>
      <c r="W12" s="112"/>
      <c r="X12" s="141"/>
    </row>
    <row r="13" spans="2:24" ht="19.5" thickTop="1" thickBot="1" x14ac:dyDescent="0.3">
      <c r="B13" s="158"/>
      <c r="C13" s="107"/>
      <c r="D13" s="101"/>
      <c r="E13" s="29" t="s">
        <v>216</v>
      </c>
      <c r="F13" s="41">
        <v>0</v>
      </c>
      <c r="G13" s="41">
        <v>0</v>
      </c>
      <c r="H13" s="41">
        <v>0</v>
      </c>
      <c r="I13" s="42">
        <v>0</v>
      </c>
      <c r="J13" s="42">
        <v>0</v>
      </c>
      <c r="K13" s="42">
        <v>0</v>
      </c>
      <c r="L13" s="42">
        <v>28</v>
      </c>
      <c r="M13" s="41">
        <v>0</v>
      </c>
      <c r="N13" s="41">
        <v>0</v>
      </c>
      <c r="O13" s="41">
        <v>0</v>
      </c>
      <c r="P13" s="88">
        <v>30</v>
      </c>
      <c r="Q13" s="41">
        <v>0</v>
      </c>
      <c r="R13" s="42">
        <v>0</v>
      </c>
      <c r="S13" s="42">
        <v>0</v>
      </c>
      <c r="T13" s="42"/>
      <c r="U13" s="43"/>
      <c r="V13" s="101"/>
      <c r="W13" s="101"/>
      <c r="X13" s="128"/>
    </row>
    <row r="14" spans="2:24" ht="19.5" thickTop="1" thickBot="1" x14ac:dyDescent="0.3">
      <c r="B14" s="158"/>
      <c r="C14" s="107"/>
      <c r="D14" s="101"/>
      <c r="E14" s="30" t="s">
        <v>3</v>
      </c>
      <c r="F14" s="45">
        <v>76</v>
      </c>
      <c r="G14" s="45">
        <v>87</v>
      </c>
      <c r="H14" s="45">
        <v>71</v>
      </c>
      <c r="I14" s="45">
        <v>70</v>
      </c>
      <c r="J14" s="45">
        <v>69</v>
      </c>
      <c r="K14" s="45">
        <v>62</v>
      </c>
      <c r="L14" s="45"/>
      <c r="M14" s="45">
        <v>0</v>
      </c>
      <c r="N14" s="45">
        <v>0</v>
      </c>
      <c r="O14" s="45">
        <v>0</v>
      </c>
      <c r="P14" s="86">
        <v>0</v>
      </c>
      <c r="Q14" s="45">
        <v>0</v>
      </c>
      <c r="R14" s="45">
        <v>0</v>
      </c>
      <c r="S14" s="45">
        <v>0</v>
      </c>
      <c r="T14" s="46"/>
      <c r="U14" s="47"/>
      <c r="V14" s="101"/>
      <c r="W14" s="101"/>
      <c r="X14" s="128"/>
    </row>
    <row r="15" spans="2:24" ht="19.5" thickTop="1" thickBot="1" x14ac:dyDescent="0.3">
      <c r="B15" s="158"/>
      <c r="C15" s="107"/>
      <c r="D15" s="101"/>
      <c r="E15" s="31" t="s">
        <v>4</v>
      </c>
      <c r="F15" s="45">
        <f t="shared" ref="F15:S15" si="5">IF(F14&lt;30,F13,F13+F14)</f>
        <v>76</v>
      </c>
      <c r="G15" s="45">
        <f t="shared" si="5"/>
        <v>87</v>
      </c>
      <c r="H15" s="45">
        <f t="shared" si="5"/>
        <v>71</v>
      </c>
      <c r="I15" s="45">
        <f t="shared" si="5"/>
        <v>70</v>
      </c>
      <c r="J15" s="45">
        <f t="shared" si="5"/>
        <v>69</v>
      </c>
      <c r="K15" s="45">
        <f t="shared" si="5"/>
        <v>62</v>
      </c>
      <c r="L15" s="45">
        <f t="shared" si="5"/>
        <v>28</v>
      </c>
      <c r="M15" s="45">
        <f t="shared" si="5"/>
        <v>0</v>
      </c>
      <c r="N15" s="45">
        <f t="shared" si="5"/>
        <v>0</v>
      </c>
      <c r="O15" s="45">
        <f t="shared" si="5"/>
        <v>0</v>
      </c>
      <c r="P15" s="86">
        <f t="shared" si="5"/>
        <v>30</v>
      </c>
      <c r="Q15" s="45">
        <f t="shared" si="5"/>
        <v>0</v>
      </c>
      <c r="R15" s="45">
        <f t="shared" si="5"/>
        <v>0</v>
      </c>
      <c r="S15" s="45">
        <f t="shared" si="5"/>
        <v>0</v>
      </c>
      <c r="T15" s="46"/>
      <c r="U15" s="47"/>
      <c r="V15" s="101"/>
      <c r="W15" s="101"/>
      <c r="X15" s="128"/>
    </row>
    <row r="16" spans="2:24" ht="37.5" thickTop="1" thickBot="1" x14ac:dyDescent="0.3">
      <c r="B16" s="158"/>
      <c r="C16" s="107"/>
      <c r="D16" s="102"/>
      <c r="E16" s="32" t="s">
        <v>6</v>
      </c>
      <c r="F16" s="36">
        <f t="shared" ref="F16:L16" si="6">SUM(F12*F15)</f>
        <v>304</v>
      </c>
      <c r="G16" s="36">
        <f t="shared" si="6"/>
        <v>261</v>
      </c>
      <c r="H16" s="36">
        <f t="shared" si="6"/>
        <v>213</v>
      </c>
      <c r="I16" s="36">
        <f t="shared" si="6"/>
        <v>210</v>
      </c>
      <c r="J16" s="36">
        <f t="shared" si="6"/>
        <v>207</v>
      </c>
      <c r="K16" s="36">
        <f t="shared" si="6"/>
        <v>186</v>
      </c>
      <c r="L16" s="36">
        <f t="shared" si="6"/>
        <v>84</v>
      </c>
      <c r="M16" s="36">
        <f t="shared" ref="M16:S16" si="7">SUM(M12*M15)</f>
        <v>0</v>
      </c>
      <c r="N16" s="36">
        <f t="shared" si="7"/>
        <v>0</v>
      </c>
      <c r="O16" s="36">
        <f t="shared" si="7"/>
        <v>0</v>
      </c>
      <c r="P16" s="87">
        <f t="shared" si="7"/>
        <v>120</v>
      </c>
      <c r="Q16" s="36">
        <f t="shared" si="7"/>
        <v>0</v>
      </c>
      <c r="R16" s="36">
        <f t="shared" si="7"/>
        <v>0</v>
      </c>
      <c r="S16" s="36">
        <f t="shared" si="7"/>
        <v>0</v>
      </c>
      <c r="T16" s="50">
        <f>SUM(F16:S16)</f>
        <v>1585</v>
      </c>
      <c r="U16" s="51">
        <f>SUM(T16/T12)</f>
        <v>60.96153846153846</v>
      </c>
      <c r="V16" s="102"/>
      <c r="W16" s="102"/>
      <c r="X16" s="129"/>
    </row>
    <row r="17" spans="2:24" ht="20.25" thickTop="1" thickBot="1" x14ac:dyDescent="0.35">
      <c r="B17" s="158">
        <v>-3</v>
      </c>
      <c r="C17" s="107" t="s">
        <v>60</v>
      </c>
      <c r="D17" s="101" t="s">
        <v>290</v>
      </c>
      <c r="E17" s="10" t="s">
        <v>5</v>
      </c>
      <c r="F17" s="38">
        <f>IF(IF(F20=0,0,4),4,0)</f>
        <v>4</v>
      </c>
      <c r="G17" s="38">
        <f t="shared" ref="G17:L17" si="8">IF(IF(G20=0,0,3),3,0)</f>
        <v>3</v>
      </c>
      <c r="H17" s="38">
        <f t="shared" si="8"/>
        <v>3</v>
      </c>
      <c r="I17" s="38">
        <f t="shared" si="8"/>
        <v>0</v>
      </c>
      <c r="J17" s="38">
        <f t="shared" si="8"/>
        <v>3</v>
      </c>
      <c r="K17" s="38">
        <f t="shared" si="8"/>
        <v>3</v>
      </c>
      <c r="L17" s="38">
        <f t="shared" si="8"/>
        <v>3</v>
      </c>
      <c r="M17" s="65">
        <f>IF(IF(M20=0,0,3),3,0)</f>
        <v>0</v>
      </c>
      <c r="N17" s="65">
        <f>IF(IF(N20=0,0,4),4,0)</f>
        <v>0</v>
      </c>
      <c r="O17" s="64">
        <f>IF(IF(O20=0,0,2),2,0)</f>
        <v>0</v>
      </c>
      <c r="P17" s="65">
        <f>IF(IF(P20=0,0,4),4,0)</f>
        <v>4</v>
      </c>
      <c r="Q17" s="64">
        <f>IF(IF(Q20=0,0,2),2,0)</f>
        <v>0</v>
      </c>
      <c r="R17" s="38">
        <f>IF(IF(R20=0,0,3),3,0)</f>
        <v>0</v>
      </c>
      <c r="S17" s="38">
        <f>IF(IF(S20=0,0,3),3,0)</f>
        <v>0</v>
      </c>
      <c r="T17" s="38">
        <f>SUM(F17:S17)</f>
        <v>23</v>
      </c>
      <c r="U17" s="39"/>
      <c r="V17" s="112"/>
      <c r="W17" s="112"/>
      <c r="X17" s="141"/>
    </row>
    <row r="18" spans="2:24" ht="19.5" thickTop="1" thickBot="1" x14ac:dyDescent="0.3">
      <c r="B18" s="158"/>
      <c r="C18" s="107"/>
      <c r="D18" s="101"/>
      <c r="E18" s="33" t="s">
        <v>216</v>
      </c>
      <c r="F18" s="41">
        <v>0</v>
      </c>
      <c r="G18" s="41">
        <v>0</v>
      </c>
      <c r="H18" s="41">
        <v>0</v>
      </c>
      <c r="I18" s="42"/>
      <c r="J18" s="42">
        <v>0</v>
      </c>
      <c r="K18" s="42">
        <v>0</v>
      </c>
      <c r="L18" s="42">
        <v>0</v>
      </c>
      <c r="M18" s="41">
        <v>0</v>
      </c>
      <c r="N18" s="41">
        <v>0</v>
      </c>
      <c r="O18" s="41">
        <v>0</v>
      </c>
      <c r="P18" s="88">
        <v>35</v>
      </c>
      <c r="Q18" s="41">
        <v>0</v>
      </c>
      <c r="R18" s="42">
        <v>0</v>
      </c>
      <c r="S18" s="42">
        <v>0</v>
      </c>
      <c r="T18" s="42"/>
      <c r="U18" s="43"/>
      <c r="V18" s="101"/>
      <c r="W18" s="101"/>
      <c r="X18" s="128"/>
    </row>
    <row r="19" spans="2:24" ht="19.5" thickTop="1" thickBot="1" x14ac:dyDescent="0.3">
      <c r="B19" s="158"/>
      <c r="C19" s="107"/>
      <c r="D19" s="101"/>
      <c r="E19" s="30" t="s">
        <v>3</v>
      </c>
      <c r="F19" s="45">
        <v>68</v>
      </c>
      <c r="G19" s="45">
        <v>73</v>
      </c>
      <c r="H19" s="45">
        <v>70</v>
      </c>
      <c r="I19" s="45"/>
      <c r="J19" s="45">
        <v>66</v>
      </c>
      <c r="K19" s="45">
        <v>66</v>
      </c>
      <c r="L19" s="45">
        <v>50</v>
      </c>
      <c r="M19" s="45">
        <v>0</v>
      </c>
      <c r="N19" s="45">
        <v>0</v>
      </c>
      <c r="O19" s="45">
        <v>0</v>
      </c>
      <c r="P19" s="86">
        <v>0</v>
      </c>
      <c r="Q19" s="45">
        <v>0</v>
      </c>
      <c r="R19" s="45">
        <v>0</v>
      </c>
      <c r="S19" s="45">
        <v>0</v>
      </c>
      <c r="T19" s="46"/>
      <c r="U19" s="47"/>
      <c r="V19" s="101"/>
      <c r="W19" s="101"/>
      <c r="X19" s="128"/>
    </row>
    <row r="20" spans="2:24" ht="19.5" thickTop="1" thickBot="1" x14ac:dyDescent="0.3">
      <c r="B20" s="158"/>
      <c r="C20" s="107"/>
      <c r="D20" s="101"/>
      <c r="E20" s="31" t="s">
        <v>4</v>
      </c>
      <c r="F20" s="45">
        <f t="shared" ref="F20:S20" si="9">IF(F19&lt;30,F18,F18+F19)</f>
        <v>68</v>
      </c>
      <c r="G20" s="45">
        <f t="shared" si="9"/>
        <v>73</v>
      </c>
      <c r="H20" s="45">
        <f t="shared" si="9"/>
        <v>70</v>
      </c>
      <c r="I20" s="45">
        <f t="shared" si="9"/>
        <v>0</v>
      </c>
      <c r="J20" s="45">
        <f t="shared" si="9"/>
        <v>66</v>
      </c>
      <c r="K20" s="45">
        <f t="shared" si="9"/>
        <v>66</v>
      </c>
      <c r="L20" s="45">
        <f t="shared" si="9"/>
        <v>50</v>
      </c>
      <c r="M20" s="45">
        <f t="shared" si="9"/>
        <v>0</v>
      </c>
      <c r="N20" s="45">
        <f t="shared" si="9"/>
        <v>0</v>
      </c>
      <c r="O20" s="45">
        <f t="shared" si="9"/>
        <v>0</v>
      </c>
      <c r="P20" s="86">
        <f t="shared" si="9"/>
        <v>35</v>
      </c>
      <c r="Q20" s="45">
        <f t="shared" si="9"/>
        <v>0</v>
      </c>
      <c r="R20" s="45">
        <f t="shared" si="9"/>
        <v>0</v>
      </c>
      <c r="S20" s="45">
        <f t="shared" si="9"/>
        <v>0</v>
      </c>
      <c r="T20" s="46"/>
      <c r="U20" s="47"/>
      <c r="V20" s="101"/>
      <c r="W20" s="101"/>
      <c r="X20" s="128"/>
    </row>
    <row r="21" spans="2:24" ht="37.5" thickTop="1" thickBot="1" x14ac:dyDescent="0.3">
      <c r="B21" s="161"/>
      <c r="C21" s="163"/>
      <c r="D21" s="102"/>
      <c r="E21" s="35" t="s">
        <v>6</v>
      </c>
      <c r="F21" s="36">
        <f t="shared" ref="F21:L21" si="10">SUM(F17*F20)</f>
        <v>272</v>
      </c>
      <c r="G21" s="36">
        <f t="shared" si="10"/>
        <v>219</v>
      </c>
      <c r="H21" s="36">
        <f t="shared" si="10"/>
        <v>210</v>
      </c>
      <c r="I21" s="36">
        <f t="shared" si="10"/>
        <v>0</v>
      </c>
      <c r="J21" s="36">
        <f t="shared" si="10"/>
        <v>198</v>
      </c>
      <c r="K21" s="36">
        <f t="shared" si="10"/>
        <v>198</v>
      </c>
      <c r="L21" s="36">
        <f t="shared" si="10"/>
        <v>150</v>
      </c>
      <c r="M21" s="36">
        <f t="shared" ref="M21:S21" si="11">SUM(M17*M20)</f>
        <v>0</v>
      </c>
      <c r="N21" s="36">
        <f t="shared" si="11"/>
        <v>0</v>
      </c>
      <c r="O21" s="36">
        <f t="shared" si="11"/>
        <v>0</v>
      </c>
      <c r="P21" s="87">
        <f t="shared" si="11"/>
        <v>140</v>
      </c>
      <c r="Q21" s="36">
        <f t="shared" si="11"/>
        <v>0</v>
      </c>
      <c r="R21" s="36">
        <f t="shared" si="11"/>
        <v>0</v>
      </c>
      <c r="S21" s="36">
        <f t="shared" si="11"/>
        <v>0</v>
      </c>
      <c r="T21" s="50">
        <f>SUM(F21:S21)</f>
        <v>1387</v>
      </c>
      <c r="U21" s="51">
        <f>SUM(T21/T17)</f>
        <v>60.304347826086953</v>
      </c>
      <c r="V21" s="102"/>
      <c r="W21" s="102"/>
      <c r="X21" s="129"/>
    </row>
    <row r="22" spans="2:24" ht="20.25" thickTop="1" thickBot="1" x14ac:dyDescent="0.35">
      <c r="B22" s="162">
        <v>-4</v>
      </c>
      <c r="C22" s="164" t="s">
        <v>156</v>
      </c>
      <c r="D22" s="101" t="s">
        <v>291</v>
      </c>
      <c r="E22" s="10" t="s">
        <v>5</v>
      </c>
      <c r="F22" s="38">
        <f>IF(IF(F25=0,0,4),4,0)</f>
        <v>0</v>
      </c>
      <c r="G22" s="38">
        <f t="shared" ref="G22:L22" si="12">IF(IF(G25=0,0,3),3,0)</f>
        <v>3</v>
      </c>
      <c r="H22" s="38">
        <f t="shared" si="12"/>
        <v>3</v>
      </c>
      <c r="I22" s="38">
        <f t="shared" si="12"/>
        <v>0</v>
      </c>
      <c r="J22" s="38">
        <f t="shared" si="12"/>
        <v>0</v>
      </c>
      <c r="K22" s="38">
        <f t="shared" si="12"/>
        <v>0</v>
      </c>
      <c r="L22" s="38">
        <f t="shared" si="12"/>
        <v>3</v>
      </c>
      <c r="M22" s="65">
        <f>IF(IF(M25=0,0,3),3,0)</f>
        <v>0</v>
      </c>
      <c r="N22" s="65">
        <f>IF(IF(N25=0,0,4),4,0)</f>
        <v>4</v>
      </c>
      <c r="O22" s="64">
        <f>IF(IF(O25=0,0,2),2,0)</f>
        <v>0</v>
      </c>
      <c r="P22" s="65">
        <f>IF(IF(P25=0,0,4),4,0)</f>
        <v>0</v>
      </c>
      <c r="Q22" s="64">
        <f>IF(IF(Q25=0,0,2),2,0)</f>
        <v>0</v>
      </c>
      <c r="R22" s="38">
        <f>IF(IF(R25=0,0,3),3,0)</f>
        <v>0</v>
      </c>
      <c r="S22" s="38">
        <f>IF(IF(S25=0,0,3),3,0)</f>
        <v>0</v>
      </c>
      <c r="T22" s="38">
        <f>SUM(F22:S22)</f>
        <v>13</v>
      </c>
      <c r="U22" s="39"/>
      <c r="V22" s="112"/>
      <c r="W22" s="112"/>
      <c r="X22" s="141"/>
    </row>
    <row r="23" spans="2:24" ht="19.5" thickTop="1" thickBot="1" x14ac:dyDescent="0.3">
      <c r="B23" s="158"/>
      <c r="C23" s="107"/>
      <c r="D23" s="101"/>
      <c r="E23" s="33" t="s">
        <v>216</v>
      </c>
      <c r="F23" s="41"/>
      <c r="G23" s="41">
        <v>33</v>
      </c>
      <c r="H23" s="41">
        <v>32</v>
      </c>
      <c r="I23" s="42"/>
      <c r="J23" s="42"/>
      <c r="K23" s="42"/>
      <c r="L23" s="42">
        <v>24</v>
      </c>
      <c r="M23" s="41">
        <v>0</v>
      </c>
      <c r="N23" s="85">
        <v>23</v>
      </c>
      <c r="O23" s="41">
        <v>0</v>
      </c>
      <c r="P23" s="42">
        <v>0</v>
      </c>
      <c r="Q23" s="41">
        <v>0</v>
      </c>
      <c r="R23" s="42">
        <v>0</v>
      </c>
      <c r="S23" s="42">
        <v>0</v>
      </c>
      <c r="T23" s="42"/>
      <c r="U23" s="43"/>
      <c r="V23" s="101"/>
      <c r="W23" s="101"/>
      <c r="X23" s="128"/>
    </row>
    <row r="24" spans="2:24" ht="19.5" thickTop="1" thickBot="1" x14ac:dyDescent="0.3">
      <c r="B24" s="158"/>
      <c r="C24" s="107"/>
      <c r="D24" s="101"/>
      <c r="E24" s="30" t="s">
        <v>3</v>
      </c>
      <c r="F24" s="45"/>
      <c r="G24" s="45">
        <v>50</v>
      </c>
      <c r="H24" s="45"/>
      <c r="I24" s="45"/>
      <c r="J24" s="45"/>
      <c r="K24" s="45"/>
      <c r="L24" s="45"/>
      <c r="M24" s="45">
        <v>0</v>
      </c>
      <c r="N24" s="86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6"/>
      <c r="U24" s="47"/>
      <c r="V24" s="101"/>
      <c r="W24" s="101"/>
      <c r="X24" s="128"/>
    </row>
    <row r="25" spans="2:24" ht="19.5" thickTop="1" thickBot="1" x14ac:dyDescent="0.3">
      <c r="B25" s="158"/>
      <c r="C25" s="107"/>
      <c r="D25" s="101"/>
      <c r="E25" s="31" t="s">
        <v>4</v>
      </c>
      <c r="F25" s="45">
        <f t="shared" ref="F25:S25" si="13">IF(F24&lt;30,F23,F23+F24)</f>
        <v>0</v>
      </c>
      <c r="G25" s="45">
        <f t="shared" si="13"/>
        <v>83</v>
      </c>
      <c r="H25" s="45">
        <f t="shared" si="13"/>
        <v>32</v>
      </c>
      <c r="I25" s="45">
        <f t="shared" si="13"/>
        <v>0</v>
      </c>
      <c r="J25" s="45">
        <f t="shared" si="13"/>
        <v>0</v>
      </c>
      <c r="K25" s="45">
        <f t="shared" si="13"/>
        <v>0</v>
      </c>
      <c r="L25" s="45">
        <f t="shared" si="13"/>
        <v>24</v>
      </c>
      <c r="M25" s="45">
        <f t="shared" si="13"/>
        <v>0</v>
      </c>
      <c r="N25" s="86">
        <f t="shared" si="13"/>
        <v>23</v>
      </c>
      <c r="O25" s="45">
        <f t="shared" si="13"/>
        <v>0</v>
      </c>
      <c r="P25" s="45">
        <f t="shared" si="13"/>
        <v>0</v>
      </c>
      <c r="Q25" s="45">
        <f t="shared" si="13"/>
        <v>0</v>
      </c>
      <c r="R25" s="45">
        <f t="shared" si="13"/>
        <v>0</v>
      </c>
      <c r="S25" s="45">
        <f t="shared" si="13"/>
        <v>0</v>
      </c>
      <c r="T25" s="46"/>
      <c r="U25" s="47"/>
      <c r="V25" s="101"/>
      <c r="W25" s="101"/>
      <c r="X25" s="128"/>
    </row>
    <row r="26" spans="2:24" ht="37.5" thickTop="1" thickBot="1" x14ac:dyDescent="0.3">
      <c r="B26" s="161"/>
      <c r="C26" s="163"/>
      <c r="D26" s="102"/>
      <c r="E26" s="35" t="s">
        <v>6</v>
      </c>
      <c r="F26" s="36">
        <f t="shared" ref="F26:L26" si="14">SUM(F22*F25)</f>
        <v>0</v>
      </c>
      <c r="G26" s="36">
        <f t="shared" si="14"/>
        <v>249</v>
      </c>
      <c r="H26" s="36">
        <f t="shared" si="14"/>
        <v>96</v>
      </c>
      <c r="I26" s="36">
        <f t="shared" si="14"/>
        <v>0</v>
      </c>
      <c r="J26" s="36">
        <f t="shared" si="14"/>
        <v>0</v>
      </c>
      <c r="K26" s="36">
        <f t="shared" si="14"/>
        <v>0</v>
      </c>
      <c r="L26" s="36">
        <f t="shared" si="14"/>
        <v>72</v>
      </c>
      <c r="M26" s="36">
        <f t="shared" ref="M26:S26" si="15">SUM(M22*M25)</f>
        <v>0</v>
      </c>
      <c r="N26" s="87">
        <f t="shared" si="15"/>
        <v>92</v>
      </c>
      <c r="O26" s="36">
        <f t="shared" si="15"/>
        <v>0</v>
      </c>
      <c r="P26" s="36">
        <f t="shared" si="15"/>
        <v>0</v>
      </c>
      <c r="Q26" s="36">
        <f t="shared" si="15"/>
        <v>0</v>
      </c>
      <c r="R26" s="36">
        <f t="shared" si="15"/>
        <v>0</v>
      </c>
      <c r="S26" s="36">
        <f t="shared" si="15"/>
        <v>0</v>
      </c>
      <c r="T26" s="50">
        <f>SUM(F26:S26)</f>
        <v>509</v>
      </c>
      <c r="U26" s="51">
        <f>SUM(T26/T22)</f>
        <v>39.153846153846153</v>
      </c>
      <c r="V26" s="102"/>
      <c r="W26" s="102"/>
      <c r="X26" s="129"/>
    </row>
    <row r="27" spans="2:24" ht="20.25" thickTop="1" thickBot="1" x14ac:dyDescent="0.35">
      <c r="B27" s="162">
        <v>-5</v>
      </c>
      <c r="C27" s="164" t="s">
        <v>157</v>
      </c>
      <c r="D27" s="112" t="s">
        <v>292</v>
      </c>
      <c r="E27" s="10" t="s">
        <v>5</v>
      </c>
      <c r="F27" s="38">
        <f>IF(IF(F30=0,0,4),4,0)</f>
        <v>0</v>
      </c>
      <c r="G27" s="38">
        <f t="shared" ref="G27:L27" si="16">IF(IF(G30=0,0,3),3,0)</f>
        <v>3</v>
      </c>
      <c r="H27" s="38">
        <f t="shared" si="16"/>
        <v>3</v>
      </c>
      <c r="I27" s="38">
        <f t="shared" si="16"/>
        <v>0</v>
      </c>
      <c r="J27" s="38">
        <f t="shared" si="16"/>
        <v>0</v>
      </c>
      <c r="K27" s="38">
        <f t="shared" si="16"/>
        <v>0</v>
      </c>
      <c r="L27" s="38">
        <f t="shared" si="16"/>
        <v>3</v>
      </c>
      <c r="M27" s="65">
        <f>IF(IF(M30=0,0,3),3,0)</f>
        <v>0</v>
      </c>
      <c r="N27" s="65">
        <f>IF(IF(N30=0,0,4),4,0)</f>
        <v>0</v>
      </c>
      <c r="O27" s="64">
        <f>IF(IF(O30=0,0,2),2,0)</f>
        <v>0</v>
      </c>
      <c r="P27" s="65">
        <f>IF(IF(P30=0,0,4),4,0)</f>
        <v>0</v>
      </c>
      <c r="Q27" s="64">
        <f>IF(IF(Q30=0,0,2),2,0)</f>
        <v>0</v>
      </c>
      <c r="R27" s="38">
        <f>IF(IF(R30=0,0,3),3,0)</f>
        <v>0</v>
      </c>
      <c r="S27" s="38">
        <f>IF(IF(S30=0,0,3),3,0)</f>
        <v>0</v>
      </c>
      <c r="T27" s="38">
        <f>SUM(F27:S27)</f>
        <v>9</v>
      </c>
      <c r="U27" s="39"/>
      <c r="V27" s="112"/>
      <c r="W27" s="112"/>
      <c r="X27" s="141"/>
    </row>
    <row r="28" spans="2:24" ht="19.5" thickTop="1" thickBot="1" x14ac:dyDescent="0.3">
      <c r="B28" s="158"/>
      <c r="C28" s="107"/>
      <c r="D28" s="101"/>
      <c r="E28" s="33" t="s">
        <v>216</v>
      </c>
      <c r="F28" s="41"/>
      <c r="G28" s="41">
        <v>34</v>
      </c>
      <c r="H28" s="41">
        <v>30</v>
      </c>
      <c r="I28" s="42"/>
      <c r="J28" s="42"/>
      <c r="K28" s="42"/>
      <c r="L28" s="42">
        <v>39</v>
      </c>
      <c r="M28" s="41">
        <v>0</v>
      </c>
      <c r="N28" s="41">
        <v>0</v>
      </c>
      <c r="O28" s="41">
        <v>0</v>
      </c>
      <c r="P28" s="42">
        <v>0</v>
      </c>
      <c r="Q28" s="41">
        <v>0</v>
      </c>
      <c r="R28" s="42">
        <v>0</v>
      </c>
      <c r="S28" s="42">
        <v>0</v>
      </c>
      <c r="T28" s="42"/>
      <c r="U28" s="43"/>
      <c r="V28" s="101"/>
      <c r="W28" s="101"/>
      <c r="X28" s="128"/>
    </row>
    <row r="29" spans="2:24" ht="19.5" thickTop="1" thickBot="1" x14ac:dyDescent="0.3">
      <c r="B29" s="158"/>
      <c r="C29" s="107"/>
      <c r="D29" s="101"/>
      <c r="E29" s="30" t="s">
        <v>3</v>
      </c>
      <c r="F29" s="45"/>
      <c r="G29" s="45">
        <v>32</v>
      </c>
      <c r="H29" s="45">
        <v>0</v>
      </c>
      <c r="I29" s="45"/>
      <c r="J29" s="45"/>
      <c r="K29" s="45"/>
      <c r="L29" s="45"/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6"/>
      <c r="U29" s="47"/>
      <c r="V29" s="101"/>
      <c r="W29" s="101"/>
      <c r="X29" s="128"/>
    </row>
    <row r="30" spans="2:24" ht="19.5" thickTop="1" thickBot="1" x14ac:dyDescent="0.3">
      <c r="B30" s="158"/>
      <c r="C30" s="107"/>
      <c r="D30" s="101"/>
      <c r="E30" s="31" t="s">
        <v>4</v>
      </c>
      <c r="F30" s="45">
        <f t="shared" ref="F30:S30" si="17">IF(F29&lt;30,F28,F28+F29)</f>
        <v>0</v>
      </c>
      <c r="G30" s="45">
        <f t="shared" si="17"/>
        <v>66</v>
      </c>
      <c r="H30" s="45">
        <f t="shared" si="17"/>
        <v>30</v>
      </c>
      <c r="I30" s="45">
        <f t="shared" si="17"/>
        <v>0</v>
      </c>
      <c r="J30" s="45">
        <f t="shared" si="17"/>
        <v>0</v>
      </c>
      <c r="K30" s="45">
        <f t="shared" si="17"/>
        <v>0</v>
      </c>
      <c r="L30" s="45">
        <f t="shared" si="17"/>
        <v>39</v>
      </c>
      <c r="M30" s="45">
        <f t="shared" si="17"/>
        <v>0</v>
      </c>
      <c r="N30" s="45">
        <f t="shared" si="17"/>
        <v>0</v>
      </c>
      <c r="O30" s="45">
        <f t="shared" si="17"/>
        <v>0</v>
      </c>
      <c r="P30" s="45">
        <f t="shared" si="17"/>
        <v>0</v>
      </c>
      <c r="Q30" s="45">
        <f t="shared" si="17"/>
        <v>0</v>
      </c>
      <c r="R30" s="45">
        <f t="shared" si="17"/>
        <v>0</v>
      </c>
      <c r="S30" s="45">
        <f t="shared" si="17"/>
        <v>0</v>
      </c>
      <c r="T30" s="46"/>
      <c r="U30" s="47"/>
      <c r="V30" s="101"/>
      <c r="W30" s="101"/>
      <c r="X30" s="128"/>
    </row>
    <row r="31" spans="2:24" ht="37.5" thickTop="1" thickBot="1" x14ac:dyDescent="0.3">
      <c r="B31" s="159"/>
      <c r="C31" s="108"/>
      <c r="D31" s="102"/>
      <c r="E31" s="32" t="s">
        <v>6</v>
      </c>
      <c r="F31" s="36">
        <f t="shared" ref="F31:L31" si="18">SUM(F27*F30)</f>
        <v>0</v>
      </c>
      <c r="G31" s="36">
        <f t="shared" si="18"/>
        <v>198</v>
      </c>
      <c r="H31" s="36">
        <f t="shared" si="18"/>
        <v>90</v>
      </c>
      <c r="I31" s="36">
        <f t="shared" si="18"/>
        <v>0</v>
      </c>
      <c r="J31" s="36">
        <f t="shared" si="18"/>
        <v>0</v>
      </c>
      <c r="K31" s="36">
        <f t="shared" si="18"/>
        <v>0</v>
      </c>
      <c r="L31" s="36">
        <f t="shared" si="18"/>
        <v>117</v>
      </c>
      <c r="M31" s="36">
        <f t="shared" ref="M31:S31" si="19">SUM(M27*M30)</f>
        <v>0</v>
      </c>
      <c r="N31" s="36">
        <f t="shared" si="19"/>
        <v>0</v>
      </c>
      <c r="O31" s="36">
        <f t="shared" si="19"/>
        <v>0</v>
      </c>
      <c r="P31" s="36">
        <f t="shared" si="19"/>
        <v>0</v>
      </c>
      <c r="Q31" s="36">
        <f t="shared" si="19"/>
        <v>0</v>
      </c>
      <c r="R31" s="36">
        <f t="shared" si="19"/>
        <v>0</v>
      </c>
      <c r="S31" s="36">
        <f t="shared" si="19"/>
        <v>0</v>
      </c>
      <c r="T31" s="50">
        <f>SUM(F31:S31)</f>
        <v>405</v>
      </c>
      <c r="U31" s="51">
        <f>SUM(T31/T27)</f>
        <v>45</v>
      </c>
      <c r="V31" s="102"/>
      <c r="W31" s="102"/>
      <c r="X31" s="129"/>
    </row>
    <row r="32" spans="2:24" ht="20.25" thickTop="1" thickBot="1" x14ac:dyDescent="0.35">
      <c r="B32" s="160">
        <v>-6</v>
      </c>
      <c r="C32" s="106" t="s">
        <v>158</v>
      </c>
      <c r="D32" s="112" t="s">
        <v>293</v>
      </c>
      <c r="E32" s="10" t="s">
        <v>5</v>
      </c>
      <c r="F32" s="38">
        <f>IF(IF(F35=0,0,4),4,0)</f>
        <v>0</v>
      </c>
      <c r="G32" s="38">
        <f t="shared" ref="G32:L32" si="20">IF(IF(G35=0,0,3),3,0)</f>
        <v>3</v>
      </c>
      <c r="H32" s="38">
        <f t="shared" si="20"/>
        <v>3</v>
      </c>
      <c r="I32" s="38">
        <f t="shared" si="20"/>
        <v>0</v>
      </c>
      <c r="J32" s="38">
        <f t="shared" si="20"/>
        <v>0</v>
      </c>
      <c r="K32" s="38">
        <f t="shared" si="20"/>
        <v>0</v>
      </c>
      <c r="L32" s="38">
        <f t="shared" si="20"/>
        <v>3</v>
      </c>
      <c r="M32" s="65">
        <f>IF(IF(M35=0,0,3),3,0)</f>
        <v>0</v>
      </c>
      <c r="N32" s="65">
        <f>IF(IF(N35=0,0,4),4,0)</f>
        <v>0</v>
      </c>
      <c r="O32" s="64">
        <f>IF(IF(O35=0,0,2),2,0)</f>
        <v>0</v>
      </c>
      <c r="P32" s="65">
        <f>IF(IF(P35=0,0,4),4,0)</f>
        <v>0</v>
      </c>
      <c r="Q32" s="64">
        <f>IF(IF(Q35=0,0,2),2,0)</f>
        <v>0</v>
      </c>
      <c r="R32" s="38">
        <f>IF(IF(R35=0,0,3),3,0)</f>
        <v>0</v>
      </c>
      <c r="S32" s="38">
        <f>IF(IF(S35=0,0,3),3,0)</f>
        <v>0</v>
      </c>
      <c r="T32" s="38">
        <f>SUM(F32:S32)</f>
        <v>9</v>
      </c>
      <c r="U32" s="39"/>
      <c r="V32" s="112"/>
      <c r="W32" s="112"/>
      <c r="X32" s="141"/>
    </row>
    <row r="33" spans="2:24" ht="19.5" thickTop="1" thickBot="1" x14ac:dyDescent="0.3">
      <c r="B33" s="158"/>
      <c r="C33" s="107"/>
      <c r="D33" s="101"/>
      <c r="E33" s="33" t="s">
        <v>216</v>
      </c>
      <c r="F33" s="41"/>
      <c r="G33" s="41">
        <v>35</v>
      </c>
      <c r="H33" s="41">
        <v>25</v>
      </c>
      <c r="I33" s="42"/>
      <c r="J33" s="42"/>
      <c r="K33" s="42"/>
      <c r="L33" s="42">
        <v>37</v>
      </c>
      <c r="M33" s="85">
        <v>0</v>
      </c>
      <c r="N33" s="41">
        <v>0</v>
      </c>
      <c r="O33" s="41">
        <v>0</v>
      </c>
      <c r="P33" s="42">
        <v>0</v>
      </c>
      <c r="Q33" s="41">
        <v>0</v>
      </c>
      <c r="R33" s="42">
        <v>0</v>
      </c>
      <c r="S33" s="42">
        <v>0</v>
      </c>
      <c r="T33" s="42"/>
      <c r="U33" s="43"/>
      <c r="V33" s="101"/>
      <c r="W33" s="101"/>
      <c r="X33" s="128"/>
    </row>
    <row r="34" spans="2:24" ht="19.5" thickTop="1" thickBot="1" x14ac:dyDescent="0.3">
      <c r="B34" s="158"/>
      <c r="C34" s="107"/>
      <c r="D34" s="101"/>
      <c r="E34" s="30" t="s">
        <v>3</v>
      </c>
      <c r="F34" s="45"/>
      <c r="G34" s="45">
        <v>44</v>
      </c>
      <c r="H34" s="45"/>
      <c r="I34" s="45"/>
      <c r="J34" s="45"/>
      <c r="K34" s="45"/>
      <c r="L34" s="45"/>
      <c r="M34" s="86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6"/>
      <c r="U34" s="47"/>
      <c r="V34" s="101"/>
      <c r="W34" s="101"/>
      <c r="X34" s="128"/>
    </row>
    <row r="35" spans="2:24" ht="19.5" thickTop="1" thickBot="1" x14ac:dyDescent="0.3">
      <c r="B35" s="158"/>
      <c r="C35" s="107"/>
      <c r="D35" s="101"/>
      <c r="E35" s="31" t="s">
        <v>4</v>
      </c>
      <c r="F35" s="45">
        <f t="shared" ref="F35:S35" si="21">IF(F34&lt;30,F33,F33+F34)</f>
        <v>0</v>
      </c>
      <c r="G35" s="45">
        <f t="shared" si="21"/>
        <v>79</v>
      </c>
      <c r="H35" s="45">
        <f t="shared" si="21"/>
        <v>25</v>
      </c>
      <c r="I35" s="45">
        <f t="shared" si="21"/>
        <v>0</v>
      </c>
      <c r="J35" s="45">
        <f t="shared" si="21"/>
        <v>0</v>
      </c>
      <c r="K35" s="45">
        <f t="shared" si="21"/>
        <v>0</v>
      </c>
      <c r="L35" s="45">
        <f t="shared" si="21"/>
        <v>37</v>
      </c>
      <c r="M35" s="86">
        <f t="shared" si="21"/>
        <v>0</v>
      </c>
      <c r="N35" s="45">
        <f t="shared" si="21"/>
        <v>0</v>
      </c>
      <c r="O35" s="45">
        <f t="shared" si="21"/>
        <v>0</v>
      </c>
      <c r="P35" s="45">
        <f t="shared" si="21"/>
        <v>0</v>
      </c>
      <c r="Q35" s="45">
        <f t="shared" si="21"/>
        <v>0</v>
      </c>
      <c r="R35" s="45">
        <f t="shared" si="21"/>
        <v>0</v>
      </c>
      <c r="S35" s="45">
        <f t="shared" si="21"/>
        <v>0</v>
      </c>
      <c r="T35" s="46"/>
      <c r="U35" s="47"/>
      <c r="V35" s="101"/>
      <c r="W35" s="101"/>
      <c r="X35" s="128"/>
    </row>
    <row r="36" spans="2:24" ht="37.5" thickTop="1" thickBot="1" x14ac:dyDescent="0.3">
      <c r="B36" s="159"/>
      <c r="C36" s="108"/>
      <c r="D36" s="102"/>
      <c r="E36" s="32" t="s">
        <v>6</v>
      </c>
      <c r="F36" s="36">
        <f t="shared" ref="F36:L36" si="22">SUM(F32*F35)</f>
        <v>0</v>
      </c>
      <c r="G36" s="36">
        <f t="shared" si="22"/>
        <v>237</v>
      </c>
      <c r="H36" s="36">
        <f t="shared" si="22"/>
        <v>75</v>
      </c>
      <c r="I36" s="36">
        <f t="shared" si="22"/>
        <v>0</v>
      </c>
      <c r="J36" s="36">
        <f t="shared" si="22"/>
        <v>0</v>
      </c>
      <c r="K36" s="36">
        <f t="shared" si="22"/>
        <v>0</v>
      </c>
      <c r="L36" s="36">
        <f t="shared" si="22"/>
        <v>111</v>
      </c>
      <c r="M36" s="87">
        <f t="shared" ref="M36:S36" si="23">SUM(M32*M35)</f>
        <v>0</v>
      </c>
      <c r="N36" s="36">
        <f t="shared" si="23"/>
        <v>0</v>
      </c>
      <c r="O36" s="36">
        <f t="shared" si="23"/>
        <v>0</v>
      </c>
      <c r="P36" s="36">
        <f t="shared" si="23"/>
        <v>0</v>
      </c>
      <c r="Q36" s="36">
        <f t="shared" si="23"/>
        <v>0</v>
      </c>
      <c r="R36" s="36">
        <f t="shared" si="23"/>
        <v>0</v>
      </c>
      <c r="S36" s="36">
        <f t="shared" si="23"/>
        <v>0</v>
      </c>
      <c r="T36" s="50">
        <f>SUM(F36:S36)</f>
        <v>423</v>
      </c>
      <c r="U36" s="51">
        <f>SUM(T36/T32)</f>
        <v>47</v>
      </c>
      <c r="V36" s="102"/>
      <c r="W36" s="102"/>
      <c r="X36" s="129"/>
    </row>
    <row r="37" spans="2:24" ht="20.25" thickTop="1" thickBot="1" x14ac:dyDescent="0.35">
      <c r="B37" s="160">
        <v>-7</v>
      </c>
      <c r="C37" s="106" t="s">
        <v>159</v>
      </c>
      <c r="D37" s="112" t="s">
        <v>294</v>
      </c>
      <c r="E37" s="10" t="s">
        <v>5</v>
      </c>
      <c r="F37" s="38">
        <f>IF(IF(F40=0,0,4),4,0)</f>
        <v>0</v>
      </c>
      <c r="G37" s="38">
        <f t="shared" ref="G37:L37" si="24">IF(IF(G40=0,0,3),3,0)</f>
        <v>3</v>
      </c>
      <c r="H37" s="38">
        <f t="shared" si="24"/>
        <v>3</v>
      </c>
      <c r="I37" s="38">
        <f t="shared" si="24"/>
        <v>0</v>
      </c>
      <c r="J37" s="38">
        <f t="shared" si="24"/>
        <v>0</v>
      </c>
      <c r="K37" s="38">
        <f t="shared" si="24"/>
        <v>0</v>
      </c>
      <c r="L37" s="38">
        <f t="shared" si="24"/>
        <v>3</v>
      </c>
      <c r="M37" s="38">
        <f>IF(IF(M40=0,0,3),3,0)</f>
        <v>0</v>
      </c>
      <c r="N37" s="38">
        <f>IF(IF(N40=0,0,4),4,0)</f>
        <v>0</v>
      </c>
      <c r="O37" s="37">
        <f>IF(IF(O40=0,0,2),2,0)</f>
        <v>0</v>
      </c>
      <c r="P37" s="38">
        <f>IF(IF(P40=0,0,4),4,0)</f>
        <v>0</v>
      </c>
      <c r="Q37" s="37">
        <f>IF(IF(Q40=0,0,2),2,0)</f>
        <v>0</v>
      </c>
      <c r="R37" s="38">
        <f>IF(IF(R40=0,0,3),3,0)</f>
        <v>0</v>
      </c>
      <c r="S37" s="38">
        <f>IF(IF(S40=0,0,3),3,0)</f>
        <v>0</v>
      </c>
      <c r="T37" s="38">
        <f>SUM(F37:S37)</f>
        <v>9</v>
      </c>
      <c r="U37" s="39"/>
      <c r="V37" s="112"/>
      <c r="W37" s="112"/>
      <c r="X37" s="141"/>
    </row>
    <row r="38" spans="2:24" ht="19.5" thickTop="1" thickBot="1" x14ac:dyDescent="0.3">
      <c r="B38" s="158"/>
      <c r="C38" s="107"/>
      <c r="D38" s="101"/>
      <c r="E38" s="33" t="s">
        <v>216</v>
      </c>
      <c r="F38" s="75"/>
      <c r="G38" s="75">
        <v>34</v>
      </c>
      <c r="H38" s="75">
        <v>30</v>
      </c>
      <c r="I38" s="79"/>
      <c r="J38" s="79"/>
      <c r="K38" s="79"/>
      <c r="L38" s="79">
        <v>20</v>
      </c>
      <c r="M38" s="41">
        <v>0</v>
      </c>
      <c r="N38" s="41">
        <v>0</v>
      </c>
      <c r="O38" s="41">
        <v>0</v>
      </c>
      <c r="P38" s="42">
        <v>0</v>
      </c>
      <c r="Q38" s="41">
        <v>0</v>
      </c>
      <c r="R38" s="42">
        <v>0</v>
      </c>
      <c r="S38" s="42">
        <v>0</v>
      </c>
      <c r="T38" s="42"/>
      <c r="U38" s="43"/>
      <c r="V38" s="101"/>
      <c r="W38" s="101"/>
      <c r="X38" s="128"/>
    </row>
    <row r="39" spans="2:24" ht="19.5" thickTop="1" thickBot="1" x14ac:dyDescent="0.3">
      <c r="B39" s="158"/>
      <c r="C39" s="107"/>
      <c r="D39" s="101"/>
      <c r="E39" s="30" t="s">
        <v>3</v>
      </c>
      <c r="F39" s="74"/>
      <c r="G39" s="74">
        <v>56</v>
      </c>
      <c r="H39" s="74"/>
      <c r="I39" s="74"/>
      <c r="J39" s="74"/>
      <c r="K39" s="74"/>
      <c r="L39" s="74"/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6"/>
      <c r="U39" s="47"/>
      <c r="V39" s="101"/>
      <c r="W39" s="101"/>
      <c r="X39" s="128"/>
    </row>
    <row r="40" spans="2:24" ht="19.5" thickTop="1" thickBot="1" x14ac:dyDescent="0.3">
      <c r="B40" s="158"/>
      <c r="C40" s="107"/>
      <c r="D40" s="101"/>
      <c r="E40" s="31" t="s">
        <v>4</v>
      </c>
      <c r="F40" s="74">
        <f t="shared" ref="F40:S40" si="25">IF(F39&lt;30,F38,F38+F39)</f>
        <v>0</v>
      </c>
      <c r="G40" s="74">
        <f t="shared" si="25"/>
        <v>90</v>
      </c>
      <c r="H40" s="74">
        <f t="shared" si="25"/>
        <v>30</v>
      </c>
      <c r="I40" s="74">
        <f t="shared" si="25"/>
        <v>0</v>
      </c>
      <c r="J40" s="74">
        <f t="shared" si="25"/>
        <v>0</v>
      </c>
      <c r="K40" s="74">
        <f t="shared" si="25"/>
        <v>0</v>
      </c>
      <c r="L40" s="74">
        <f t="shared" si="25"/>
        <v>20</v>
      </c>
      <c r="M40" s="45">
        <f t="shared" si="25"/>
        <v>0</v>
      </c>
      <c r="N40" s="74">
        <f t="shared" si="25"/>
        <v>0</v>
      </c>
      <c r="O40" s="45">
        <f t="shared" si="25"/>
        <v>0</v>
      </c>
      <c r="P40" s="45">
        <f t="shared" si="25"/>
        <v>0</v>
      </c>
      <c r="Q40" s="45">
        <f t="shared" si="25"/>
        <v>0</v>
      </c>
      <c r="R40" s="45">
        <f t="shared" si="25"/>
        <v>0</v>
      </c>
      <c r="S40" s="45">
        <f t="shared" si="25"/>
        <v>0</v>
      </c>
      <c r="T40" s="46"/>
      <c r="U40" s="47"/>
      <c r="V40" s="101"/>
      <c r="W40" s="101"/>
      <c r="X40" s="128"/>
    </row>
    <row r="41" spans="2:24" ht="37.5" thickTop="1" thickBot="1" x14ac:dyDescent="0.3">
      <c r="B41" s="166"/>
      <c r="C41" s="165"/>
      <c r="D41" s="102"/>
      <c r="E41" s="32" t="s">
        <v>6</v>
      </c>
      <c r="F41" s="76">
        <f t="shared" ref="F41:L41" si="26">SUM(F37*F40)</f>
        <v>0</v>
      </c>
      <c r="G41" s="76">
        <f t="shared" si="26"/>
        <v>270</v>
      </c>
      <c r="H41" s="76">
        <f t="shared" si="26"/>
        <v>90</v>
      </c>
      <c r="I41" s="76">
        <f t="shared" si="26"/>
        <v>0</v>
      </c>
      <c r="J41" s="76">
        <f t="shared" si="26"/>
        <v>0</v>
      </c>
      <c r="K41" s="76">
        <f t="shared" si="26"/>
        <v>0</v>
      </c>
      <c r="L41" s="76">
        <f t="shared" si="26"/>
        <v>60</v>
      </c>
      <c r="M41" s="53">
        <f t="shared" ref="M41:S41" si="27">SUM(M37*M40)</f>
        <v>0</v>
      </c>
      <c r="N41" s="76">
        <f t="shared" si="27"/>
        <v>0</v>
      </c>
      <c r="O41" s="53">
        <f t="shared" si="27"/>
        <v>0</v>
      </c>
      <c r="P41" s="53">
        <f t="shared" si="27"/>
        <v>0</v>
      </c>
      <c r="Q41" s="53">
        <f t="shared" si="27"/>
        <v>0</v>
      </c>
      <c r="R41" s="53">
        <f t="shared" si="27"/>
        <v>0</v>
      </c>
      <c r="S41" s="53">
        <f t="shared" si="27"/>
        <v>0</v>
      </c>
      <c r="T41" s="54">
        <f>SUM(F41:S41)</f>
        <v>420</v>
      </c>
      <c r="U41" s="53">
        <f>SUM(T41/T37)</f>
        <v>46.666666666666664</v>
      </c>
      <c r="V41" s="102"/>
      <c r="W41" s="102"/>
      <c r="X41" s="129"/>
    </row>
    <row r="42" spans="2:24" ht="20.25" thickTop="1" thickBot="1" x14ac:dyDescent="0.35">
      <c r="B42" s="157">
        <v>-8</v>
      </c>
      <c r="C42" s="138" t="s">
        <v>160</v>
      </c>
      <c r="D42" s="113" t="s">
        <v>295</v>
      </c>
      <c r="E42" s="9" t="s">
        <v>5</v>
      </c>
      <c r="F42" s="38">
        <f>IF(IF(F45=0,0,4),4,0)</f>
        <v>0</v>
      </c>
      <c r="G42" s="38">
        <f t="shared" ref="G42:L42" si="28">IF(IF(G45=0,0,3),3,0)</f>
        <v>3</v>
      </c>
      <c r="H42" s="38">
        <f t="shared" si="28"/>
        <v>3</v>
      </c>
      <c r="I42" s="38">
        <f t="shared" si="28"/>
        <v>0</v>
      </c>
      <c r="J42" s="38">
        <f t="shared" si="28"/>
        <v>0</v>
      </c>
      <c r="K42" s="38">
        <f t="shared" si="28"/>
        <v>0</v>
      </c>
      <c r="L42" s="38">
        <f t="shared" si="28"/>
        <v>3</v>
      </c>
      <c r="M42" s="65">
        <f>IF(IF(M45=0,0,3),3,0)</f>
        <v>0</v>
      </c>
      <c r="N42" s="65">
        <f>IF(IF(N45=0,0,4),4,0)</f>
        <v>0</v>
      </c>
      <c r="O42" s="64">
        <f>IF(IF(O45=0,0,2),2,0)</f>
        <v>0</v>
      </c>
      <c r="P42" s="65">
        <f>IF(IF(P45=0,0,4),4,0)</f>
        <v>0</v>
      </c>
      <c r="Q42" s="64">
        <f>IF(IF(Q45=0,0,2),2,0)</f>
        <v>0</v>
      </c>
      <c r="R42" s="38">
        <f>IF(IF(R45=0,0,3),3,0)</f>
        <v>0</v>
      </c>
      <c r="S42" s="38">
        <f>IF(IF(S45=0,0,3),3,0)</f>
        <v>0</v>
      </c>
      <c r="T42" s="38">
        <f>SUM(F42:S42)</f>
        <v>9</v>
      </c>
      <c r="U42" s="39"/>
      <c r="V42" s="112"/>
      <c r="W42" s="112"/>
      <c r="X42" s="141"/>
    </row>
    <row r="43" spans="2:24" ht="19.5" thickTop="1" thickBot="1" x14ac:dyDescent="0.3">
      <c r="B43" s="158"/>
      <c r="C43" s="107"/>
      <c r="D43" s="101"/>
      <c r="E43" s="29" t="s">
        <v>216</v>
      </c>
      <c r="F43" s="41"/>
      <c r="G43" s="41">
        <v>36</v>
      </c>
      <c r="H43" s="41">
        <v>24</v>
      </c>
      <c r="I43" s="42"/>
      <c r="J43" s="42"/>
      <c r="K43" s="42"/>
      <c r="L43" s="42">
        <v>34</v>
      </c>
      <c r="M43" s="41">
        <v>0</v>
      </c>
      <c r="N43" s="41">
        <v>0</v>
      </c>
      <c r="O43" s="41">
        <v>0</v>
      </c>
      <c r="P43" s="42">
        <v>0</v>
      </c>
      <c r="Q43" s="41">
        <v>0</v>
      </c>
      <c r="R43" s="42">
        <v>0</v>
      </c>
      <c r="S43" s="42">
        <v>0</v>
      </c>
      <c r="T43" s="42"/>
      <c r="U43" s="43"/>
      <c r="V43" s="101"/>
      <c r="W43" s="101"/>
      <c r="X43" s="128"/>
    </row>
    <row r="44" spans="2:24" ht="19.5" thickTop="1" thickBot="1" x14ac:dyDescent="0.3">
      <c r="B44" s="158"/>
      <c r="C44" s="107"/>
      <c r="D44" s="101"/>
      <c r="E44" s="30" t="s">
        <v>3</v>
      </c>
      <c r="F44" s="45"/>
      <c r="G44" s="45">
        <v>51</v>
      </c>
      <c r="H44" s="45"/>
      <c r="I44" s="45"/>
      <c r="J44" s="45"/>
      <c r="K44" s="45"/>
      <c r="L44" s="45"/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6"/>
      <c r="U44" s="47"/>
      <c r="V44" s="101"/>
      <c r="W44" s="101"/>
      <c r="X44" s="128"/>
    </row>
    <row r="45" spans="2:24" ht="19.5" thickTop="1" thickBot="1" x14ac:dyDescent="0.3">
      <c r="B45" s="158"/>
      <c r="C45" s="107"/>
      <c r="D45" s="101"/>
      <c r="E45" s="31" t="s">
        <v>4</v>
      </c>
      <c r="F45" s="45">
        <f t="shared" ref="F45:S45" si="29">IF(F44&lt;30,F43,F43+F44)</f>
        <v>0</v>
      </c>
      <c r="G45" s="45">
        <f t="shared" si="29"/>
        <v>87</v>
      </c>
      <c r="H45" s="45">
        <f t="shared" si="29"/>
        <v>24</v>
      </c>
      <c r="I45" s="45">
        <f t="shared" si="29"/>
        <v>0</v>
      </c>
      <c r="J45" s="45">
        <f t="shared" si="29"/>
        <v>0</v>
      </c>
      <c r="K45" s="45">
        <f t="shared" si="29"/>
        <v>0</v>
      </c>
      <c r="L45" s="45">
        <f t="shared" si="29"/>
        <v>34</v>
      </c>
      <c r="M45" s="45">
        <f t="shared" si="29"/>
        <v>0</v>
      </c>
      <c r="N45" s="45">
        <f t="shared" si="29"/>
        <v>0</v>
      </c>
      <c r="O45" s="45">
        <f t="shared" si="29"/>
        <v>0</v>
      </c>
      <c r="P45" s="45">
        <f t="shared" si="29"/>
        <v>0</v>
      </c>
      <c r="Q45" s="45">
        <f t="shared" si="29"/>
        <v>0</v>
      </c>
      <c r="R45" s="45">
        <f t="shared" si="29"/>
        <v>0</v>
      </c>
      <c r="S45" s="45">
        <f t="shared" si="29"/>
        <v>0</v>
      </c>
      <c r="T45" s="46"/>
      <c r="U45" s="47"/>
      <c r="V45" s="101"/>
      <c r="W45" s="101"/>
      <c r="X45" s="128"/>
    </row>
    <row r="46" spans="2:24" ht="37.5" thickTop="1" thickBot="1" x14ac:dyDescent="0.3">
      <c r="B46" s="159"/>
      <c r="C46" s="108"/>
      <c r="D46" s="102"/>
      <c r="E46" s="32" t="s">
        <v>6</v>
      </c>
      <c r="F46" s="36">
        <f t="shared" ref="F46:L46" si="30">SUM(F42*F45)</f>
        <v>0</v>
      </c>
      <c r="G46" s="36">
        <f t="shared" si="30"/>
        <v>261</v>
      </c>
      <c r="H46" s="36">
        <f t="shared" si="30"/>
        <v>72</v>
      </c>
      <c r="I46" s="36">
        <f t="shared" si="30"/>
        <v>0</v>
      </c>
      <c r="J46" s="36">
        <f t="shared" si="30"/>
        <v>0</v>
      </c>
      <c r="K46" s="36">
        <f t="shared" si="30"/>
        <v>0</v>
      </c>
      <c r="L46" s="36">
        <f t="shared" si="30"/>
        <v>102</v>
      </c>
      <c r="M46" s="36">
        <f t="shared" ref="M46:S46" si="31">SUM(M42*M45)</f>
        <v>0</v>
      </c>
      <c r="N46" s="36">
        <f t="shared" si="31"/>
        <v>0</v>
      </c>
      <c r="O46" s="36">
        <f t="shared" si="31"/>
        <v>0</v>
      </c>
      <c r="P46" s="36">
        <f t="shared" si="31"/>
        <v>0</v>
      </c>
      <c r="Q46" s="36">
        <f t="shared" si="31"/>
        <v>0</v>
      </c>
      <c r="R46" s="36">
        <f t="shared" si="31"/>
        <v>0</v>
      </c>
      <c r="S46" s="36">
        <f t="shared" si="31"/>
        <v>0</v>
      </c>
      <c r="T46" s="50">
        <f>SUM(F46:S46)</f>
        <v>435</v>
      </c>
      <c r="U46" s="51">
        <f>SUM(T46/T42)</f>
        <v>48.333333333333336</v>
      </c>
      <c r="V46" s="102"/>
      <c r="W46" s="102"/>
      <c r="X46" s="129"/>
    </row>
    <row r="47" spans="2:24" ht="20.25" thickTop="1" thickBot="1" x14ac:dyDescent="0.35">
      <c r="B47" s="160">
        <v>-9</v>
      </c>
      <c r="C47" s="106" t="s">
        <v>161</v>
      </c>
      <c r="D47" s="101" t="s">
        <v>296</v>
      </c>
      <c r="E47" s="9" t="s">
        <v>5</v>
      </c>
      <c r="F47" s="38">
        <f>IF(IF(F50=0,0,4),4,0)</f>
        <v>0</v>
      </c>
      <c r="G47" s="38">
        <f t="shared" ref="G47:L47" si="32">IF(IF(G50=0,0,3),3,0)</f>
        <v>3</v>
      </c>
      <c r="H47" s="38">
        <f t="shared" si="32"/>
        <v>3</v>
      </c>
      <c r="I47" s="38">
        <f t="shared" si="32"/>
        <v>0</v>
      </c>
      <c r="J47" s="38">
        <f t="shared" si="32"/>
        <v>0</v>
      </c>
      <c r="K47" s="38">
        <f t="shared" si="32"/>
        <v>0</v>
      </c>
      <c r="L47" s="38">
        <f t="shared" si="32"/>
        <v>3</v>
      </c>
      <c r="M47" s="38">
        <f>IF(IF(M50=0,0,3),3,0)</f>
        <v>0</v>
      </c>
      <c r="N47" s="38">
        <f>IF(IF(N50=0,0,4),4,0)</f>
        <v>0</v>
      </c>
      <c r="O47" s="37">
        <f>IF(IF(O50=0,0,2),2,0)</f>
        <v>0</v>
      </c>
      <c r="P47" s="38">
        <f>IF(IF(P50=0,0,4),4,0)</f>
        <v>0</v>
      </c>
      <c r="Q47" s="37">
        <f>IF(IF(Q50=0,0,2),2,0)</f>
        <v>0</v>
      </c>
      <c r="R47" s="38">
        <f>IF(IF(R50=0,0,3),3,0)</f>
        <v>0</v>
      </c>
      <c r="S47" s="38">
        <f>IF(IF(S50=0,0,3),3,0)</f>
        <v>0</v>
      </c>
      <c r="T47" s="38">
        <f>SUM(F47:S47)</f>
        <v>9</v>
      </c>
      <c r="U47" s="39"/>
      <c r="V47" s="112"/>
      <c r="W47" s="112"/>
      <c r="X47" s="141"/>
    </row>
    <row r="48" spans="2:24" ht="19.5" thickTop="1" thickBot="1" x14ac:dyDescent="0.3">
      <c r="B48" s="158"/>
      <c r="C48" s="107"/>
      <c r="D48" s="101"/>
      <c r="E48" s="29" t="s">
        <v>216</v>
      </c>
      <c r="F48" s="41"/>
      <c r="G48" s="41">
        <v>39</v>
      </c>
      <c r="H48" s="41">
        <v>40</v>
      </c>
      <c r="I48" s="42"/>
      <c r="J48" s="42"/>
      <c r="K48" s="42"/>
      <c r="L48" s="42">
        <v>39</v>
      </c>
      <c r="M48" s="41">
        <v>0</v>
      </c>
      <c r="N48" s="41">
        <v>0</v>
      </c>
      <c r="O48" s="41">
        <v>0</v>
      </c>
      <c r="P48" s="42">
        <v>0</v>
      </c>
      <c r="Q48" s="41">
        <v>0</v>
      </c>
      <c r="R48" s="42">
        <v>0</v>
      </c>
      <c r="S48" s="42">
        <v>0</v>
      </c>
      <c r="T48" s="42"/>
      <c r="U48" s="43"/>
      <c r="V48" s="101"/>
      <c r="W48" s="101"/>
      <c r="X48" s="128"/>
    </row>
    <row r="49" spans="2:24" ht="19.5" thickTop="1" thickBot="1" x14ac:dyDescent="0.3">
      <c r="B49" s="158"/>
      <c r="C49" s="107"/>
      <c r="D49" s="101"/>
      <c r="E49" s="30" t="s">
        <v>3</v>
      </c>
      <c r="F49" s="45"/>
      <c r="G49" s="45">
        <v>59</v>
      </c>
      <c r="H49" s="45"/>
      <c r="I49" s="45"/>
      <c r="J49" s="45"/>
      <c r="K49" s="45"/>
      <c r="L49" s="45"/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6"/>
      <c r="U49" s="47"/>
      <c r="V49" s="101"/>
      <c r="W49" s="101"/>
      <c r="X49" s="128"/>
    </row>
    <row r="50" spans="2:24" ht="19.5" thickTop="1" thickBot="1" x14ac:dyDescent="0.3">
      <c r="B50" s="158"/>
      <c r="C50" s="107"/>
      <c r="D50" s="101"/>
      <c r="E50" s="31" t="s">
        <v>4</v>
      </c>
      <c r="F50" s="45">
        <f t="shared" ref="F50:S50" si="33">IF(F49&lt;30,F48,F48+F49)</f>
        <v>0</v>
      </c>
      <c r="G50" s="45">
        <f t="shared" si="33"/>
        <v>98</v>
      </c>
      <c r="H50" s="45">
        <f t="shared" si="33"/>
        <v>40</v>
      </c>
      <c r="I50" s="45">
        <f t="shared" si="33"/>
        <v>0</v>
      </c>
      <c r="J50" s="45">
        <f t="shared" si="33"/>
        <v>0</v>
      </c>
      <c r="K50" s="45">
        <f t="shared" si="33"/>
        <v>0</v>
      </c>
      <c r="L50" s="45">
        <f t="shared" si="33"/>
        <v>39</v>
      </c>
      <c r="M50" s="45">
        <f t="shared" si="33"/>
        <v>0</v>
      </c>
      <c r="N50" s="45">
        <f t="shared" si="33"/>
        <v>0</v>
      </c>
      <c r="O50" s="45">
        <f t="shared" si="33"/>
        <v>0</v>
      </c>
      <c r="P50" s="45">
        <f t="shared" si="33"/>
        <v>0</v>
      </c>
      <c r="Q50" s="45">
        <f t="shared" si="33"/>
        <v>0</v>
      </c>
      <c r="R50" s="45">
        <f t="shared" si="33"/>
        <v>0</v>
      </c>
      <c r="S50" s="45">
        <f t="shared" si="33"/>
        <v>0</v>
      </c>
      <c r="T50" s="46"/>
      <c r="U50" s="47"/>
      <c r="V50" s="101"/>
      <c r="W50" s="101"/>
      <c r="X50" s="128"/>
    </row>
    <row r="51" spans="2:24" ht="37.5" thickTop="1" thickBot="1" x14ac:dyDescent="0.3">
      <c r="B51" s="158"/>
      <c r="C51" s="165"/>
      <c r="D51" s="102"/>
      <c r="E51" s="32" t="s">
        <v>6</v>
      </c>
      <c r="F51" s="36">
        <f t="shared" ref="F51:L51" si="34">SUM(F47*F50)</f>
        <v>0</v>
      </c>
      <c r="G51" s="36">
        <f t="shared" si="34"/>
        <v>294</v>
      </c>
      <c r="H51" s="36">
        <f t="shared" si="34"/>
        <v>120</v>
      </c>
      <c r="I51" s="36">
        <f t="shared" si="34"/>
        <v>0</v>
      </c>
      <c r="J51" s="36">
        <f t="shared" si="34"/>
        <v>0</v>
      </c>
      <c r="K51" s="36">
        <f t="shared" si="34"/>
        <v>0</v>
      </c>
      <c r="L51" s="36">
        <f t="shared" si="34"/>
        <v>117</v>
      </c>
      <c r="M51" s="36">
        <f t="shared" ref="M51:S51" si="35">SUM(M47*M50)</f>
        <v>0</v>
      </c>
      <c r="N51" s="36">
        <f t="shared" si="35"/>
        <v>0</v>
      </c>
      <c r="O51" s="36">
        <f t="shared" si="35"/>
        <v>0</v>
      </c>
      <c r="P51" s="36">
        <f t="shared" si="35"/>
        <v>0</v>
      </c>
      <c r="Q51" s="36">
        <f t="shared" si="35"/>
        <v>0</v>
      </c>
      <c r="R51" s="36">
        <f t="shared" si="35"/>
        <v>0</v>
      </c>
      <c r="S51" s="36">
        <f t="shared" si="35"/>
        <v>0</v>
      </c>
      <c r="T51" s="50">
        <f>SUM(F51:S51)</f>
        <v>531</v>
      </c>
      <c r="U51" s="51">
        <f>SUM(T51/T47)</f>
        <v>59</v>
      </c>
      <c r="V51" s="102"/>
      <c r="W51" s="102"/>
      <c r="X51" s="129"/>
    </row>
    <row r="52" spans="2:24" ht="20.25" thickTop="1" thickBot="1" x14ac:dyDescent="0.35">
      <c r="B52" s="158">
        <v>-10</v>
      </c>
      <c r="C52" s="107" t="s">
        <v>162</v>
      </c>
      <c r="D52" s="101" t="s">
        <v>297</v>
      </c>
      <c r="E52" s="10" t="s">
        <v>5</v>
      </c>
      <c r="F52" s="38">
        <f>IF(IF(F55=0,0,4),4,0)</f>
        <v>0</v>
      </c>
      <c r="G52" s="38">
        <f t="shared" ref="G52:L52" si="36">IF(IF(G55=0,0,3),3,0)</f>
        <v>3</v>
      </c>
      <c r="H52" s="38">
        <f t="shared" si="36"/>
        <v>3</v>
      </c>
      <c r="I52" s="38">
        <f t="shared" si="36"/>
        <v>0</v>
      </c>
      <c r="J52" s="38">
        <f t="shared" si="36"/>
        <v>0</v>
      </c>
      <c r="K52" s="38">
        <f t="shared" si="36"/>
        <v>0</v>
      </c>
      <c r="L52" s="38">
        <f t="shared" si="36"/>
        <v>3</v>
      </c>
      <c r="M52" s="38">
        <f>IF(IF(M55=0,0,3),3,0)</f>
        <v>0</v>
      </c>
      <c r="N52" s="38">
        <f>IF(IF(N55=0,0,4),4,0)</f>
        <v>0</v>
      </c>
      <c r="O52" s="37">
        <f>IF(IF(O55=0,0,2),2,0)</f>
        <v>0</v>
      </c>
      <c r="P52" s="38">
        <f>IF(IF(P55=0,0,4),4,0)</f>
        <v>0</v>
      </c>
      <c r="Q52" s="37">
        <f>IF(IF(Q55=0,0,2),2,0)</f>
        <v>0</v>
      </c>
      <c r="R52" s="38">
        <f>IF(IF(R55=0,0,3),3,0)</f>
        <v>0</v>
      </c>
      <c r="S52" s="38">
        <f>IF(IF(S55=0,0,3),3,0)</f>
        <v>0</v>
      </c>
      <c r="T52" s="38">
        <f>SUM(F52:S52)</f>
        <v>9</v>
      </c>
      <c r="U52" s="39"/>
      <c r="V52" s="112"/>
      <c r="W52" s="112"/>
      <c r="X52" s="141"/>
    </row>
    <row r="53" spans="2:24" ht="19.5" thickTop="1" thickBot="1" x14ac:dyDescent="0.3">
      <c r="B53" s="158"/>
      <c r="C53" s="107"/>
      <c r="D53" s="101"/>
      <c r="E53" s="33" t="s">
        <v>216</v>
      </c>
      <c r="F53" s="41"/>
      <c r="G53" s="41">
        <v>34</v>
      </c>
      <c r="H53" s="41">
        <v>40</v>
      </c>
      <c r="I53" s="42"/>
      <c r="J53" s="42"/>
      <c r="K53" s="42"/>
      <c r="L53" s="42">
        <v>28</v>
      </c>
      <c r="M53" s="41">
        <v>0</v>
      </c>
      <c r="N53" s="41">
        <v>0</v>
      </c>
      <c r="O53" s="41">
        <v>0</v>
      </c>
      <c r="P53" s="42">
        <v>0</v>
      </c>
      <c r="Q53" s="41">
        <v>0</v>
      </c>
      <c r="R53" s="42">
        <v>0</v>
      </c>
      <c r="S53" s="42">
        <v>0</v>
      </c>
      <c r="T53" s="42"/>
      <c r="U53" s="43"/>
      <c r="V53" s="101"/>
      <c r="W53" s="101"/>
      <c r="X53" s="128"/>
    </row>
    <row r="54" spans="2:24" ht="19.5" thickTop="1" thickBot="1" x14ac:dyDescent="0.3">
      <c r="B54" s="158"/>
      <c r="C54" s="107"/>
      <c r="D54" s="101"/>
      <c r="E54" s="30" t="s">
        <v>3</v>
      </c>
      <c r="F54" s="45"/>
      <c r="G54" s="45">
        <v>49</v>
      </c>
      <c r="H54" s="45"/>
      <c r="I54" s="45"/>
      <c r="J54" s="45"/>
      <c r="K54" s="45"/>
      <c r="L54" s="45"/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6"/>
      <c r="U54" s="47"/>
      <c r="V54" s="101"/>
      <c r="W54" s="101"/>
      <c r="X54" s="128"/>
    </row>
    <row r="55" spans="2:24" ht="19.5" thickTop="1" thickBot="1" x14ac:dyDescent="0.3">
      <c r="B55" s="158"/>
      <c r="C55" s="107"/>
      <c r="D55" s="101"/>
      <c r="E55" s="31" t="s">
        <v>4</v>
      </c>
      <c r="F55" s="45">
        <f t="shared" ref="F55:S55" si="37">IF(F54&lt;30,F53,F53+F54)</f>
        <v>0</v>
      </c>
      <c r="G55" s="45">
        <f t="shared" si="37"/>
        <v>83</v>
      </c>
      <c r="H55" s="45">
        <f t="shared" si="37"/>
        <v>40</v>
      </c>
      <c r="I55" s="45">
        <f t="shared" si="37"/>
        <v>0</v>
      </c>
      <c r="J55" s="45">
        <f t="shared" si="37"/>
        <v>0</v>
      </c>
      <c r="K55" s="45">
        <f t="shared" si="37"/>
        <v>0</v>
      </c>
      <c r="L55" s="45">
        <f t="shared" si="37"/>
        <v>28</v>
      </c>
      <c r="M55" s="45">
        <f t="shared" si="37"/>
        <v>0</v>
      </c>
      <c r="N55" s="45">
        <f t="shared" si="37"/>
        <v>0</v>
      </c>
      <c r="O55" s="45">
        <f t="shared" si="37"/>
        <v>0</v>
      </c>
      <c r="P55" s="45">
        <f t="shared" si="37"/>
        <v>0</v>
      </c>
      <c r="Q55" s="45">
        <f t="shared" si="37"/>
        <v>0</v>
      </c>
      <c r="R55" s="45">
        <f t="shared" si="37"/>
        <v>0</v>
      </c>
      <c r="S55" s="45">
        <f t="shared" si="37"/>
        <v>0</v>
      </c>
      <c r="T55" s="46"/>
      <c r="U55" s="47"/>
      <c r="V55" s="101"/>
      <c r="W55" s="101"/>
      <c r="X55" s="128"/>
    </row>
    <row r="56" spans="2:24" ht="37.5" thickTop="1" thickBot="1" x14ac:dyDescent="0.3">
      <c r="B56" s="161"/>
      <c r="C56" s="163"/>
      <c r="D56" s="102"/>
      <c r="E56" s="35" t="s">
        <v>6</v>
      </c>
      <c r="F56" s="36">
        <f t="shared" ref="F56:L56" si="38">SUM(F52*F55)</f>
        <v>0</v>
      </c>
      <c r="G56" s="36">
        <f t="shared" si="38"/>
        <v>249</v>
      </c>
      <c r="H56" s="36">
        <f t="shared" si="38"/>
        <v>120</v>
      </c>
      <c r="I56" s="36">
        <f t="shared" si="38"/>
        <v>0</v>
      </c>
      <c r="J56" s="36">
        <f t="shared" si="38"/>
        <v>0</v>
      </c>
      <c r="K56" s="36">
        <f t="shared" si="38"/>
        <v>0</v>
      </c>
      <c r="L56" s="36">
        <f t="shared" si="38"/>
        <v>84</v>
      </c>
      <c r="M56" s="36">
        <f t="shared" ref="M56:S56" si="39">SUM(M52*M55)</f>
        <v>0</v>
      </c>
      <c r="N56" s="36">
        <f t="shared" si="39"/>
        <v>0</v>
      </c>
      <c r="O56" s="36">
        <f t="shared" si="39"/>
        <v>0</v>
      </c>
      <c r="P56" s="36">
        <f t="shared" si="39"/>
        <v>0</v>
      </c>
      <c r="Q56" s="36">
        <f t="shared" si="39"/>
        <v>0</v>
      </c>
      <c r="R56" s="36">
        <f t="shared" si="39"/>
        <v>0</v>
      </c>
      <c r="S56" s="36">
        <f t="shared" si="39"/>
        <v>0</v>
      </c>
      <c r="T56" s="50">
        <f>SUM(F56:S56)</f>
        <v>453</v>
      </c>
      <c r="U56" s="51">
        <f>SUM(T56/T52)</f>
        <v>50.333333333333336</v>
      </c>
      <c r="V56" s="102"/>
      <c r="W56" s="102"/>
      <c r="X56" s="129"/>
    </row>
    <row r="57" spans="2:24" ht="20.25" thickTop="1" thickBot="1" x14ac:dyDescent="0.35">
      <c r="B57" s="162">
        <v>-11</v>
      </c>
      <c r="C57" s="164" t="s">
        <v>163</v>
      </c>
      <c r="D57" s="101" t="s">
        <v>298</v>
      </c>
      <c r="E57" s="10" t="s">
        <v>5</v>
      </c>
      <c r="F57" s="38">
        <f>IF(IF(F60=0,0,4),4,0)</f>
        <v>0</v>
      </c>
      <c r="G57" s="38">
        <f t="shared" ref="G57:L57" si="40">IF(IF(G60=0,0,3),3,0)</f>
        <v>3</v>
      </c>
      <c r="H57" s="38">
        <f t="shared" si="40"/>
        <v>3</v>
      </c>
      <c r="I57" s="38">
        <f t="shared" si="40"/>
        <v>0</v>
      </c>
      <c r="J57" s="38">
        <f t="shared" si="40"/>
        <v>0</v>
      </c>
      <c r="K57" s="38">
        <f t="shared" si="40"/>
        <v>0</v>
      </c>
      <c r="L57" s="38">
        <f t="shared" si="40"/>
        <v>3</v>
      </c>
      <c r="M57" s="38">
        <f>IF(IF(M60=0,0,3),3,0)</f>
        <v>0</v>
      </c>
      <c r="N57" s="38">
        <f>IF(IF(N60=0,0,4),4,0)</f>
        <v>0</v>
      </c>
      <c r="O57" s="37">
        <f>IF(IF(O60=0,0,2),2,0)</f>
        <v>0</v>
      </c>
      <c r="P57" s="38">
        <f>IF(IF(P60=0,0,4),4,0)</f>
        <v>0</v>
      </c>
      <c r="Q57" s="37">
        <f>IF(IF(Q60=0,0,2),2,0)</f>
        <v>0</v>
      </c>
      <c r="R57" s="38">
        <f>IF(IF(R60=0,0,3),3,0)</f>
        <v>0</v>
      </c>
      <c r="S57" s="38">
        <f>IF(IF(S60=0,0,3),3,0)</f>
        <v>0</v>
      </c>
      <c r="T57" s="38">
        <f>SUM(F57:S57)</f>
        <v>9</v>
      </c>
      <c r="U57" s="39"/>
      <c r="V57" s="112"/>
      <c r="W57" s="112"/>
      <c r="X57" s="141"/>
    </row>
    <row r="58" spans="2:24" ht="19.5" thickTop="1" thickBot="1" x14ac:dyDescent="0.3">
      <c r="B58" s="158"/>
      <c r="C58" s="107"/>
      <c r="D58" s="101"/>
      <c r="E58" s="33" t="s">
        <v>216</v>
      </c>
      <c r="F58" s="41"/>
      <c r="G58" s="41">
        <v>40</v>
      </c>
      <c r="H58" s="41">
        <v>40</v>
      </c>
      <c r="I58" s="42"/>
      <c r="J58" s="42"/>
      <c r="K58" s="42"/>
      <c r="L58" s="42">
        <v>40</v>
      </c>
      <c r="M58" s="41">
        <v>0</v>
      </c>
      <c r="N58" s="41">
        <v>0</v>
      </c>
      <c r="O58" s="41">
        <v>0</v>
      </c>
      <c r="P58" s="42">
        <v>0</v>
      </c>
      <c r="Q58" s="41">
        <v>0</v>
      </c>
      <c r="R58" s="42">
        <v>0</v>
      </c>
      <c r="S58" s="42">
        <v>0</v>
      </c>
      <c r="T58" s="42"/>
      <c r="U58" s="43"/>
      <c r="V58" s="101"/>
      <c r="W58" s="101"/>
      <c r="X58" s="128"/>
    </row>
    <row r="59" spans="2:24" ht="19.5" thickTop="1" thickBot="1" x14ac:dyDescent="0.3">
      <c r="B59" s="158"/>
      <c r="C59" s="107"/>
      <c r="D59" s="101"/>
      <c r="E59" s="30" t="s">
        <v>3</v>
      </c>
      <c r="F59" s="45"/>
      <c r="G59" s="45">
        <v>60</v>
      </c>
      <c r="H59" s="45"/>
      <c r="I59" s="45"/>
      <c r="J59" s="45"/>
      <c r="K59" s="45"/>
      <c r="L59" s="45"/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6"/>
      <c r="U59" s="47"/>
      <c r="V59" s="101"/>
      <c r="W59" s="101"/>
      <c r="X59" s="128"/>
    </row>
    <row r="60" spans="2:24" ht="19.5" thickTop="1" thickBot="1" x14ac:dyDescent="0.3">
      <c r="B60" s="158"/>
      <c r="C60" s="107"/>
      <c r="D60" s="101"/>
      <c r="E60" s="31" t="s">
        <v>4</v>
      </c>
      <c r="F60" s="45">
        <f t="shared" ref="F60:S60" si="41">IF(F59&lt;30,F58,F58+F59)</f>
        <v>0</v>
      </c>
      <c r="G60" s="45">
        <f t="shared" si="41"/>
        <v>100</v>
      </c>
      <c r="H60" s="45">
        <f t="shared" si="41"/>
        <v>40</v>
      </c>
      <c r="I60" s="45">
        <f t="shared" si="41"/>
        <v>0</v>
      </c>
      <c r="J60" s="45">
        <f t="shared" si="41"/>
        <v>0</v>
      </c>
      <c r="K60" s="45">
        <f t="shared" si="41"/>
        <v>0</v>
      </c>
      <c r="L60" s="45">
        <f t="shared" si="41"/>
        <v>40</v>
      </c>
      <c r="M60" s="45">
        <f t="shared" si="41"/>
        <v>0</v>
      </c>
      <c r="N60" s="45">
        <f t="shared" si="41"/>
        <v>0</v>
      </c>
      <c r="O60" s="45">
        <f t="shared" si="41"/>
        <v>0</v>
      </c>
      <c r="P60" s="45">
        <f t="shared" si="41"/>
        <v>0</v>
      </c>
      <c r="Q60" s="45">
        <f t="shared" si="41"/>
        <v>0</v>
      </c>
      <c r="R60" s="45">
        <f t="shared" si="41"/>
        <v>0</v>
      </c>
      <c r="S60" s="45">
        <f t="shared" si="41"/>
        <v>0</v>
      </c>
      <c r="T60" s="46"/>
      <c r="U60" s="47"/>
      <c r="V60" s="101"/>
      <c r="W60" s="101"/>
      <c r="X60" s="128"/>
    </row>
    <row r="61" spans="2:24" ht="37.5" thickTop="1" thickBot="1" x14ac:dyDescent="0.3">
      <c r="B61" s="161"/>
      <c r="C61" s="163"/>
      <c r="D61" s="102"/>
      <c r="E61" s="35" t="s">
        <v>6</v>
      </c>
      <c r="F61" s="36">
        <f t="shared" ref="F61:L61" si="42">SUM(F57*F60)</f>
        <v>0</v>
      </c>
      <c r="G61" s="36">
        <f t="shared" si="42"/>
        <v>300</v>
      </c>
      <c r="H61" s="36">
        <f t="shared" si="42"/>
        <v>120</v>
      </c>
      <c r="I61" s="36">
        <f t="shared" si="42"/>
        <v>0</v>
      </c>
      <c r="J61" s="36">
        <f t="shared" si="42"/>
        <v>0</v>
      </c>
      <c r="K61" s="36">
        <f t="shared" si="42"/>
        <v>0</v>
      </c>
      <c r="L61" s="36">
        <f t="shared" si="42"/>
        <v>120</v>
      </c>
      <c r="M61" s="36">
        <f t="shared" ref="M61:S61" si="43">SUM(M57*M60)</f>
        <v>0</v>
      </c>
      <c r="N61" s="36">
        <f t="shared" si="43"/>
        <v>0</v>
      </c>
      <c r="O61" s="36">
        <f t="shared" si="43"/>
        <v>0</v>
      </c>
      <c r="P61" s="36">
        <f t="shared" si="43"/>
        <v>0</v>
      </c>
      <c r="Q61" s="36">
        <f t="shared" si="43"/>
        <v>0</v>
      </c>
      <c r="R61" s="36">
        <f t="shared" si="43"/>
        <v>0</v>
      </c>
      <c r="S61" s="36">
        <f t="shared" si="43"/>
        <v>0</v>
      </c>
      <c r="T61" s="50">
        <f>SUM(F61:S61)</f>
        <v>540</v>
      </c>
      <c r="U61" s="51">
        <f>SUM(T61/T57)</f>
        <v>60</v>
      </c>
      <c r="V61" s="102"/>
      <c r="W61" s="102"/>
      <c r="X61" s="129"/>
    </row>
    <row r="62" spans="2:24" ht="20.25" thickTop="1" thickBot="1" x14ac:dyDescent="0.35">
      <c r="B62" s="162">
        <v>-12</v>
      </c>
      <c r="C62" s="164" t="s">
        <v>164</v>
      </c>
      <c r="D62" s="112" t="s">
        <v>299</v>
      </c>
      <c r="E62" s="10" t="s">
        <v>5</v>
      </c>
      <c r="F62" s="38">
        <f>IF(IF(F65=0,0,4),4,0)</f>
        <v>0</v>
      </c>
      <c r="G62" s="38">
        <f t="shared" ref="G62:L62" si="44">IF(IF(G65=0,0,3),3,0)</f>
        <v>3</v>
      </c>
      <c r="H62" s="38">
        <f t="shared" si="44"/>
        <v>3</v>
      </c>
      <c r="I62" s="38">
        <f t="shared" si="44"/>
        <v>0</v>
      </c>
      <c r="J62" s="38">
        <f t="shared" si="44"/>
        <v>0</v>
      </c>
      <c r="K62" s="38">
        <f t="shared" si="44"/>
        <v>0</v>
      </c>
      <c r="L62" s="38">
        <f t="shared" si="44"/>
        <v>3</v>
      </c>
      <c r="M62" s="38">
        <f>IF(IF(M65=0,0,3),3,0)</f>
        <v>0</v>
      </c>
      <c r="N62" s="38">
        <f>IF(IF(N65=0,0,4),4,0)</f>
        <v>0</v>
      </c>
      <c r="O62" s="37">
        <f>IF(IF(O65=0,0,2),2,0)</f>
        <v>0</v>
      </c>
      <c r="P62" s="38">
        <f>IF(IF(P65=0,0,4),4,0)</f>
        <v>0</v>
      </c>
      <c r="Q62" s="37">
        <f>IF(IF(Q65=0,0,2),2,0)</f>
        <v>0</v>
      </c>
      <c r="R62" s="38">
        <f>IF(IF(R65=0,0,3),3,0)</f>
        <v>0</v>
      </c>
      <c r="S62" s="38">
        <f>IF(IF(S65=0,0,3),3,0)</f>
        <v>0</v>
      </c>
      <c r="T62" s="38">
        <f>SUM(F62:S62)</f>
        <v>9</v>
      </c>
      <c r="U62" s="39"/>
      <c r="V62" s="112"/>
      <c r="W62" s="112"/>
      <c r="X62" s="141"/>
    </row>
    <row r="63" spans="2:24" ht="19.5" thickTop="1" thickBot="1" x14ac:dyDescent="0.3">
      <c r="B63" s="158"/>
      <c r="C63" s="107"/>
      <c r="D63" s="101"/>
      <c r="E63" s="33" t="s">
        <v>216</v>
      </c>
      <c r="F63" s="41"/>
      <c r="G63" s="41">
        <v>40</v>
      </c>
      <c r="H63" s="41">
        <v>40</v>
      </c>
      <c r="I63" s="42"/>
      <c r="J63" s="42"/>
      <c r="K63" s="42"/>
      <c r="L63" s="42">
        <v>36</v>
      </c>
      <c r="M63" s="41">
        <v>0</v>
      </c>
      <c r="N63" s="41">
        <v>0</v>
      </c>
      <c r="O63" s="41">
        <v>0</v>
      </c>
      <c r="P63" s="42">
        <v>0</v>
      </c>
      <c r="Q63" s="41">
        <v>0</v>
      </c>
      <c r="R63" s="42">
        <v>0</v>
      </c>
      <c r="S63" s="42">
        <v>0</v>
      </c>
      <c r="T63" s="42"/>
      <c r="U63" s="43"/>
      <c r="V63" s="101"/>
      <c r="W63" s="101"/>
      <c r="X63" s="128"/>
    </row>
    <row r="64" spans="2:24" ht="19.5" thickTop="1" thickBot="1" x14ac:dyDescent="0.3">
      <c r="B64" s="158"/>
      <c r="C64" s="107"/>
      <c r="D64" s="101"/>
      <c r="E64" s="30" t="s">
        <v>3</v>
      </c>
      <c r="F64" s="45"/>
      <c r="G64" s="45">
        <v>60</v>
      </c>
      <c r="H64" s="45"/>
      <c r="I64" s="45"/>
      <c r="J64" s="45"/>
      <c r="K64" s="45"/>
      <c r="L64" s="45"/>
      <c r="M64" s="45">
        <v>0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6"/>
      <c r="U64" s="47"/>
      <c r="V64" s="101"/>
      <c r="W64" s="101"/>
      <c r="X64" s="128"/>
    </row>
    <row r="65" spans="2:24" ht="19.5" thickTop="1" thickBot="1" x14ac:dyDescent="0.3">
      <c r="B65" s="158"/>
      <c r="C65" s="107"/>
      <c r="D65" s="101"/>
      <c r="E65" s="31" t="s">
        <v>4</v>
      </c>
      <c r="F65" s="45">
        <f t="shared" ref="F65:S65" si="45">IF(F64&lt;30,F63,F63+F64)</f>
        <v>0</v>
      </c>
      <c r="G65" s="45">
        <f t="shared" si="45"/>
        <v>100</v>
      </c>
      <c r="H65" s="45">
        <f t="shared" si="45"/>
        <v>40</v>
      </c>
      <c r="I65" s="45">
        <f t="shared" si="45"/>
        <v>0</v>
      </c>
      <c r="J65" s="45">
        <f t="shared" si="45"/>
        <v>0</v>
      </c>
      <c r="K65" s="45">
        <f t="shared" si="45"/>
        <v>0</v>
      </c>
      <c r="L65" s="45">
        <f t="shared" si="45"/>
        <v>36</v>
      </c>
      <c r="M65" s="45">
        <f t="shared" si="45"/>
        <v>0</v>
      </c>
      <c r="N65" s="45">
        <f t="shared" si="45"/>
        <v>0</v>
      </c>
      <c r="O65" s="45">
        <f t="shared" si="45"/>
        <v>0</v>
      </c>
      <c r="P65" s="45">
        <f t="shared" si="45"/>
        <v>0</v>
      </c>
      <c r="Q65" s="45">
        <f t="shared" si="45"/>
        <v>0</v>
      </c>
      <c r="R65" s="45">
        <f t="shared" si="45"/>
        <v>0</v>
      </c>
      <c r="S65" s="45">
        <f t="shared" si="45"/>
        <v>0</v>
      </c>
      <c r="T65" s="46"/>
      <c r="U65" s="47"/>
      <c r="V65" s="101"/>
      <c r="W65" s="101"/>
      <c r="X65" s="128"/>
    </row>
    <row r="66" spans="2:24" ht="37.5" thickTop="1" thickBot="1" x14ac:dyDescent="0.3">
      <c r="B66" s="159"/>
      <c r="C66" s="108"/>
      <c r="D66" s="102"/>
      <c r="E66" s="32" t="s">
        <v>6</v>
      </c>
      <c r="F66" s="36">
        <f t="shared" ref="F66:L66" si="46">SUM(F62*F65)</f>
        <v>0</v>
      </c>
      <c r="G66" s="36">
        <f t="shared" si="46"/>
        <v>300</v>
      </c>
      <c r="H66" s="36">
        <f t="shared" si="46"/>
        <v>120</v>
      </c>
      <c r="I66" s="36">
        <f t="shared" si="46"/>
        <v>0</v>
      </c>
      <c r="J66" s="36">
        <f t="shared" si="46"/>
        <v>0</v>
      </c>
      <c r="K66" s="36">
        <f t="shared" si="46"/>
        <v>0</v>
      </c>
      <c r="L66" s="36">
        <f t="shared" si="46"/>
        <v>108</v>
      </c>
      <c r="M66" s="36">
        <f t="shared" ref="M66:S66" si="47">SUM(M62*M65)</f>
        <v>0</v>
      </c>
      <c r="N66" s="36">
        <f t="shared" si="47"/>
        <v>0</v>
      </c>
      <c r="O66" s="36">
        <f t="shared" si="47"/>
        <v>0</v>
      </c>
      <c r="P66" s="36">
        <f t="shared" si="47"/>
        <v>0</v>
      </c>
      <c r="Q66" s="36">
        <f t="shared" si="47"/>
        <v>0</v>
      </c>
      <c r="R66" s="36">
        <f t="shared" si="47"/>
        <v>0</v>
      </c>
      <c r="S66" s="36">
        <f t="shared" si="47"/>
        <v>0</v>
      </c>
      <c r="T66" s="50">
        <f>SUM(F66:S66)</f>
        <v>528</v>
      </c>
      <c r="U66" s="51">
        <f>SUM(T66/T62)</f>
        <v>58.666666666666664</v>
      </c>
      <c r="V66" s="102"/>
      <c r="W66" s="102"/>
      <c r="X66" s="129"/>
    </row>
    <row r="67" spans="2:24" ht="20.25" thickTop="1" thickBot="1" x14ac:dyDescent="0.35">
      <c r="B67" s="160">
        <v>-13</v>
      </c>
      <c r="C67" s="106" t="s">
        <v>165</v>
      </c>
      <c r="D67" s="112" t="s">
        <v>300</v>
      </c>
      <c r="E67" s="10" t="s">
        <v>5</v>
      </c>
      <c r="F67" s="38">
        <f>IF(IF(F70=0,0,4),4,0)</f>
        <v>0</v>
      </c>
      <c r="G67" s="38">
        <f t="shared" ref="G67:L67" si="48">IF(IF(G70=0,0,3),3,0)</f>
        <v>3</v>
      </c>
      <c r="H67" s="38">
        <f t="shared" si="48"/>
        <v>3</v>
      </c>
      <c r="I67" s="38">
        <f t="shared" si="48"/>
        <v>0</v>
      </c>
      <c r="J67" s="38">
        <f t="shared" si="48"/>
        <v>0</v>
      </c>
      <c r="K67" s="38">
        <f t="shared" si="48"/>
        <v>0</v>
      </c>
      <c r="L67" s="38">
        <f t="shared" si="48"/>
        <v>3</v>
      </c>
      <c r="M67" s="38">
        <f>IF(IF(M70=0,0,3),3,0)</f>
        <v>0</v>
      </c>
      <c r="N67" s="38">
        <f>IF(IF(N70=0,0,4),4,0)</f>
        <v>0</v>
      </c>
      <c r="O67" s="37">
        <f>IF(IF(O70=0,0,2),2,0)</f>
        <v>0</v>
      </c>
      <c r="P67" s="38">
        <f>IF(IF(P70=0,0,4),4,0)</f>
        <v>0</v>
      </c>
      <c r="Q67" s="37">
        <f>IF(IF(Q70=0,0,2),2,0)</f>
        <v>0</v>
      </c>
      <c r="R67" s="38">
        <f>IF(IF(R70=0,0,3),3,0)</f>
        <v>0</v>
      </c>
      <c r="S67" s="38">
        <f>IF(IF(S70=0,0,3),3,0)</f>
        <v>0</v>
      </c>
      <c r="T67" s="38">
        <f>SUM(F67:S67)</f>
        <v>9</v>
      </c>
      <c r="U67" s="39"/>
      <c r="V67" s="112"/>
      <c r="W67" s="112"/>
      <c r="X67" s="141"/>
    </row>
    <row r="68" spans="2:24" ht="19.5" thickTop="1" thickBot="1" x14ac:dyDescent="0.3">
      <c r="B68" s="158"/>
      <c r="C68" s="107"/>
      <c r="D68" s="101"/>
      <c r="E68" s="33" t="s">
        <v>216</v>
      </c>
      <c r="F68" s="41"/>
      <c r="G68" s="41">
        <v>40</v>
      </c>
      <c r="H68" s="41">
        <v>40</v>
      </c>
      <c r="I68" s="42"/>
      <c r="J68" s="42"/>
      <c r="K68" s="42"/>
      <c r="L68" s="42">
        <v>39</v>
      </c>
      <c r="M68" s="41">
        <v>0</v>
      </c>
      <c r="N68" s="41">
        <v>0</v>
      </c>
      <c r="O68" s="41">
        <v>0</v>
      </c>
      <c r="P68" s="42">
        <v>0</v>
      </c>
      <c r="Q68" s="41">
        <v>0</v>
      </c>
      <c r="R68" s="42">
        <v>0</v>
      </c>
      <c r="S68" s="42">
        <v>0</v>
      </c>
      <c r="T68" s="42"/>
      <c r="U68" s="43"/>
      <c r="V68" s="101"/>
      <c r="W68" s="101"/>
      <c r="X68" s="128"/>
    </row>
    <row r="69" spans="2:24" ht="19.5" thickTop="1" thickBot="1" x14ac:dyDescent="0.3">
      <c r="B69" s="158"/>
      <c r="C69" s="107"/>
      <c r="D69" s="101"/>
      <c r="E69" s="30" t="s">
        <v>3</v>
      </c>
      <c r="F69" s="45"/>
      <c r="G69" s="45">
        <v>50</v>
      </c>
      <c r="H69" s="45"/>
      <c r="I69" s="45"/>
      <c r="J69" s="45"/>
      <c r="K69" s="45"/>
      <c r="L69" s="45"/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6"/>
      <c r="U69" s="47"/>
      <c r="V69" s="101"/>
      <c r="W69" s="101"/>
      <c r="X69" s="128"/>
    </row>
    <row r="70" spans="2:24" ht="19.5" thickTop="1" thickBot="1" x14ac:dyDescent="0.3">
      <c r="B70" s="158"/>
      <c r="C70" s="107"/>
      <c r="D70" s="101"/>
      <c r="E70" s="31" t="s">
        <v>4</v>
      </c>
      <c r="F70" s="45">
        <f t="shared" ref="F70:S70" si="49">IF(F69&lt;30,F68,F68+F69)</f>
        <v>0</v>
      </c>
      <c r="G70" s="45">
        <f t="shared" si="49"/>
        <v>90</v>
      </c>
      <c r="H70" s="45">
        <f t="shared" si="49"/>
        <v>40</v>
      </c>
      <c r="I70" s="45">
        <f t="shared" si="49"/>
        <v>0</v>
      </c>
      <c r="J70" s="45">
        <f t="shared" si="49"/>
        <v>0</v>
      </c>
      <c r="K70" s="45">
        <f t="shared" si="49"/>
        <v>0</v>
      </c>
      <c r="L70" s="45">
        <f t="shared" si="49"/>
        <v>39</v>
      </c>
      <c r="M70" s="45">
        <f t="shared" si="49"/>
        <v>0</v>
      </c>
      <c r="N70" s="45">
        <f t="shared" si="49"/>
        <v>0</v>
      </c>
      <c r="O70" s="45">
        <f t="shared" si="49"/>
        <v>0</v>
      </c>
      <c r="P70" s="45">
        <f t="shared" si="49"/>
        <v>0</v>
      </c>
      <c r="Q70" s="45">
        <f t="shared" si="49"/>
        <v>0</v>
      </c>
      <c r="R70" s="45">
        <f t="shared" si="49"/>
        <v>0</v>
      </c>
      <c r="S70" s="45">
        <f t="shared" si="49"/>
        <v>0</v>
      </c>
      <c r="T70" s="46"/>
      <c r="U70" s="47"/>
      <c r="V70" s="101"/>
      <c r="W70" s="101"/>
      <c r="X70" s="128"/>
    </row>
    <row r="71" spans="2:24" ht="37.5" thickTop="1" thickBot="1" x14ac:dyDescent="0.3">
      <c r="B71" s="159"/>
      <c r="C71" s="108"/>
      <c r="D71" s="102"/>
      <c r="E71" s="32" t="s">
        <v>6</v>
      </c>
      <c r="F71" s="36">
        <f t="shared" ref="F71:L71" si="50">SUM(F67*F70)</f>
        <v>0</v>
      </c>
      <c r="G71" s="36">
        <f t="shared" si="50"/>
        <v>270</v>
      </c>
      <c r="H71" s="36">
        <f t="shared" si="50"/>
        <v>120</v>
      </c>
      <c r="I71" s="36">
        <f t="shared" si="50"/>
        <v>0</v>
      </c>
      <c r="J71" s="36">
        <f t="shared" si="50"/>
        <v>0</v>
      </c>
      <c r="K71" s="36">
        <f t="shared" si="50"/>
        <v>0</v>
      </c>
      <c r="L71" s="36">
        <f t="shared" si="50"/>
        <v>117</v>
      </c>
      <c r="M71" s="36">
        <f t="shared" ref="M71:S71" si="51">SUM(M67*M70)</f>
        <v>0</v>
      </c>
      <c r="N71" s="36">
        <f t="shared" si="51"/>
        <v>0</v>
      </c>
      <c r="O71" s="36">
        <f t="shared" si="51"/>
        <v>0</v>
      </c>
      <c r="P71" s="36">
        <f t="shared" si="51"/>
        <v>0</v>
      </c>
      <c r="Q71" s="36">
        <f t="shared" si="51"/>
        <v>0</v>
      </c>
      <c r="R71" s="36">
        <f t="shared" si="51"/>
        <v>0</v>
      </c>
      <c r="S71" s="36">
        <f t="shared" si="51"/>
        <v>0</v>
      </c>
      <c r="T71" s="50">
        <f>SUM(F71:S71)</f>
        <v>507</v>
      </c>
      <c r="U71" s="51">
        <f>SUM(T71/T67)</f>
        <v>56.333333333333336</v>
      </c>
      <c r="V71" s="102"/>
      <c r="W71" s="102"/>
      <c r="X71" s="129"/>
    </row>
    <row r="72" spans="2:24" ht="20.25" thickTop="1" thickBot="1" x14ac:dyDescent="0.35">
      <c r="B72" s="160">
        <v>-14</v>
      </c>
      <c r="C72" s="106" t="s">
        <v>166</v>
      </c>
      <c r="D72" s="112" t="s">
        <v>301</v>
      </c>
      <c r="E72" s="10" t="s">
        <v>5</v>
      </c>
      <c r="F72" s="38">
        <f>IF(IF(F75=0,0,4),4,0)</f>
        <v>0</v>
      </c>
      <c r="G72" s="38">
        <f t="shared" ref="G72:L72" si="52">IF(IF(G75=0,0,3),3,0)</f>
        <v>3</v>
      </c>
      <c r="H72" s="38">
        <f t="shared" si="52"/>
        <v>3</v>
      </c>
      <c r="I72" s="38">
        <f t="shared" si="52"/>
        <v>0</v>
      </c>
      <c r="J72" s="38">
        <f t="shared" si="52"/>
        <v>0</v>
      </c>
      <c r="K72" s="38">
        <f t="shared" si="52"/>
        <v>0</v>
      </c>
      <c r="L72" s="38">
        <f t="shared" si="52"/>
        <v>3</v>
      </c>
      <c r="M72" s="38">
        <f>IF(IF(M75=0,0,3),3,0)</f>
        <v>0</v>
      </c>
      <c r="N72" s="38">
        <f>IF(IF(N75=0,0,4),4,0)</f>
        <v>0</v>
      </c>
      <c r="O72" s="37">
        <f>IF(IF(O75=0,0,2),2,0)</f>
        <v>0</v>
      </c>
      <c r="P72" s="38">
        <f>IF(IF(P75=0,0,4),4,0)</f>
        <v>0</v>
      </c>
      <c r="Q72" s="37">
        <f>IF(IF(Q75=0,0,2),2,0)</f>
        <v>0</v>
      </c>
      <c r="R72" s="38">
        <f>IF(IF(R75=0,0,3),3,0)</f>
        <v>0</v>
      </c>
      <c r="S72" s="38">
        <f>IF(IF(S75=0,0,3),3,0)</f>
        <v>0</v>
      </c>
      <c r="T72" s="38">
        <f>SUM(F72:S72)</f>
        <v>9</v>
      </c>
      <c r="U72" s="39"/>
      <c r="V72" s="112"/>
      <c r="W72" s="112"/>
      <c r="X72" s="141"/>
    </row>
    <row r="73" spans="2:24" ht="19.5" thickTop="1" thickBot="1" x14ac:dyDescent="0.3">
      <c r="B73" s="158"/>
      <c r="C73" s="107"/>
      <c r="D73" s="101"/>
      <c r="E73" s="33" t="s">
        <v>216</v>
      </c>
      <c r="F73" s="41"/>
      <c r="G73" s="41">
        <v>40</v>
      </c>
      <c r="H73" s="41">
        <v>40</v>
      </c>
      <c r="I73" s="42"/>
      <c r="J73" s="42"/>
      <c r="K73" s="42"/>
      <c r="L73" s="42">
        <v>40</v>
      </c>
      <c r="M73" s="41"/>
      <c r="N73" s="41"/>
      <c r="O73" s="41"/>
      <c r="P73" s="42"/>
      <c r="Q73" s="41"/>
      <c r="R73" s="42"/>
      <c r="S73" s="42"/>
      <c r="T73" s="42"/>
      <c r="U73" s="43"/>
      <c r="V73" s="101"/>
      <c r="W73" s="101"/>
      <c r="X73" s="128"/>
    </row>
    <row r="74" spans="2:24" ht="19.5" thickTop="1" thickBot="1" x14ac:dyDescent="0.3">
      <c r="B74" s="158"/>
      <c r="C74" s="107"/>
      <c r="D74" s="101"/>
      <c r="E74" s="30" t="s">
        <v>3</v>
      </c>
      <c r="F74" s="45"/>
      <c r="G74" s="45">
        <v>60</v>
      </c>
      <c r="H74" s="45"/>
      <c r="I74" s="74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6"/>
      <c r="U74" s="47"/>
      <c r="V74" s="101"/>
      <c r="W74" s="101"/>
      <c r="X74" s="128"/>
    </row>
    <row r="75" spans="2:24" ht="19.5" thickTop="1" thickBot="1" x14ac:dyDescent="0.3">
      <c r="B75" s="158"/>
      <c r="C75" s="107"/>
      <c r="D75" s="101"/>
      <c r="E75" s="31" t="s">
        <v>4</v>
      </c>
      <c r="F75" s="45">
        <f t="shared" ref="F75:S75" si="53">IF(F74&lt;30,F73,F73+F74)</f>
        <v>0</v>
      </c>
      <c r="G75" s="45">
        <f t="shared" si="53"/>
        <v>100</v>
      </c>
      <c r="H75" s="45">
        <f t="shared" si="53"/>
        <v>40</v>
      </c>
      <c r="I75" s="45">
        <f t="shared" si="53"/>
        <v>0</v>
      </c>
      <c r="J75" s="45">
        <f t="shared" si="53"/>
        <v>0</v>
      </c>
      <c r="K75" s="45">
        <f t="shared" si="53"/>
        <v>0</v>
      </c>
      <c r="L75" s="45">
        <f t="shared" si="53"/>
        <v>40</v>
      </c>
      <c r="M75" s="45">
        <f t="shared" si="53"/>
        <v>0</v>
      </c>
      <c r="N75" s="45">
        <f t="shared" si="53"/>
        <v>0</v>
      </c>
      <c r="O75" s="45">
        <f t="shared" si="53"/>
        <v>0</v>
      </c>
      <c r="P75" s="45">
        <f t="shared" si="53"/>
        <v>0</v>
      </c>
      <c r="Q75" s="45">
        <f t="shared" si="53"/>
        <v>0</v>
      </c>
      <c r="R75" s="45">
        <f t="shared" si="53"/>
        <v>0</v>
      </c>
      <c r="S75" s="45">
        <f t="shared" si="53"/>
        <v>0</v>
      </c>
      <c r="T75" s="46"/>
      <c r="U75" s="47"/>
      <c r="V75" s="101"/>
      <c r="W75" s="101"/>
      <c r="X75" s="128"/>
    </row>
    <row r="76" spans="2:24" ht="37.5" thickTop="1" thickBot="1" x14ac:dyDescent="0.3">
      <c r="B76" s="166"/>
      <c r="C76" s="165"/>
      <c r="D76" s="102"/>
      <c r="E76" s="32" t="s">
        <v>6</v>
      </c>
      <c r="F76" s="53">
        <f t="shared" ref="F76:L76" si="54">SUM(F72*F75)</f>
        <v>0</v>
      </c>
      <c r="G76" s="53">
        <f t="shared" si="54"/>
        <v>300</v>
      </c>
      <c r="H76" s="53">
        <f t="shared" si="54"/>
        <v>120</v>
      </c>
      <c r="I76" s="53">
        <f t="shared" si="54"/>
        <v>0</v>
      </c>
      <c r="J76" s="53">
        <f t="shared" si="54"/>
        <v>0</v>
      </c>
      <c r="K76" s="53">
        <f t="shared" si="54"/>
        <v>0</v>
      </c>
      <c r="L76" s="53">
        <f t="shared" si="54"/>
        <v>120</v>
      </c>
      <c r="M76" s="53">
        <f t="shared" ref="M76:S76" si="55">SUM(M72*M75)</f>
        <v>0</v>
      </c>
      <c r="N76" s="53">
        <f t="shared" si="55"/>
        <v>0</v>
      </c>
      <c r="O76" s="53">
        <f t="shared" si="55"/>
        <v>0</v>
      </c>
      <c r="P76" s="53">
        <f t="shared" si="55"/>
        <v>0</v>
      </c>
      <c r="Q76" s="53">
        <f t="shared" si="55"/>
        <v>0</v>
      </c>
      <c r="R76" s="53">
        <f t="shared" si="55"/>
        <v>0</v>
      </c>
      <c r="S76" s="53">
        <f t="shared" si="55"/>
        <v>0</v>
      </c>
      <c r="T76" s="54">
        <f>SUM(F76:S76)</f>
        <v>540</v>
      </c>
      <c r="U76" s="53">
        <f>SUM(T76/T72)</f>
        <v>60</v>
      </c>
      <c r="V76" s="102"/>
      <c r="W76" s="102"/>
      <c r="X76" s="129"/>
    </row>
    <row r="77" spans="2:24" ht="20.25" thickTop="1" thickBot="1" x14ac:dyDescent="0.35">
      <c r="B77" s="157">
        <v>-15</v>
      </c>
      <c r="C77" s="138" t="s">
        <v>167</v>
      </c>
      <c r="D77" s="113" t="s">
        <v>302</v>
      </c>
      <c r="E77" s="9" t="s">
        <v>5</v>
      </c>
      <c r="F77" s="38">
        <f>IF(IF(F80=0,0,4),4,0)</f>
        <v>0</v>
      </c>
      <c r="G77" s="38">
        <f t="shared" ref="G77:L77" si="56">IF(IF(G80=0,0,3),3,0)</f>
        <v>3</v>
      </c>
      <c r="H77" s="38">
        <f t="shared" si="56"/>
        <v>3</v>
      </c>
      <c r="I77" s="38">
        <f t="shared" si="56"/>
        <v>0</v>
      </c>
      <c r="J77" s="38">
        <f t="shared" si="56"/>
        <v>0</v>
      </c>
      <c r="K77" s="38">
        <f t="shared" si="56"/>
        <v>0</v>
      </c>
      <c r="L77" s="38">
        <f t="shared" si="56"/>
        <v>3</v>
      </c>
      <c r="M77" s="65">
        <f>IF(IF(M80=0,0,3),3,0)</f>
        <v>0</v>
      </c>
      <c r="N77" s="65">
        <f>IF(IF(N80=0,0,4),4,0)</f>
        <v>0</v>
      </c>
      <c r="O77" s="64">
        <f>IF(IF(O80=0,0,2),2,0)</f>
        <v>0</v>
      </c>
      <c r="P77" s="65">
        <f>IF(IF(P80=0,0,4),4,0)</f>
        <v>0</v>
      </c>
      <c r="Q77" s="64">
        <f>IF(IF(Q80=0,0,2),2,0)</f>
        <v>0</v>
      </c>
      <c r="R77" s="65">
        <f>IF(IF(R80=0,0,3),3,0)</f>
        <v>0</v>
      </c>
      <c r="S77" s="64">
        <f>IF(IF(S80=0,0,3),3,0)</f>
        <v>0</v>
      </c>
      <c r="T77" s="38">
        <f>SUM(F77:S77)</f>
        <v>9</v>
      </c>
      <c r="U77" s="39"/>
      <c r="V77" s="112"/>
      <c r="W77" s="112"/>
      <c r="X77" s="141"/>
    </row>
    <row r="78" spans="2:24" ht="19.5" thickTop="1" thickBot="1" x14ac:dyDescent="0.3">
      <c r="B78" s="158"/>
      <c r="C78" s="107"/>
      <c r="D78" s="101"/>
      <c r="E78" s="29" t="s">
        <v>216</v>
      </c>
      <c r="F78" s="41"/>
      <c r="G78" s="41">
        <v>39</v>
      </c>
      <c r="H78" s="41">
        <v>40</v>
      </c>
      <c r="I78" s="42"/>
      <c r="J78" s="42"/>
      <c r="K78" s="42"/>
      <c r="L78" s="42">
        <v>40</v>
      </c>
      <c r="M78" s="41">
        <v>0</v>
      </c>
      <c r="N78" s="41">
        <v>0</v>
      </c>
      <c r="O78" s="41">
        <v>0</v>
      </c>
      <c r="P78" s="42">
        <v>0</v>
      </c>
      <c r="Q78" s="41">
        <v>0</v>
      </c>
      <c r="R78" s="42">
        <v>0</v>
      </c>
      <c r="S78" s="42">
        <v>0</v>
      </c>
      <c r="T78" s="42"/>
      <c r="U78" s="43"/>
      <c r="V78" s="101"/>
      <c r="W78" s="101"/>
      <c r="X78" s="128"/>
    </row>
    <row r="79" spans="2:24" ht="19.5" thickTop="1" thickBot="1" x14ac:dyDescent="0.3">
      <c r="B79" s="158"/>
      <c r="C79" s="107"/>
      <c r="D79" s="101"/>
      <c r="E79" s="30" t="s">
        <v>3</v>
      </c>
      <c r="F79" s="45"/>
      <c r="G79" s="45">
        <v>60</v>
      </c>
      <c r="H79" s="45"/>
      <c r="I79" s="45"/>
      <c r="J79" s="45"/>
      <c r="K79" s="45"/>
      <c r="L79" s="45"/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6"/>
      <c r="U79" s="47"/>
      <c r="V79" s="101"/>
      <c r="W79" s="101"/>
      <c r="X79" s="128"/>
    </row>
    <row r="80" spans="2:24" ht="19.5" thickTop="1" thickBot="1" x14ac:dyDescent="0.3">
      <c r="B80" s="158"/>
      <c r="C80" s="107"/>
      <c r="D80" s="101"/>
      <c r="E80" s="31" t="s">
        <v>4</v>
      </c>
      <c r="F80" s="45">
        <f t="shared" ref="F80:S80" si="57">IF(F79&lt;30,F78,F78+F79)</f>
        <v>0</v>
      </c>
      <c r="G80" s="45">
        <f t="shared" si="57"/>
        <v>99</v>
      </c>
      <c r="H80" s="45">
        <f t="shared" si="57"/>
        <v>40</v>
      </c>
      <c r="I80" s="45">
        <f t="shared" si="57"/>
        <v>0</v>
      </c>
      <c r="J80" s="45">
        <f t="shared" si="57"/>
        <v>0</v>
      </c>
      <c r="K80" s="45">
        <f t="shared" si="57"/>
        <v>0</v>
      </c>
      <c r="L80" s="45">
        <f t="shared" si="57"/>
        <v>40</v>
      </c>
      <c r="M80" s="45">
        <f t="shared" si="57"/>
        <v>0</v>
      </c>
      <c r="N80" s="45">
        <f t="shared" si="57"/>
        <v>0</v>
      </c>
      <c r="O80" s="45">
        <f t="shared" si="57"/>
        <v>0</v>
      </c>
      <c r="P80" s="45">
        <f t="shared" si="57"/>
        <v>0</v>
      </c>
      <c r="Q80" s="45">
        <f t="shared" si="57"/>
        <v>0</v>
      </c>
      <c r="R80" s="45">
        <f t="shared" si="57"/>
        <v>0</v>
      </c>
      <c r="S80" s="45">
        <f t="shared" si="57"/>
        <v>0</v>
      </c>
      <c r="T80" s="46"/>
      <c r="U80" s="47"/>
      <c r="V80" s="101"/>
      <c r="W80" s="101"/>
      <c r="X80" s="128"/>
    </row>
    <row r="81" spans="2:24" ht="37.5" thickTop="1" thickBot="1" x14ac:dyDescent="0.3">
      <c r="B81" s="159"/>
      <c r="C81" s="108"/>
      <c r="D81" s="102"/>
      <c r="E81" s="32" t="s">
        <v>6</v>
      </c>
      <c r="F81" s="36">
        <f t="shared" ref="F81:L81" si="58">SUM(F77*F80)</f>
        <v>0</v>
      </c>
      <c r="G81" s="36">
        <f t="shared" si="58"/>
        <v>297</v>
      </c>
      <c r="H81" s="36">
        <f t="shared" si="58"/>
        <v>120</v>
      </c>
      <c r="I81" s="36">
        <f t="shared" si="58"/>
        <v>0</v>
      </c>
      <c r="J81" s="36">
        <f t="shared" si="58"/>
        <v>0</v>
      </c>
      <c r="K81" s="36">
        <f t="shared" si="58"/>
        <v>0</v>
      </c>
      <c r="L81" s="36">
        <f t="shared" si="58"/>
        <v>120</v>
      </c>
      <c r="M81" s="36">
        <f t="shared" ref="M81:S81" si="59">SUM(M77*M80)</f>
        <v>0</v>
      </c>
      <c r="N81" s="36">
        <f t="shared" si="59"/>
        <v>0</v>
      </c>
      <c r="O81" s="36">
        <f t="shared" si="59"/>
        <v>0</v>
      </c>
      <c r="P81" s="36">
        <f t="shared" si="59"/>
        <v>0</v>
      </c>
      <c r="Q81" s="36">
        <f t="shared" si="59"/>
        <v>0</v>
      </c>
      <c r="R81" s="36">
        <f t="shared" si="59"/>
        <v>0</v>
      </c>
      <c r="S81" s="36">
        <f t="shared" si="59"/>
        <v>0</v>
      </c>
      <c r="T81" s="50">
        <f>SUM(F81:S81)</f>
        <v>537</v>
      </c>
      <c r="U81" s="51">
        <f>SUM(T81/T77)</f>
        <v>59.666666666666664</v>
      </c>
      <c r="V81" s="102"/>
      <c r="W81" s="102"/>
      <c r="X81" s="129"/>
    </row>
    <row r="82" spans="2:24" ht="20.25" thickTop="1" thickBot="1" x14ac:dyDescent="0.35">
      <c r="B82" s="160">
        <v>-16</v>
      </c>
      <c r="C82" s="106" t="s">
        <v>168</v>
      </c>
      <c r="D82" s="101" t="s">
        <v>303</v>
      </c>
      <c r="E82" s="9" t="s">
        <v>5</v>
      </c>
      <c r="F82" s="38">
        <f>IF(IF(F85=0,0,4),4,0)</f>
        <v>0</v>
      </c>
      <c r="G82" s="38">
        <f t="shared" ref="G82:L82" si="60">IF(IF(G85=0,0,3),3,0)</f>
        <v>3</v>
      </c>
      <c r="H82" s="38">
        <f t="shared" si="60"/>
        <v>3</v>
      </c>
      <c r="I82" s="38">
        <f t="shared" si="60"/>
        <v>0</v>
      </c>
      <c r="J82" s="38">
        <f t="shared" si="60"/>
        <v>0</v>
      </c>
      <c r="K82" s="38">
        <f t="shared" si="60"/>
        <v>0</v>
      </c>
      <c r="L82" s="38">
        <f t="shared" si="60"/>
        <v>3</v>
      </c>
      <c r="M82" s="38">
        <f>IF(IF(M85=0,0,3),3,0)</f>
        <v>0</v>
      </c>
      <c r="N82" s="38">
        <f>IF(IF(N85=0,0,4),4,0)</f>
        <v>0</v>
      </c>
      <c r="O82" s="37">
        <f>IF(IF(O85=0,0,2),2,0)</f>
        <v>0</v>
      </c>
      <c r="P82" s="38">
        <f>IF(IF(P85=0,0,4),4,0)</f>
        <v>0</v>
      </c>
      <c r="Q82" s="37">
        <f>IF(IF(Q85=0,0,2),2,0)</f>
        <v>0</v>
      </c>
      <c r="R82" s="38">
        <f>IF(IF(R85=0,0,3),3,0)</f>
        <v>0</v>
      </c>
      <c r="S82" s="38">
        <f>IF(IF(S85=0,0,3),3,0)</f>
        <v>0</v>
      </c>
      <c r="T82" s="38">
        <f>SUM(F82:S82)</f>
        <v>9</v>
      </c>
      <c r="U82" s="39"/>
      <c r="V82" s="112"/>
      <c r="W82" s="112"/>
      <c r="X82" s="141"/>
    </row>
    <row r="83" spans="2:24" ht="19.5" thickTop="1" thickBot="1" x14ac:dyDescent="0.3">
      <c r="B83" s="158"/>
      <c r="C83" s="107"/>
      <c r="D83" s="101"/>
      <c r="E83" s="78" t="s">
        <v>216</v>
      </c>
      <c r="F83" s="41"/>
      <c r="G83" s="41">
        <v>37</v>
      </c>
      <c r="H83" s="41">
        <v>39</v>
      </c>
      <c r="I83" s="42"/>
      <c r="J83" s="42"/>
      <c r="K83" s="42"/>
      <c r="L83" s="42">
        <v>32</v>
      </c>
      <c r="M83" s="41">
        <v>0</v>
      </c>
      <c r="N83" s="41">
        <v>0</v>
      </c>
      <c r="O83" s="41">
        <v>0</v>
      </c>
      <c r="P83" s="42">
        <v>0</v>
      </c>
      <c r="Q83" s="41">
        <v>0</v>
      </c>
      <c r="R83" s="42">
        <v>0</v>
      </c>
      <c r="S83" s="42">
        <v>0</v>
      </c>
      <c r="T83" s="42"/>
      <c r="U83" s="43"/>
      <c r="V83" s="101"/>
      <c r="W83" s="101"/>
      <c r="X83" s="128"/>
    </row>
    <row r="84" spans="2:24" ht="19.5" thickTop="1" thickBot="1" x14ac:dyDescent="0.3">
      <c r="B84" s="158"/>
      <c r="C84" s="107"/>
      <c r="D84" s="101"/>
      <c r="E84" s="30" t="s">
        <v>3</v>
      </c>
      <c r="F84" s="45"/>
      <c r="G84" s="45"/>
      <c r="H84" s="45"/>
      <c r="I84" s="45"/>
      <c r="J84" s="45"/>
      <c r="K84" s="45"/>
      <c r="L84" s="45"/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6"/>
      <c r="U84" s="47"/>
      <c r="V84" s="101"/>
      <c r="W84" s="101"/>
      <c r="X84" s="128"/>
    </row>
    <row r="85" spans="2:24" ht="19.5" thickTop="1" thickBot="1" x14ac:dyDescent="0.3">
      <c r="B85" s="158"/>
      <c r="C85" s="107"/>
      <c r="D85" s="101"/>
      <c r="E85" s="31" t="s">
        <v>4</v>
      </c>
      <c r="F85" s="45">
        <f t="shared" ref="F85:S85" si="61">IF(F84&lt;30,F83,F83+F84)</f>
        <v>0</v>
      </c>
      <c r="G85" s="45">
        <f t="shared" si="61"/>
        <v>37</v>
      </c>
      <c r="H85" s="45">
        <f t="shared" si="61"/>
        <v>39</v>
      </c>
      <c r="I85" s="45">
        <f t="shared" si="61"/>
        <v>0</v>
      </c>
      <c r="J85" s="45">
        <f t="shared" si="61"/>
        <v>0</v>
      </c>
      <c r="K85" s="45">
        <f t="shared" si="61"/>
        <v>0</v>
      </c>
      <c r="L85" s="45">
        <f t="shared" si="61"/>
        <v>32</v>
      </c>
      <c r="M85" s="45">
        <f t="shared" si="61"/>
        <v>0</v>
      </c>
      <c r="N85" s="45">
        <f t="shared" si="61"/>
        <v>0</v>
      </c>
      <c r="O85" s="45">
        <f t="shared" si="61"/>
        <v>0</v>
      </c>
      <c r="P85" s="45">
        <f t="shared" si="61"/>
        <v>0</v>
      </c>
      <c r="Q85" s="45">
        <f t="shared" si="61"/>
        <v>0</v>
      </c>
      <c r="R85" s="45">
        <f t="shared" si="61"/>
        <v>0</v>
      </c>
      <c r="S85" s="45">
        <f t="shared" si="61"/>
        <v>0</v>
      </c>
      <c r="T85" s="46"/>
      <c r="U85" s="47"/>
      <c r="V85" s="101"/>
      <c r="W85" s="101"/>
      <c r="X85" s="128"/>
    </row>
    <row r="86" spans="2:24" ht="37.5" thickTop="1" thickBot="1" x14ac:dyDescent="0.3">
      <c r="B86" s="158"/>
      <c r="C86" s="165"/>
      <c r="D86" s="102"/>
      <c r="E86" s="32" t="s">
        <v>6</v>
      </c>
      <c r="F86" s="36">
        <f t="shared" ref="F86:L86" si="62">SUM(F82*F85)</f>
        <v>0</v>
      </c>
      <c r="G86" s="36">
        <f t="shared" si="62"/>
        <v>111</v>
      </c>
      <c r="H86" s="36">
        <f t="shared" si="62"/>
        <v>117</v>
      </c>
      <c r="I86" s="36">
        <f t="shared" si="62"/>
        <v>0</v>
      </c>
      <c r="J86" s="36">
        <f t="shared" si="62"/>
        <v>0</v>
      </c>
      <c r="K86" s="36">
        <f t="shared" si="62"/>
        <v>0</v>
      </c>
      <c r="L86" s="36">
        <f t="shared" si="62"/>
        <v>96</v>
      </c>
      <c r="M86" s="36">
        <f t="shared" ref="M86:S86" si="63">SUM(M82*M85)</f>
        <v>0</v>
      </c>
      <c r="N86" s="36">
        <f t="shared" si="63"/>
        <v>0</v>
      </c>
      <c r="O86" s="36">
        <f t="shared" si="63"/>
        <v>0</v>
      </c>
      <c r="P86" s="36">
        <f t="shared" si="63"/>
        <v>0</v>
      </c>
      <c r="Q86" s="36">
        <f t="shared" si="63"/>
        <v>0</v>
      </c>
      <c r="R86" s="36">
        <f t="shared" si="63"/>
        <v>0</v>
      </c>
      <c r="S86" s="36">
        <f t="shared" si="63"/>
        <v>0</v>
      </c>
      <c r="T86" s="50">
        <f>SUM(F86:S86)</f>
        <v>324</v>
      </c>
      <c r="U86" s="51">
        <f>SUM(T86/T82)</f>
        <v>36</v>
      </c>
      <c r="V86" s="102"/>
      <c r="W86" s="102"/>
      <c r="X86" s="129"/>
    </row>
    <row r="87" spans="2:24" ht="20.25" thickTop="1" thickBot="1" x14ac:dyDescent="0.35">
      <c r="B87" s="157">
        <v>-17</v>
      </c>
      <c r="C87" s="138" t="s">
        <v>169</v>
      </c>
      <c r="D87" s="101" t="s">
        <v>304</v>
      </c>
      <c r="E87" s="10" t="s">
        <v>5</v>
      </c>
      <c r="F87" s="38">
        <f>IF(IF(F90=0,0,4),4,0)</f>
        <v>0</v>
      </c>
      <c r="G87" s="38">
        <f t="shared" ref="G87:L87" si="64">IF(IF(G90=0,0,3),3,0)</f>
        <v>3</v>
      </c>
      <c r="H87" s="38">
        <f t="shared" si="64"/>
        <v>3</v>
      </c>
      <c r="I87" s="38">
        <f t="shared" si="64"/>
        <v>0</v>
      </c>
      <c r="J87" s="38">
        <f t="shared" si="64"/>
        <v>0</v>
      </c>
      <c r="K87" s="38">
        <f t="shared" si="64"/>
        <v>0</v>
      </c>
      <c r="L87" s="38">
        <f t="shared" si="64"/>
        <v>3</v>
      </c>
      <c r="M87" s="38">
        <f>IF(IF(M90=0,0,3),3,0)</f>
        <v>0</v>
      </c>
      <c r="N87" s="38">
        <f>IF(IF(N90=0,0,4),4,0)</f>
        <v>0</v>
      </c>
      <c r="O87" s="37">
        <f>IF(IF(O90=0,0,2),2,0)</f>
        <v>0</v>
      </c>
      <c r="P87" s="38">
        <f>IF(IF(P90=0,0,4),4,0)</f>
        <v>0</v>
      </c>
      <c r="Q87" s="37">
        <f>IF(IF(Q90=0,0,2),2,0)</f>
        <v>0</v>
      </c>
      <c r="R87" s="38">
        <f>IF(IF(R90=0,0,3),3,0)</f>
        <v>0</v>
      </c>
      <c r="S87" s="38">
        <f>IF(IF(S90=0,0,3),3,0)</f>
        <v>0</v>
      </c>
      <c r="T87" s="38">
        <f>SUM(F87:S87)</f>
        <v>9</v>
      </c>
      <c r="U87" s="39"/>
      <c r="V87" s="112"/>
      <c r="W87" s="112"/>
      <c r="X87" s="141"/>
    </row>
    <row r="88" spans="2:24" ht="19.5" thickTop="1" thickBot="1" x14ac:dyDescent="0.3">
      <c r="B88" s="158"/>
      <c r="C88" s="107"/>
      <c r="D88" s="101"/>
      <c r="E88" s="33" t="s">
        <v>216</v>
      </c>
      <c r="F88" s="41"/>
      <c r="G88" s="41">
        <v>39</v>
      </c>
      <c r="H88" s="41">
        <v>39</v>
      </c>
      <c r="I88" s="42"/>
      <c r="J88" s="42"/>
      <c r="K88" s="42"/>
      <c r="L88" s="42">
        <v>40</v>
      </c>
      <c r="M88" s="41">
        <v>0</v>
      </c>
      <c r="N88" s="41">
        <v>0</v>
      </c>
      <c r="O88" s="41">
        <v>0</v>
      </c>
      <c r="P88" s="42">
        <v>0</v>
      </c>
      <c r="Q88" s="41">
        <v>0</v>
      </c>
      <c r="R88" s="42">
        <v>0</v>
      </c>
      <c r="S88" s="42">
        <v>0</v>
      </c>
      <c r="T88" s="42"/>
      <c r="U88" s="43"/>
      <c r="V88" s="101"/>
      <c r="W88" s="101"/>
      <c r="X88" s="128"/>
    </row>
    <row r="89" spans="2:24" ht="19.5" thickTop="1" thickBot="1" x14ac:dyDescent="0.3">
      <c r="B89" s="158"/>
      <c r="C89" s="107"/>
      <c r="D89" s="101"/>
      <c r="E89" s="30" t="s">
        <v>3</v>
      </c>
      <c r="F89" s="45"/>
      <c r="G89" s="45">
        <v>60</v>
      </c>
      <c r="H89" s="45"/>
      <c r="I89" s="45"/>
      <c r="J89" s="45"/>
      <c r="K89" s="45"/>
      <c r="L89" s="45"/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6"/>
      <c r="U89" s="47"/>
      <c r="V89" s="101"/>
      <c r="W89" s="101"/>
      <c r="X89" s="128"/>
    </row>
    <row r="90" spans="2:24" ht="19.5" thickTop="1" thickBot="1" x14ac:dyDescent="0.3">
      <c r="B90" s="158"/>
      <c r="C90" s="107"/>
      <c r="D90" s="101"/>
      <c r="E90" s="31" t="s">
        <v>4</v>
      </c>
      <c r="F90" s="45">
        <f t="shared" ref="F90:S90" si="65">IF(F89&lt;30,F88,F88+F89)</f>
        <v>0</v>
      </c>
      <c r="G90" s="45">
        <f t="shared" si="65"/>
        <v>99</v>
      </c>
      <c r="H90" s="45">
        <f t="shared" si="65"/>
        <v>39</v>
      </c>
      <c r="I90" s="45">
        <f t="shared" si="65"/>
        <v>0</v>
      </c>
      <c r="J90" s="45">
        <f t="shared" si="65"/>
        <v>0</v>
      </c>
      <c r="K90" s="45">
        <f t="shared" si="65"/>
        <v>0</v>
      </c>
      <c r="L90" s="45">
        <f t="shared" si="65"/>
        <v>40</v>
      </c>
      <c r="M90" s="45">
        <f t="shared" si="65"/>
        <v>0</v>
      </c>
      <c r="N90" s="45">
        <f t="shared" si="65"/>
        <v>0</v>
      </c>
      <c r="O90" s="45">
        <f t="shared" si="65"/>
        <v>0</v>
      </c>
      <c r="P90" s="45">
        <f t="shared" si="65"/>
        <v>0</v>
      </c>
      <c r="Q90" s="45">
        <f t="shared" si="65"/>
        <v>0</v>
      </c>
      <c r="R90" s="45">
        <f t="shared" si="65"/>
        <v>0</v>
      </c>
      <c r="S90" s="45">
        <f t="shared" si="65"/>
        <v>0</v>
      </c>
      <c r="T90" s="46"/>
      <c r="U90" s="47"/>
      <c r="V90" s="101"/>
      <c r="W90" s="101"/>
      <c r="X90" s="128"/>
    </row>
    <row r="91" spans="2:24" ht="37.5" thickTop="1" thickBot="1" x14ac:dyDescent="0.3">
      <c r="B91" s="166"/>
      <c r="C91" s="165"/>
      <c r="D91" s="102"/>
      <c r="E91" s="35" t="s">
        <v>6</v>
      </c>
      <c r="F91" s="36">
        <f t="shared" ref="F91:L91" si="66">SUM(F87*F90)</f>
        <v>0</v>
      </c>
      <c r="G91" s="36">
        <f t="shared" si="66"/>
        <v>297</v>
      </c>
      <c r="H91" s="36">
        <f t="shared" si="66"/>
        <v>117</v>
      </c>
      <c r="I91" s="36">
        <f t="shared" si="66"/>
        <v>0</v>
      </c>
      <c r="J91" s="36">
        <f t="shared" si="66"/>
        <v>0</v>
      </c>
      <c r="K91" s="36">
        <f t="shared" si="66"/>
        <v>0</v>
      </c>
      <c r="L91" s="36">
        <f t="shared" si="66"/>
        <v>120</v>
      </c>
      <c r="M91" s="36">
        <f t="shared" ref="M91:S91" si="67">SUM(M87*M90)</f>
        <v>0</v>
      </c>
      <c r="N91" s="36">
        <f t="shared" si="67"/>
        <v>0</v>
      </c>
      <c r="O91" s="36">
        <f t="shared" si="67"/>
        <v>0</v>
      </c>
      <c r="P91" s="36">
        <f t="shared" si="67"/>
        <v>0</v>
      </c>
      <c r="Q91" s="36">
        <f t="shared" si="67"/>
        <v>0</v>
      </c>
      <c r="R91" s="36">
        <f t="shared" si="67"/>
        <v>0</v>
      </c>
      <c r="S91" s="36">
        <f t="shared" si="67"/>
        <v>0</v>
      </c>
      <c r="T91" s="50">
        <f>SUM(F91:S91)</f>
        <v>534</v>
      </c>
      <c r="U91" s="51">
        <f>SUM(T91/T87)</f>
        <v>59.333333333333336</v>
      </c>
      <c r="V91" s="102"/>
      <c r="W91" s="102"/>
      <c r="X91" s="129"/>
    </row>
    <row r="92" spans="2:24" ht="20.25" thickTop="1" thickBot="1" x14ac:dyDescent="0.35">
      <c r="B92" s="158">
        <v>-18</v>
      </c>
      <c r="C92" s="138" t="s">
        <v>170</v>
      </c>
      <c r="D92" s="101" t="s">
        <v>305</v>
      </c>
      <c r="E92" s="10" t="s">
        <v>5</v>
      </c>
      <c r="F92" s="38">
        <f>IF(IF(F95=0,0,4),4,0)</f>
        <v>0</v>
      </c>
      <c r="G92" s="38">
        <f t="shared" ref="G92:L92" si="68">IF(IF(G95=0,0,3),3,0)</f>
        <v>3</v>
      </c>
      <c r="H92" s="38">
        <f t="shared" si="68"/>
        <v>3</v>
      </c>
      <c r="I92" s="38">
        <f t="shared" si="68"/>
        <v>0</v>
      </c>
      <c r="J92" s="38">
        <f t="shared" si="68"/>
        <v>0</v>
      </c>
      <c r="K92" s="38">
        <f t="shared" si="68"/>
        <v>0</v>
      </c>
      <c r="L92" s="38">
        <f t="shared" si="68"/>
        <v>3</v>
      </c>
      <c r="M92" s="38">
        <f>IF(IF(M95=0,0,3),3,0)</f>
        <v>0</v>
      </c>
      <c r="N92" s="38">
        <f>IF(IF(N95=0,0,4),4,0)</f>
        <v>4</v>
      </c>
      <c r="O92" s="37">
        <f>IF(IF(O95=0,0,2),2,0)</f>
        <v>0</v>
      </c>
      <c r="P92" s="38">
        <f>IF(IF(P95=0,0,4),4,0)</f>
        <v>0</v>
      </c>
      <c r="Q92" s="37">
        <f>IF(IF(Q95=0,0,2),2,0)</f>
        <v>0</v>
      </c>
      <c r="R92" s="38">
        <f>IF(IF(R95=0,0,3),3,0)</f>
        <v>0</v>
      </c>
      <c r="S92" s="38">
        <f>IF(IF(S95=0,0,3),3,0)</f>
        <v>0</v>
      </c>
      <c r="T92" s="38">
        <f>SUM(F92:S92)</f>
        <v>13</v>
      </c>
      <c r="U92" s="39"/>
      <c r="V92" s="112"/>
      <c r="W92" s="112"/>
      <c r="X92" s="141"/>
    </row>
    <row r="93" spans="2:24" ht="19.5" thickTop="1" thickBot="1" x14ac:dyDescent="0.3">
      <c r="B93" s="158"/>
      <c r="C93" s="107"/>
      <c r="D93" s="101"/>
      <c r="E93" s="33" t="s">
        <v>216</v>
      </c>
      <c r="F93" s="41"/>
      <c r="G93" s="41">
        <v>32</v>
      </c>
      <c r="H93" s="41">
        <v>40</v>
      </c>
      <c r="I93" s="42"/>
      <c r="J93" s="42"/>
      <c r="K93" s="42"/>
      <c r="L93" s="42">
        <v>30</v>
      </c>
      <c r="M93" s="41">
        <v>0</v>
      </c>
      <c r="N93" s="85">
        <v>26</v>
      </c>
      <c r="O93" s="85">
        <v>0</v>
      </c>
      <c r="P93" s="42">
        <v>0</v>
      </c>
      <c r="Q93" s="41">
        <v>0</v>
      </c>
      <c r="R93" s="42">
        <v>0</v>
      </c>
      <c r="S93" s="42">
        <v>0</v>
      </c>
      <c r="T93" s="42"/>
      <c r="U93" s="43"/>
      <c r="V93" s="101"/>
      <c r="W93" s="101"/>
      <c r="X93" s="128"/>
    </row>
    <row r="94" spans="2:24" ht="19.5" thickTop="1" thickBot="1" x14ac:dyDescent="0.3">
      <c r="B94" s="158"/>
      <c r="C94" s="107"/>
      <c r="D94" s="101"/>
      <c r="E94" s="30" t="s">
        <v>3</v>
      </c>
      <c r="F94" s="45"/>
      <c r="G94" s="45">
        <v>53</v>
      </c>
      <c r="H94" s="45"/>
      <c r="I94" s="45"/>
      <c r="J94" s="45"/>
      <c r="K94" s="45"/>
      <c r="L94" s="45"/>
      <c r="M94" s="45">
        <v>0</v>
      </c>
      <c r="N94" s="86">
        <v>0</v>
      </c>
      <c r="O94" s="86">
        <v>0</v>
      </c>
      <c r="P94" s="45">
        <v>0</v>
      </c>
      <c r="Q94" s="45">
        <v>0</v>
      </c>
      <c r="R94" s="45">
        <v>0</v>
      </c>
      <c r="S94" s="45">
        <v>0</v>
      </c>
      <c r="T94" s="46"/>
      <c r="U94" s="47"/>
      <c r="V94" s="101"/>
      <c r="W94" s="101"/>
      <c r="X94" s="128"/>
    </row>
    <row r="95" spans="2:24" ht="19.5" thickTop="1" thickBot="1" x14ac:dyDescent="0.3">
      <c r="B95" s="158"/>
      <c r="C95" s="107"/>
      <c r="D95" s="101"/>
      <c r="E95" s="31" t="s">
        <v>4</v>
      </c>
      <c r="F95" s="45">
        <f t="shared" ref="F95:S95" si="69">IF(F94&lt;30,F93,F93+F94)</f>
        <v>0</v>
      </c>
      <c r="G95" s="45">
        <f t="shared" si="69"/>
        <v>85</v>
      </c>
      <c r="H95" s="45">
        <f t="shared" si="69"/>
        <v>40</v>
      </c>
      <c r="I95" s="45">
        <f t="shared" si="69"/>
        <v>0</v>
      </c>
      <c r="J95" s="45">
        <f t="shared" si="69"/>
        <v>0</v>
      </c>
      <c r="K95" s="45">
        <f t="shared" si="69"/>
        <v>0</v>
      </c>
      <c r="L95" s="45">
        <f t="shared" si="69"/>
        <v>30</v>
      </c>
      <c r="M95" s="45">
        <f t="shared" si="69"/>
        <v>0</v>
      </c>
      <c r="N95" s="86">
        <f t="shared" si="69"/>
        <v>26</v>
      </c>
      <c r="O95" s="86">
        <f t="shared" si="69"/>
        <v>0</v>
      </c>
      <c r="P95" s="45">
        <f t="shared" si="69"/>
        <v>0</v>
      </c>
      <c r="Q95" s="45">
        <f t="shared" si="69"/>
        <v>0</v>
      </c>
      <c r="R95" s="45">
        <f t="shared" si="69"/>
        <v>0</v>
      </c>
      <c r="S95" s="45">
        <f t="shared" si="69"/>
        <v>0</v>
      </c>
      <c r="T95" s="46"/>
      <c r="U95" s="47"/>
      <c r="V95" s="101"/>
      <c r="W95" s="101"/>
      <c r="X95" s="128"/>
    </row>
    <row r="96" spans="2:24" ht="37.5" thickTop="1" thickBot="1" x14ac:dyDescent="0.3">
      <c r="B96" s="161"/>
      <c r="C96" s="165"/>
      <c r="D96" s="102"/>
      <c r="E96" s="35" t="s">
        <v>6</v>
      </c>
      <c r="F96" s="36">
        <f t="shared" ref="F96:L96" si="70">SUM(F92*F95)</f>
        <v>0</v>
      </c>
      <c r="G96" s="36">
        <f t="shared" si="70"/>
        <v>255</v>
      </c>
      <c r="H96" s="36">
        <f t="shared" si="70"/>
        <v>120</v>
      </c>
      <c r="I96" s="36">
        <f t="shared" si="70"/>
        <v>0</v>
      </c>
      <c r="J96" s="36">
        <f t="shared" si="70"/>
        <v>0</v>
      </c>
      <c r="K96" s="36">
        <f t="shared" si="70"/>
        <v>0</v>
      </c>
      <c r="L96" s="36">
        <f t="shared" si="70"/>
        <v>90</v>
      </c>
      <c r="M96" s="36">
        <f t="shared" ref="M96:S96" si="71">SUM(M92*M95)</f>
        <v>0</v>
      </c>
      <c r="N96" s="87">
        <f t="shared" si="71"/>
        <v>104</v>
      </c>
      <c r="O96" s="87">
        <f t="shared" si="71"/>
        <v>0</v>
      </c>
      <c r="P96" s="36">
        <f t="shared" si="71"/>
        <v>0</v>
      </c>
      <c r="Q96" s="36">
        <f t="shared" si="71"/>
        <v>0</v>
      </c>
      <c r="R96" s="36">
        <f t="shared" si="71"/>
        <v>0</v>
      </c>
      <c r="S96" s="36">
        <f t="shared" si="71"/>
        <v>0</v>
      </c>
      <c r="T96" s="50">
        <f>SUM(F96:S96)</f>
        <v>569</v>
      </c>
      <c r="U96" s="51">
        <f>SUM(T96/T92)</f>
        <v>43.769230769230766</v>
      </c>
      <c r="V96" s="102"/>
      <c r="W96" s="102"/>
      <c r="X96" s="129"/>
    </row>
    <row r="97" spans="2:24" ht="20.25" thickTop="1" thickBot="1" x14ac:dyDescent="0.35">
      <c r="B97" s="162">
        <v>-19</v>
      </c>
      <c r="C97" s="107" t="s">
        <v>171</v>
      </c>
      <c r="D97" s="112" t="s">
        <v>306</v>
      </c>
      <c r="E97" s="10" t="s">
        <v>5</v>
      </c>
      <c r="F97" s="38">
        <f>IF(IF(F100=0,0,4),4,0)</f>
        <v>0</v>
      </c>
      <c r="G97" s="38">
        <f t="shared" ref="G97:L97" si="72">IF(IF(G100=0,0,3),3,0)</f>
        <v>3</v>
      </c>
      <c r="H97" s="38">
        <f t="shared" si="72"/>
        <v>3</v>
      </c>
      <c r="I97" s="38">
        <f t="shared" si="72"/>
        <v>0</v>
      </c>
      <c r="J97" s="38">
        <f t="shared" si="72"/>
        <v>0</v>
      </c>
      <c r="K97" s="38">
        <f t="shared" si="72"/>
        <v>0</v>
      </c>
      <c r="L97" s="38">
        <f t="shared" si="72"/>
        <v>3</v>
      </c>
      <c r="M97" s="38">
        <f>IF(IF(M100=0,0,3),3,0)</f>
        <v>0</v>
      </c>
      <c r="N97" s="38">
        <f>IF(IF(N100=0,0,4),4,0)</f>
        <v>0</v>
      </c>
      <c r="O97" s="37">
        <f>IF(IF(O100=0,0,2),2,0)</f>
        <v>0</v>
      </c>
      <c r="P97" s="38">
        <f>IF(IF(P100=0,0,4),4,0)</f>
        <v>0</v>
      </c>
      <c r="Q97" s="37">
        <f>IF(IF(Q100=0,0,2),2,0)</f>
        <v>0</v>
      </c>
      <c r="R97" s="38">
        <f>IF(IF(R100=0,0,3),3,0)</f>
        <v>0</v>
      </c>
      <c r="S97" s="38">
        <f>IF(IF(S100=0,0,3),3,0)</f>
        <v>0</v>
      </c>
      <c r="T97" s="38">
        <f>SUM(F97:S97)</f>
        <v>9</v>
      </c>
      <c r="U97" s="39"/>
      <c r="V97" s="112"/>
      <c r="W97" s="112"/>
      <c r="X97" s="141"/>
    </row>
    <row r="98" spans="2:24" ht="19.5" thickTop="1" thickBot="1" x14ac:dyDescent="0.3">
      <c r="B98" s="158"/>
      <c r="C98" s="107"/>
      <c r="D98" s="101"/>
      <c r="E98" s="33" t="s">
        <v>216</v>
      </c>
      <c r="F98" s="41"/>
      <c r="G98" s="41">
        <v>38</v>
      </c>
      <c r="H98" s="41">
        <v>40</v>
      </c>
      <c r="I98" s="42"/>
      <c r="J98" s="42"/>
      <c r="K98" s="42"/>
      <c r="L98" s="42">
        <v>40</v>
      </c>
      <c r="M98" s="41">
        <v>0</v>
      </c>
      <c r="N98" s="41">
        <v>0</v>
      </c>
      <c r="O98" s="41">
        <v>0</v>
      </c>
      <c r="P98" s="42">
        <v>0</v>
      </c>
      <c r="Q98" s="41">
        <v>0</v>
      </c>
      <c r="R98" s="42">
        <v>0</v>
      </c>
      <c r="S98" s="42">
        <v>0</v>
      </c>
      <c r="T98" s="42"/>
      <c r="U98" s="43"/>
      <c r="V98" s="101"/>
      <c r="W98" s="101"/>
      <c r="X98" s="128"/>
    </row>
    <row r="99" spans="2:24" ht="19.5" thickTop="1" thickBot="1" x14ac:dyDescent="0.3">
      <c r="B99" s="158"/>
      <c r="C99" s="107"/>
      <c r="D99" s="101"/>
      <c r="E99" s="30" t="s">
        <v>3</v>
      </c>
      <c r="F99" s="45"/>
      <c r="G99" s="45">
        <v>60</v>
      </c>
      <c r="H99" s="45"/>
      <c r="I99" s="45"/>
      <c r="J99" s="45"/>
      <c r="K99" s="45"/>
      <c r="L99" s="45"/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6"/>
      <c r="U99" s="47"/>
      <c r="V99" s="101"/>
      <c r="W99" s="101"/>
      <c r="X99" s="128"/>
    </row>
    <row r="100" spans="2:24" ht="19.5" thickTop="1" thickBot="1" x14ac:dyDescent="0.3">
      <c r="B100" s="158"/>
      <c r="C100" s="107"/>
      <c r="D100" s="101"/>
      <c r="E100" s="31" t="s">
        <v>4</v>
      </c>
      <c r="F100" s="45">
        <f t="shared" ref="F100:S100" si="73">IF(F99&lt;30,F98,F98+F99)</f>
        <v>0</v>
      </c>
      <c r="G100" s="45">
        <f t="shared" si="73"/>
        <v>98</v>
      </c>
      <c r="H100" s="45">
        <f t="shared" si="73"/>
        <v>40</v>
      </c>
      <c r="I100" s="45">
        <f t="shared" si="73"/>
        <v>0</v>
      </c>
      <c r="J100" s="45">
        <f t="shared" si="73"/>
        <v>0</v>
      </c>
      <c r="K100" s="45">
        <f t="shared" si="73"/>
        <v>0</v>
      </c>
      <c r="L100" s="45">
        <f t="shared" si="73"/>
        <v>40</v>
      </c>
      <c r="M100" s="45">
        <f t="shared" si="73"/>
        <v>0</v>
      </c>
      <c r="N100" s="45">
        <f t="shared" si="73"/>
        <v>0</v>
      </c>
      <c r="O100" s="45">
        <f t="shared" si="73"/>
        <v>0</v>
      </c>
      <c r="P100" s="45">
        <f t="shared" si="73"/>
        <v>0</v>
      </c>
      <c r="Q100" s="45">
        <f t="shared" si="73"/>
        <v>0</v>
      </c>
      <c r="R100" s="45">
        <f t="shared" si="73"/>
        <v>0</v>
      </c>
      <c r="S100" s="45">
        <f t="shared" si="73"/>
        <v>0</v>
      </c>
      <c r="T100" s="46"/>
      <c r="U100" s="47"/>
      <c r="V100" s="101"/>
      <c r="W100" s="101"/>
      <c r="X100" s="128"/>
    </row>
    <row r="101" spans="2:24" ht="37.5" thickTop="1" thickBot="1" x14ac:dyDescent="0.3">
      <c r="B101" s="159"/>
      <c r="C101" s="108"/>
      <c r="D101" s="102"/>
      <c r="E101" s="32" t="s">
        <v>6</v>
      </c>
      <c r="F101" s="36">
        <f t="shared" ref="F101:L101" si="74">SUM(F97*F100)</f>
        <v>0</v>
      </c>
      <c r="G101" s="36">
        <f t="shared" si="74"/>
        <v>294</v>
      </c>
      <c r="H101" s="36">
        <f t="shared" si="74"/>
        <v>120</v>
      </c>
      <c r="I101" s="36">
        <f t="shared" si="74"/>
        <v>0</v>
      </c>
      <c r="J101" s="36">
        <f t="shared" si="74"/>
        <v>0</v>
      </c>
      <c r="K101" s="36">
        <f t="shared" si="74"/>
        <v>0</v>
      </c>
      <c r="L101" s="36">
        <f t="shared" si="74"/>
        <v>120</v>
      </c>
      <c r="M101" s="36">
        <f t="shared" ref="M101:S101" si="75">SUM(M97*M100)</f>
        <v>0</v>
      </c>
      <c r="N101" s="36">
        <f t="shared" si="75"/>
        <v>0</v>
      </c>
      <c r="O101" s="36">
        <f t="shared" si="75"/>
        <v>0</v>
      </c>
      <c r="P101" s="36">
        <f t="shared" si="75"/>
        <v>0</v>
      </c>
      <c r="Q101" s="36">
        <f t="shared" si="75"/>
        <v>0</v>
      </c>
      <c r="R101" s="36">
        <f t="shared" si="75"/>
        <v>0</v>
      </c>
      <c r="S101" s="36">
        <f t="shared" si="75"/>
        <v>0</v>
      </c>
      <c r="T101" s="50">
        <f>SUM(F101:S101)</f>
        <v>534</v>
      </c>
      <c r="U101" s="51">
        <f>SUM(T101/T97)</f>
        <v>59.333333333333336</v>
      </c>
      <c r="V101" s="102"/>
      <c r="W101" s="102"/>
      <c r="X101" s="129"/>
    </row>
    <row r="102" spans="2:24" ht="20.25" thickTop="1" thickBot="1" x14ac:dyDescent="0.35">
      <c r="B102" s="160">
        <v>-20</v>
      </c>
      <c r="C102" s="106" t="s">
        <v>172</v>
      </c>
      <c r="D102" s="112" t="s">
        <v>307</v>
      </c>
      <c r="E102" s="10" t="s">
        <v>5</v>
      </c>
      <c r="F102" s="38">
        <f>IF(IF(F105=0,0,4),4,0)</f>
        <v>0</v>
      </c>
      <c r="G102" s="38">
        <f t="shared" ref="G102:L102" si="76">IF(IF(G105=0,0,3),3,0)</f>
        <v>3</v>
      </c>
      <c r="H102" s="38">
        <f t="shared" si="76"/>
        <v>3</v>
      </c>
      <c r="I102" s="38">
        <f t="shared" si="76"/>
        <v>0</v>
      </c>
      <c r="J102" s="38">
        <f t="shared" si="76"/>
        <v>0</v>
      </c>
      <c r="K102" s="38">
        <f t="shared" si="76"/>
        <v>0</v>
      </c>
      <c r="L102" s="38">
        <f t="shared" si="76"/>
        <v>3</v>
      </c>
      <c r="M102" s="38">
        <f>IF(IF(M105=0,0,3),3,0)</f>
        <v>0</v>
      </c>
      <c r="N102" s="38">
        <f>IF(IF(N105=0,0,4),4,0)</f>
        <v>0</v>
      </c>
      <c r="O102" s="37">
        <f>IF(IF(O105=0,0,2),2,0)</f>
        <v>0</v>
      </c>
      <c r="P102" s="38">
        <f>IF(IF(P105=0,0,4),4,0)</f>
        <v>0</v>
      </c>
      <c r="Q102" s="37">
        <f>IF(IF(Q105=0,0,2),2,0)</f>
        <v>0</v>
      </c>
      <c r="R102" s="38">
        <f>IF(IF(R105=0,0,3),3,0)</f>
        <v>0</v>
      </c>
      <c r="S102" s="38">
        <f>IF(IF(S105=0,0,3),3,0)</f>
        <v>0</v>
      </c>
      <c r="T102" s="38">
        <f>SUM(F102:S102)</f>
        <v>9</v>
      </c>
      <c r="U102" s="39"/>
      <c r="V102" s="112"/>
      <c r="W102" s="112"/>
      <c r="X102" s="141"/>
    </row>
    <row r="103" spans="2:24" ht="19.5" thickTop="1" thickBot="1" x14ac:dyDescent="0.3">
      <c r="B103" s="158"/>
      <c r="C103" s="107"/>
      <c r="D103" s="101"/>
      <c r="E103" s="33" t="s">
        <v>216</v>
      </c>
      <c r="F103" s="41"/>
      <c r="G103" s="41">
        <v>38</v>
      </c>
      <c r="H103" s="41">
        <v>38</v>
      </c>
      <c r="I103" s="42"/>
      <c r="J103" s="42"/>
      <c r="K103" s="42"/>
      <c r="L103" s="42">
        <v>33</v>
      </c>
      <c r="M103" s="41">
        <v>0</v>
      </c>
      <c r="N103" s="41">
        <v>0</v>
      </c>
      <c r="O103" s="41">
        <v>0</v>
      </c>
      <c r="P103" s="42">
        <v>0</v>
      </c>
      <c r="Q103" s="41">
        <v>0</v>
      </c>
      <c r="R103" s="42">
        <v>0</v>
      </c>
      <c r="S103" s="42">
        <v>0</v>
      </c>
      <c r="T103" s="42"/>
      <c r="U103" s="43"/>
      <c r="V103" s="101"/>
      <c r="W103" s="101"/>
      <c r="X103" s="128"/>
    </row>
    <row r="104" spans="2:24" ht="19.5" thickTop="1" thickBot="1" x14ac:dyDescent="0.3">
      <c r="B104" s="158"/>
      <c r="C104" s="107"/>
      <c r="D104" s="101"/>
      <c r="E104" s="30" t="s">
        <v>3</v>
      </c>
      <c r="F104" s="45"/>
      <c r="G104" s="45">
        <v>48</v>
      </c>
      <c r="H104" s="45"/>
      <c r="I104" s="45"/>
      <c r="J104" s="45"/>
      <c r="K104" s="45"/>
      <c r="L104" s="45"/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6"/>
      <c r="U104" s="47"/>
      <c r="V104" s="101"/>
      <c r="W104" s="101"/>
      <c r="X104" s="128"/>
    </row>
    <row r="105" spans="2:24" ht="19.5" thickTop="1" thickBot="1" x14ac:dyDescent="0.3">
      <c r="B105" s="158"/>
      <c r="C105" s="107"/>
      <c r="D105" s="101"/>
      <c r="E105" s="31" t="s">
        <v>4</v>
      </c>
      <c r="F105" s="45">
        <f t="shared" ref="F105:S105" si="77">IF(F104&lt;30,F103,F103+F104)</f>
        <v>0</v>
      </c>
      <c r="G105" s="45">
        <f t="shared" si="77"/>
        <v>86</v>
      </c>
      <c r="H105" s="45">
        <f t="shared" si="77"/>
        <v>38</v>
      </c>
      <c r="I105" s="45">
        <f t="shared" si="77"/>
        <v>0</v>
      </c>
      <c r="J105" s="45">
        <f t="shared" si="77"/>
        <v>0</v>
      </c>
      <c r="K105" s="45">
        <f t="shared" si="77"/>
        <v>0</v>
      </c>
      <c r="L105" s="45">
        <f t="shared" si="77"/>
        <v>33</v>
      </c>
      <c r="M105" s="45">
        <f t="shared" si="77"/>
        <v>0</v>
      </c>
      <c r="N105" s="45">
        <f t="shared" si="77"/>
        <v>0</v>
      </c>
      <c r="O105" s="45">
        <f t="shared" si="77"/>
        <v>0</v>
      </c>
      <c r="P105" s="45">
        <f t="shared" si="77"/>
        <v>0</v>
      </c>
      <c r="Q105" s="45">
        <f t="shared" si="77"/>
        <v>0</v>
      </c>
      <c r="R105" s="45">
        <f t="shared" si="77"/>
        <v>0</v>
      </c>
      <c r="S105" s="45">
        <f t="shared" si="77"/>
        <v>0</v>
      </c>
      <c r="T105" s="46"/>
      <c r="U105" s="47"/>
      <c r="V105" s="101"/>
      <c r="W105" s="101"/>
      <c r="X105" s="128"/>
    </row>
    <row r="106" spans="2:24" ht="37.5" thickTop="1" thickBot="1" x14ac:dyDescent="0.3">
      <c r="B106" s="159"/>
      <c r="C106" s="108"/>
      <c r="D106" s="102"/>
      <c r="E106" s="32" t="s">
        <v>6</v>
      </c>
      <c r="F106" s="36">
        <f t="shared" ref="F106:L106" si="78">SUM(F102*F105)</f>
        <v>0</v>
      </c>
      <c r="G106" s="36">
        <f t="shared" si="78"/>
        <v>258</v>
      </c>
      <c r="H106" s="36">
        <f t="shared" si="78"/>
        <v>114</v>
      </c>
      <c r="I106" s="36">
        <f t="shared" si="78"/>
        <v>0</v>
      </c>
      <c r="J106" s="36">
        <f t="shared" si="78"/>
        <v>0</v>
      </c>
      <c r="K106" s="36">
        <f t="shared" si="78"/>
        <v>0</v>
      </c>
      <c r="L106" s="36">
        <f t="shared" si="78"/>
        <v>99</v>
      </c>
      <c r="M106" s="36">
        <f t="shared" ref="M106:S106" si="79">SUM(M102*M105)</f>
        <v>0</v>
      </c>
      <c r="N106" s="36">
        <f t="shared" si="79"/>
        <v>0</v>
      </c>
      <c r="O106" s="36">
        <f t="shared" si="79"/>
        <v>0</v>
      </c>
      <c r="P106" s="36">
        <f t="shared" si="79"/>
        <v>0</v>
      </c>
      <c r="Q106" s="36">
        <f t="shared" si="79"/>
        <v>0</v>
      </c>
      <c r="R106" s="36">
        <f t="shared" si="79"/>
        <v>0</v>
      </c>
      <c r="S106" s="36">
        <f t="shared" si="79"/>
        <v>0</v>
      </c>
      <c r="T106" s="50">
        <f>SUM(F106:S106)</f>
        <v>471</v>
      </c>
      <c r="U106" s="51">
        <f>SUM(T106/T102)</f>
        <v>52.333333333333336</v>
      </c>
      <c r="V106" s="102"/>
      <c r="W106" s="102"/>
      <c r="X106" s="129"/>
    </row>
    <row r="107" spans="2:24" ht="20.25" thickTop="1" thickBot="1" x14ac:dyDescent="0.35">
      <c r="B107" s="160">
        <v>-21</v>
      </c>
      <c r="C107" s="106" t="s">
        <v>173</v>
      </c>
      <c r="D107" s="112" t="s">
        <v>308</v>
      </c>
      <c r="E107" s="10" t="s">
        <v>5</v>
      </c>
      <c r="F107" s="38">
        <f>IF(IF(F110=0,0,4),4,0)</f>
        <v>0</v>
      </c>
      <c r="G107" s="38">
        <f t="shared" ref="G107:L107" si="80">IF(IF(G110=0,0,3),3,0)</f>
        <v>3</v>
      </c>
      <c r="H107" s="38">
        <f t="shared" si="80"/>
        <v>3</v>
      </c>
      <c r="I107" s="38">
        <f t="shared" si="80"/>
        <v>0</v>
      </c>
      <c r="J107" s="38">
        <f t="shared" si="80"/>
        <v>0</v>
      </c>
      <c r="K107" s="38">
        <f t="shared" si="80"/>
        <v>0</v>
      </c>
      <c r="L107" s="38">
        <f t="shared" si="80"/>
        <v>3</v>
      </c>
      <c r="M107" s="38">
        <f>IF(IF(M110=0,0,3),3,0)</f>
        <v>0</v>
      </c>
      <c r="N107" s="38">
        <f>IF(IF(N110=0,0,4),4,0)</f>
        <v>4</v>
      </c>
      <c r="O107" s="37">
        <f>IF(IF(O110=0,0,2),2,0)</f>
        <v>0</v>
      </c>
      <c r="P107" s="38">
        <f>IF(IF(P110=0,0,4),4,0)</f>
        <v>4</v>
      </c>
      <c r="Q107" s="37">
        <f>IF(IF(Q110=0,0,2),2,0)</f>
        <v>0</v>
      </c>
      <c r="R107" s="38">
        <f>IF(IF(R110=0,0,3),3,0)</f>
        <v>0</v>
      </c>
      <c r="S107" s="38">
        <f>IF(IF(S110=0,0,3),3,0)</f>
        <v>0</v>
      </c>
      <c r="T107" s="38">
        <f>SUM(F107:S107)</f>
        <v>17</v>
      </c>
      <c r="U107" s="39"/>
      <c r="V107" s="112"/>
      <c r="W107" s="112"/>
      <c r="X107" s="141"/>
    </row>
    <row r="108" spans="2:24" ht="19.5" thickTop="1" thickBot="1" x14ac:dyDescent="0.3">
      <c r="B108" s="158"/>
      <c r="C108" s="107"/>
      <c r="D108" s="101"/>
      <c r="E108" s="33" t="s">
        <v>216</v>
      </c>
      <c r="F108" s="41"/>
      <c r="G108" s="41">
        <v>35</v>
      </c>
      <c r="H108" s="41">
        <v>33</v>
      </c>
      <c r="I108" s="42"/>
      <c r="J108" s="42"/>
      <c r="K108" s="42"/>
      <c r="L108" s="42">
        <v>16</v>
      </c>
      <c r="M108" s="41">
        <v>0</v>
      </c>
      <c r="N108" s="85">
        <v>25</v>
      </c>
      <c r="O108" s="41">
        <v>0</v>
      </c>
      <c r="P108" s="88">
        <v>30</v>
      </c>
      <c r="Q108" s="41">
        <v>0</v>
      </c>
      <c r="R108" s="42">
        <v>0</v>
      </c>
      <c r="S108" s="42">
        <v>0</v>
      </c>
      <c r="T108" s="42"/>
      <c r="U108" s="43"/>
      <c r="V108" s="101"/>
      <c r="W108" s="101"/>
      <c r="X108" s="128"/>
    </row>
    <row r="109" spans="2:24" ht="19.5" thickTop="1" thickBot="1" x14ac:dyDescent="0.3">
      <c r="B109" s="158"/>
      <c r="C109" s="107"/>
      <c r="D109" s="101"/>
      <c r="E109" s="30" t="s">
        <v>3</v>
      </c>
      <c r="F109" s="45"/>
      <c r="G109" s="45">
        <v>47</v>
      </c>
      <c r="H109" s="45"/>
      <c r="I109" s="45"/>
      <c r="J109" s="45"/>
      <c r="K109" s="45"/>
      <c r="L109" s="45"/>
      <c r="M109" s="45">
        <v>0</v>
      </c>
      <c r="N109" s="86">
        <v>0</v>
      </c>
      <c r="O109" s="45">
        <v>0</v>
      </c>
      <c r="P109" s="86">
        <v>0</v>
      </c>
      <c r="Q109" s="45">
        <v>0</v>
      </c>
      <c r="R109" s="45">
        <v>0</v>
      </c>
      <c r="S109" s="45">
        <v>0</v>
      </c>
      <c r="T109" s="46"/>
      <c r="U109" s="47"/>
      <c r="V109" s="101"/>
      <c r="W109" s="101"/>
      <c r="X109" s="128"/>
    </row>
    <row r="110" spans="2:24" ht="19.5" thickTop="1" thickBot="1" x14ac:dyDescent="0.3">
      <c r="B110" s="158"/>
      <c r="C110" s="107"/>
      <c r="D110" s="101"/>
      <c r="E110" s="31" t="s">
        <v>4</v>
      </c>
      <c r="F110" s="45">
        <f t="shared" ref="F110:S110" si="81">IF(F109&lt;30,F108,F108+F109)</f>
        <v>0</v>
      </c>
      <c r="G110" s="45">
        <f t="shared" si="81"/>
        <v>82</v>
      </c>
      <c r="H110" s="45">
        <f t="shared" si="81"/>
        <v>33</v>
      </c>
      <c r="I110" s="45">
        <f t="shared" si="81"/>
        <v>0</v>
      </c>
      <c r="J110" s="45">
        <f t="shared" si="81"/>
        <v>0</v>
      </c>
      <c r="K110" s="45">
        <f t="shared" si="81"/>
        <v>0</v>
      </c>
      <c r="L110" s="45">
        <f t="shared" si="81"/>
        <v>16</v>
      </c>
      <c r="M110" s="45">
        <f t="shared" si="81"/>
        <v>0</v>
      </c>
      <c r="N110" s="86">
        <f t="shared" si="81"/>
        <v>25</v>
      </c>
      <c r="O110" s="45">
        <f t="shared" si="81"/>
        <v>0</v>
      </c>
      <c r="P110" s="86">
        <f t="shared" si="81"/>
        <v>30</v>
      </c>
      <c r="Q110" s="45">
        <f t="shared" si="81"/>
        <v>0</v>
      </c>
      <c r="R110" s="45">
        <f t="shared" si="81"/>
        <v>0</v>
      </c>
      <c r="S110" s="45">
        <f t="shared" si="81"/>
        <v>0</v>
      </c>
      <c r="T110" s="46"/>
      <c r="U110" s="47"/>
      <c r="V110" s="101"/>
      <c r="W110" s="101"/>
      <c r="X110" s="128"/>
    </row>
    <row r="111" spans="2:24" ht="37.5" thickTop="1" thickBot="1" x14ac:dyDescent="0.3">
      <c r="B111" s="166"/>
      <c r="C111" s="165"/>
      <c r="D111" s="102"/>
      <c r="E111" s="32" t="s">
        <v>6</v>
      </c>
      <c r="F111" s="53">
        <f t="shared" ref="F111:L111" si="82">SUM(F107*F110)</f>
        <v>0</v>
      </c>
      <c r="G111" s="53">
        <f t="shared" si="82"/>
        <v>246</v>
      </c>
      <c r="H111" s="53">
        <f t="shared" si="82"/>
        <v>99</v>
      </c>
      <c r="I111" s="53">
        <f t="shared" si="82"/>
        <v>0</v>
      </c>
      <c r="J111" s="53">
        <f t="shared" si="82"/>
        <v>0</v>
      </c>
      <c r="K111" s="53">
        <f t="shared" si="82"/>
        <v>0</v>
      </c>
      <c r="L111" s="53">
        <f t="shared" si="82"/>
        <v>48</v>
      </c>
      <c r="M111" s="53">
        <f t="shared" ref="M111:S111" si="83">SUM(M107*M110)</f>
        <v>0</v>
      </c>
      <c r="N111" s="89">
        <f t="shared" si="83"/>
        <v>100</v>
      </c>
      <c r="O111" s="53">
        <f t="shared" si="83"/>
        <v>0</v>
      </c>
      <c r="P111" s="89">
        <f t="shared" si="83"/>
        <v>120</v>
      </c>
      <c r="Q111" s="53">
        <f t="shared" si="83"/>
        <v>0</v>
      </c>
      <c r="R111" s="53">
        <f t="shared" si="83"/>
        <v>0</v>
      </c>
      <c r="S111" s="53">
        <f t="shared" si="83"/>
        <v>0</v>
      </c>
      <c r="T111" s="54">
        <f>SUM(F111:S111)</f>
        <v>613</v>
      </c>
      <c r="U111" s="53">
        <f>SUM(T111/T107)</f>
        <v>36.058823529411768</v>
      </c>
      <c r="V111" s="102"/>
      <c r="W111" s="102"/>
      <c r="X111" s="129"/>
    </row>
    <row r="112" spans="2:24" ht="20.25" thickTop="1" thickBot="1" x14ac:dyDescent="0.35">
      <c r="B112" s="157">
        <v>-22</v>
      </c>
      <c r="C112" s="138" t="s">
        <v>174</v>
      </c>
      <c r="D112" s="113" t="s">
        <v>309</v>
      </c>
      <c r="E112" s="9" t="s">
        <v>5</v>
      </c>
      <c r="F112" s="38">
        <f>IF(IF(F115=0,0,4),4,0)</f>
        <v>0</v>
      </c>
      <c r="G112" s="38">
        <f t="shared" ref="G112:L112" si="84">IF(IF(G115=0,0,3),3,0)</f>
        <v>3</v>
      </c>
      <c r="H112" s="38">
        <f t="shared" si="84"/>
        <v>3</v>
      </c>
      <c r="I112" s="38">
        <f t="shared" si="84"/>
        <v>0</v>
      </c>
      <c r="J112" s="38">
        <f t="shared" si="84"/>
        <v>0</v>
      </c>
      <c r="K112" s="38">
        <f t="shared" si="84"/>
        <v>0</v>
      </c>
      <c r="L112" s="38">
        <f t="shared" si="84"/>
        <v>3</v>
      </c>
      <c r="M112" s="65">
        <f>IF(IF(M115=0,0,3),3,0)</f>
        <v>0</v>
      </c>
      <c r="N112" s="65">
        <f>IF(IF(N115=0,0,4),4,0)</f>
        <v>0</v>
      </c>
      <c r="O112" s="64">
        <f>IF(IF(O115=0,0,2),2,0)</f>
        <v>0</v>
      </c>
      <c r="P112" s="65">
        <f>IF(IF(P115=0,0,4),4,0)</f>
        <v>0</v>
      </c>
      <c r="Q112" s="64">
        <f>IF(IF(Q115=0,0,2),2,0)</f>
        <v>0</v>
      </c>
      <c r="R112" s="38">
        <f>IF(IF(R115=0,0,3),3,0)</f>
        <v>0</v>
      </c>
      <c r="S112" s="38">
        <f>IF(IF(S115=0,0,3),3,0)</f>
        <v>0</v>
      </c>
      <c r="T112" s="38">
        <f>SUM(F112:S112)</f>
        <v>9</v>
      </c>
      <c r="U112" s="39"/>
      <c r="V112" s="112"/>
      <c r="W112" s="112"/>
      <c r="X112" s="141"/>
    </row>
    <row r="113" spans="2:24" ht="19.5" thickTop="1" thickBot="1" x14ac:dyDescent="0.3">
      <c r="B113" s="158"/>
      <c r="C113" s="107"/>
      <c r="D113" s="101"/>
      <c r="E113" s="29" t="s">
        <v>216</v>
      </c>
      <c r="F113" s="41"/>
      <c r="G113" s="41">
        <v>37</v>
      </c>
      <c r="H113" s="41">
        <v>40</v>
      </c>
      <c r="I113" s="42"/>
      <c r="J113" s="42"/>
      <c r="K113" s="42"/>
      <c r="L113" s="42">
        <v>36</v>
      </c>
      <c r="M113" s="41">
        <v>0</v>
      </c>
      <c r="N113" s="41">
        <v>0</v>
      </c>
      <c r="O113" s="41">
        <v>0</v>
      </c>
      <c r="P113" s="42">
        <v>0</v>
      </c>
      <c r="Q113" s="41">
        <v>0</v>
      </c>
      <c r="R113" s="42">
        <v>0</v>
      </c>
      <c r="S113" s="42">
        <v>0</v>
      </c>
      <c r="T113" s="42"/>
      <c r="U113" s="43"/>
      <c r="V113" s="101"/>
      <c r="W113" s="101"/>
      <c r="X113" s="128"/>
    </row>
    <row r="114" spans="2:24" ht="19.5" thickTop="1" thickBot="1" x14ac:dyDescent="0.3">
      <c r="B114" s="158"/>
      <c r="C114" s="107"/>
      <c r="D114" s="101"/>
      <c r="E114" s="30" t="s">
        <v>3</v>
      </c>
      <c r="F114" s="45"/>
      <c r="G114" s="45">
        <v>48</v>
      </c>
      <c r="H114" s="45"/>
      <c r="I114" s="45"/>
      <c r="J114" s="45"/>
      <c r="K114" s="45"/>
      <c r="L114" s="45"/>
      <c r="M114" s="45">
        <v>0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6"/>
      <c r="U114" s="47"/>
      <c r="V114" s="101"/>
      <c r="W114" s="101"/>
      <c r="X114" s="128"/>
    </row>
    <row r="115" spans="2:24" ht="19.5" thickTop="1" thickBot="1" x14ac:dyDescent="0.3">
      <c r="B115" s="158"/>
      <c r="C115" s="107"/>
      <c r="D115" s="101"/>
      <c r="E115" s="31" t="s">
        <v>4</v>
      </c>
      <c r="F115" s="45">
        <f t="shared" ref="F115:S115" si="85">IF(F114&lt;30,F113,F113+F114)</f>
        <v>0</v>
      </c>
      <c r="G115" s="45">
        <f t="shared" si="85"/>
        <v>85</v>
      </c>
      <c r="H115" s="45">
        <f t="shared" si="85"/>
        <v>40</v>
      </c>
      <c r="I115" s="45">
        <f t="shared" si="85"/>
        <v>0</v>
      </c>
      <c r="J115" s="45">
        <f t="shared" si="85"/>
        <v>0</v>
      </c>
      <c r="K115" s="45">
        <f t="shared" si="85"/>
        <v>0</v>
      </c>
      <c r="L115" s="45">
        <f t="shared" si="85"/>
        <v>36</v>
      </c>
      <c r="M115" s="45">
        <f t="shared" si="85"/>
        <v>0</v>
      </c>
      <c r="N115" s="45">
        <f t="shared" si="85"/>
        <v>0</v>
      </c>
      <c r="O115" s="45">
        <f t="shared" si="85"/>
        <v>0</v>
      </c>
      <c r="P115" s="45">
        <f t="shared" si="85"/>
        <v>0</v>
      </c>
      <c r="Q115" s="45">
        <f t="shared" si="85"/>
        <v>0</v>
      </c>
      <c r="R115" s="45">
        <f t="shared" si="85"/>
        <v>0</v>
      </c>
      <c r="S115" s="45">
        <f t="shared" si="85"/>
        <v>0</v>
      </c>
      <c r="T115" s="46"/>
      <c r="U115" s="47"/>
      <c r="V115" s="101"/>
      <c r="W115" s="101"/>
      <c r="X115" s="128"/>
    </row>
    <row r="116" spans="2:24" ht="37.5" thickTop="1" thickBot="1" x14ac:dyDescent="0.3">
      <c r="B116" s="159"/>
      <c r="C116" s="108"/>
      <c r="D116" s="102"/>
      <c r="E116" s="32" t="s">
        <v>6</v>
      </c>
      <c r="F116" s="36">
        <f t="shared" ref="F116:L116" si="86">SUM(F112*F115)</f>
        <v>0</v>
      </c>
      <c r="G116" s="36">
        <f t="shared" si="86"/>
        <v>255</v>
      </c>
      <c r="H116" s="36">
        <f t="shared" si="86"/>
        <v>120</v>
      </c>
      <c r="I116" s="36">
        <f t="shared" si="86"/>
        <v>0</v>
      </c>
      <c r="J116" s="36">
        <f t="shared" si="86"/>
        <v>0</v>
      </c>
      <c r="K116" s="36">
        <f t="shared" si="86"/>
        <v>0</v>
      </c>
      <c r="L116" s="36">
        <f t="shared" si="86"/>
        <v>108</v>
      </c>
      <c r="M116" s="36">
        <f t="shared" ref="M116:S116" si="87">SUM(M112*M115)</f>
        <v>0</v>
      </c>
      <c r="N116" s="36">
        <f t="shared" si="87"/>
        <v>0</v>
      </c>
      <c r="O116" s="36">
        <f t="shared" si="87"/>
        <v>0</v>
      </c>
      <c r="P116" s="36">
        <f t="shared" si="87"/>
        <v>0</v>
      </c>
      <c r="Q116" s="36">
        <f t="shared" si="87"/>
        <v>0</v>
      </c>
      <c r="R116" s="36">
        <f t="shared" si="87"/>
        <v>0</v>
      </c>
      <c r="S116" s="36">
        <f t="shared" si="87"/>
        <v>0</v>
      </c>
      <c r="T116" s="50">
        <f>SUM(F116:S116)</f>
        <v>483</v>
      </c>
      <c r="U116" s="51">
        <f>SUM(T116/T112)</f>
        <v>53.666666666666664</v>
      </c>
      <c r="V116" s="102"/>
      <c r="W116" s="102"/>
      <c r="X116" s="129"/>
    </row>
    <row r="117" spans="2:24" ht="20.25" thickTop="1" thickBot="1" x14ac:dyDescent="0.35">
      <c r="B117" s="160">
        <v>-23</v>
      </c>
      <c r="C117" s="106" t="s">
        <v>175</v>
      </c>
      <c r="D117" s="101" t="s">
        <v>310</v>
      </c>
      <c r="E117" s="67" t="s">
        <v>5</v>
      </c>
      <c r="F117" s="38">
        <f>IF(IF(F120=0,0,4),4,0)</f>
        <v>0</v>
      </c>
      <c r="G117" s="38">
        <f t="shared" ref="G117:L117" si="88">IF(IF(G120=0,0,3),3,0)</f>
        <v>3</v>
      </c>
      <c r="H117" s="38">
        <f t="shared" si="88"/>
        <v>3</v>
      </c>
      <c r="I117" s="38">
        <f t="shared" si="88"/>
        <v>0</v>
      </c>
      <c r="J117" s="38">
        <f t="shared" si="88"/>
        <v>0</v>
      </c>
      <c r="K117" s="38">
        <f t="shared" si="88"/>
        <v>0</v>
      </c>
      <c r="L117" s="38">
        <f t="shared" si="88"/>
        <v>3</v>
      </c>
      <c r="M117" s="38">
        <f>IF(IF(M120=0,0,3),3,0)</f>
        <v>0</v>
      </c>
      <c r="N117" s="38">
        <f>IF(IF(N120=0,0,4),4,0)</f>
        <v>0</v>
      </c>
      <c r="O117" s="37">
        <f>IF(IF(O120=0,0,2),2,0)</f>
        <v>0</v>
      </c>
      <c r="P117" s="38">
        <f>IF(IF(P120=0,0,4),4,0)</f>
        <v>0</v>
      </c>
      <c r="Q117" s="37">
        <f>IF(IF(Q120=0,0,2),2,0)</f>
        <v>0</v>
      </c>
      <c r="R117" s="38">
        <f>IF(IF(R120=0,0,3),3,0)</f>
        <v>0</v>
      </c>
      <c r="S117" s="38">
        <f>IF(IF(S120=0,0,3),3,0)</f>
        <v>0</v>
      </c>
      <c r="T117" s="38">
        <f>SUM(F117:S117)</f>
        <v>9</v>
      </c>
      <c r="U117" s="39"/>
      <c r="V117" s="112"/>
      <c r="W117" s="112"/>
      <c r="X117" s="141"/>
    </row>
    <row r="118" spans="2:24" ht="19.5" thickTop="1" thickBot="1" x14ac:dyDescent="0.3">
      <c r="B118" s="158"/>
      <c r="C118" s="107"/>
      <c r="D118" s="101"/>
      <c r="E118" s="29" t="s">
        <v>216</v>
      </c>
      <c r="F118" s="41"/>
      <c r="G118" s="41">
        <v>30</v>
      </c>
      <c r="H118" s="41">
        <v>40</v>
      </c>
      <c r="I118" s="42"/>
      <c r="J118" s="42"/>
      <c r="K118" s="42"/>
      <c r="L118" s="42">
        <v>33</v>
      </c>
      <c r="M118" s="41">
        <v>0</v>
      </c>
      <c r="N118" s="41">
        <v>0</v>
      </c>
      <c r="O118" s="41">
        <v>0</v>
      </c>
      <c r="P118" s="42">
        <v>0</v>
      </c>
      <c r="Q118" s="41">
        <v>0</v>
      </c>
      <c r="R118" s="42">
        <v>0</v>
      </c>
      <c r="S118" s="42">
        <v>0</v>
      </c>
      <c r="T118" s="42"/>
      <c r="U118" s="43"/>
      <c r="V118" s="101"/>
      <c r="W118" s="101"/>
      <c r="X118" s="128"/>
    </row>
    <row r="119" spans="2:24" ht="19.5" thickTop="1" thickBot="1" x14ac:dyDescent="0.3">
      <c r="B119" s="158"/>
      <c r="C119" s="107"/>
      <c r="D119" s="101"/>
      <c r="E119" s="30" t="s">
        <v>3</v>
      </c>
      <c r="F119" s="45"/>
      <c r="G119" s="45">
        <v>38</v>
      </c>
      <c r="H119" s="45"/>
      <c r="I119" s="45"/>
      <c r="J119" s="45"/>
      <c r="K119" s="45"/>
      <c r="L119" s="45"/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0</v>
      </c>
      <c r="S119" s="45">
        <v>0</v>
      </c>
      <c r="T119" s="46"/>
      <c r="U119" s="47"/>
      <c r="V119" s="101"/>
      <c r="W119" s="101"/>
      <c r="X119" s="128"/>
    </row>
    <row r="120" spans="2:24" ht="19.5" thickTop="1" thickBot="1" x14ac:dyDescent="0.3">
      <c r="B120" s="158"/>
      <c r="C120" s="107"/>
      <c r="D120" s="101"/>
      <c r="E120" s="31" t="s">
        <v>4</v>
      </c>
      <c r="F120" s="45">
        <f t="shared" ref="F120:S120" si="89">IF(F119&lt;30,F118,F118+F119)</f>
        <v>0</v>
      </c>
      <c r="G120" s="45">
        <f t="shared" si="89"/>
        <v>68</v>
      </c>
      <c r="H120" s="45">
        <f t="shared" si="89"/>
        <v>40</v>
      </c>
      <c r="I120" s="45">
        <f t="shared" si="89"/>
        <v>0</v>
      </c>
      <c r="J120" s="45">
        <f t="shared" si="89"/>
        <v>0</v>
      </c>
      <c r="K120" s="45">
        <f t="shared" si="89"/>
        <v>0</v>
      </c>
      <c r="L120" s="45">
        <f t="shared" si="89"/>
        <v>33</v>
      </c>
      <c r="M120" s="45">
        <f t="shared" si="89"/>
        <v>0</v>
      </c>
      <c r="N120" s="45">
        <f t="shared" si="89"/>
        <v>0</v>
      </c>
      <c r="O120" s="45">
        <f t="shared" si="89"/>
        <v>0</v>
      </c>
      <c r="P120" s="45">
        <f t="shared" si="89"/>
        <v>0</v>
      </c>
      <c r="Q120" s="45">
        <f t="shared" si="89"/>
        <v>0</v>
      </c>
      <c r="R120" s="45">
        <f t="shared" si="89"/>
        <v>0</v>
      </c>
      <c r="S120" s="45">
        <f t="shared" si="89"/>
        <v>0</v>
      </c>
      <c r="T120" s="46"/>
      <c r="U120" s="47"/>
      <c r="V120" s="101"/>
      <c r="W120" s="101"/>
      <c r="X120" s="128"/>
    </row>
    <row r="121" spans="2:24" ht="37.5" thickTop="1" thickBot="1" x14ac:dyDescent="0.3">
      <c r="B121" s="158"/>
      <c r="C121" s="107"/>
      <c r="D121" s="102"/>
      <c r="E121" s="32" t="s">
        <v>6</v>
      </c>
      <c r="F121" s="36">
        <f t="shared" ref="F121:L121" si="90">SUM(F117*F120)</f>
        <v>0</v>
      </c>
      <c r="G121" s="36">
        <f t="shared" si="90"/>
        <v>204</v>
      </c>
      <c r="H121" s="36">
        <f t="shared" si="90"/>
        <v>120</v>
      </c>
      <c r="I121" s="36">
        <f t="shared" si="90"/>
        <v>0</v>
      </c>
      <c r="J121" s="36">
        <f t="shared" si="90"/>
        <v>0</v>
      </c>
      <c r="K121" s="36">
        <f t="shared" si="90"/>
        <v>0</v>
      </c>
      <c r="L121" s="36">
        <f t="shared" si="90"/>
        <v>99</v>
      </c>
      <c r="M121" s="36">
        <f t="shared" ref="M121:S121" si="91">SUM(M117*M120)</f>
        <v>0</v>
      </c>
      <c r="N121" s="36">
        <f t="shared" si="91"/>
        <v>0</v>
      </c>
      <c r="O121" s="36">
        <f t="shared" si="91"/>
        <v>0</v>
      </c>
      <c r="P121" s="36">
        <f t="shared" si="91"/>
        <v>0</v>
      </c>
      <c r="Q121" s="36">
        <f t="shared" si="91"/>
        <v>0</v>
      </c>
      <c r="R121" s="36">
        <f t="shared" si="91"/>
        <v>0</v>
      </c>
      <c r="S121" s="36">
        <f t="shared" si="91"/>
        <v>0</v>
      </c>
      <c r="T121" s="50">
        <f>SUM(F121:S121)</f>
        <v>423</v>
      </c>
      <c r="U121" s="51">
        <f>SUM(T121/T117)</f>
        <v>47</v>
      </c>
      <c r="V121" s="102"/>
      <c r="W121" s="102"/>
      <c r="X121" s="129"/>
    </row>
    <row r="122" spans="2:24" ht="20.25" thickTop="1" thickBot="1" x14ac:dyDescent="0.35">
      <c r="B122" s="158">
        <v>-24</v>
      </c>
      <c r="C122" s="107" t="s">
        <v>176</v>
      </c>
      <c r="D122" s="101" t="s">
        <v>311</v>
      </c>
      <c r="E122" s="10" t="s">
        <v>5</v>
      </c>
      <c r="F122" s="38">
        <f>IF(IF(F125=0,0,4),4,0)</f>
        <v>0</v>
      </c>
      <c r="G122" s="38">
        <f t="shared" ref="G122:L122" si="92">IF(IF(G125=0,0,3),3,0)</f>
        <v>3</v>
      </c>
      <c r="H122" s="38">
        <f t="shared" si="92"/>
        <v>3</v>
      </c>
      <c r="I122" s="38">
        <f t="shared" si="92"/>
        <v>0</v>
      </c>
      <c r="J122" s="38">
        <f t="shared" si="92"/>
        <v>0</v>
      </c>
      <c r="K122" s="38">
        <f t="shared" si="92"/>
        <v>0</v>
      </c>
      <c r="L122" s="38">
        <f t="shared" si="92"/>
        <v>3</v>
      </c>
      <c r="M122" s="38">
        <f>IF(IF(M125=0,0,3),3,0)</f>
        <v>0</v>
      </c>
      <c r="N122" s="38">
        <f>IF(IF(N125=0,0,4),4,0)</f>
        <v>4</v>
      </c>
      <c r="O122" s="37">
        <f>IF(IF(O125=0,0,2),2,0)</f>
        <v>0</v>
      </c>
      <c r="P122" s="38">
        <f>IF(IF(P125=0,0,4),4,0)</f>
        <v>0</v>
      </c>
      <c r="Q122" s="37">
        <f>IF(IF(Q125=0,0,2),2,0)</f>
        <v>0</v>
      </c>
      <c r="R122" s="38">
        <f>IF(IF(R125=0,0,3),3,0)</f>
        <v>0</v>
      </c>
      <c r="S122" s="38">
        <f>IF(IF(S125=0,0,3),3,0)</f>
        <v>0</v>
      </c>
      <c r="T122" s="38">
        <f>SUM(F122:S122)</f>
        <v>13</v>
      </c>
      <c r="U122" s="39"/>
      <c r="V122" s="112"/>
      <c r="W122" s="112"/>
      <c r="X122" s="141"/>
    </row>
    <row r="123" spans="2:24" ht="19.5" thickTop="1" thickBot="1" x14ac:dyDescent="0.3">
      <c r="B123" s="158"/>
      <c r="C123" s="107"/>
      <c r="D123" s="101"/>
      <c r="E123" s="33" t="s">
        <v>216</v>
      </c>
      <c r="F123" s="41"/>
      <c r="G123" s="41">
        <v>39</v>
      </c>
      <c r="H123" s="41">
        <v>38</v>
      </c>
      <c r="I123" s="42"/>
      <c r="J123" s="42"/>
      <c r="K123" s="42"/>
      <c r="L123" s="42">
        <v>40</v>
      </c>
      <c r="M123" s="85">
        <v>0</v>
      </c>
      <c r="N123" s="85">
        <v>28</v>
      </c>
      <c r="O123" s="41">
        <v>0</v>
      </c>
      <c r="P123" s="42">
        <v>0</v>
      </c>
      <c r="Q123" s="41">
        <v>0</v>
      </c>
      <c r="R123" s="42">
        <v>0</v>
      </c>
      <c r="S123" s="42">
        <v>0</v>
      </c>
      <c r="T123" s="42"/>
      <c r="U123" s="43"/>
      <c r="V123" s="101"/>
      <c r="W123" s="101"/>
      <c r="X123" s="128"/>
    </row>
    <row r="124" spans="2:24" ht="19.5" thickTop="1" thickBot="1" x14ac:dyDescent="0.3">
      <c r="B124" s="158"/>
      <c r="C124" s="107"/>
      <c r="D124" s="101"/>
      <c r="E124" s="30" t="s">
        <v>3</v>
      </c>
      <c r="F124" s="45"/>
      <c r="G124" s="45">
        <v>60</v>
      </c>
      <c r="H124" s="45"/>
      <c r="I124" s="45"/>
      <c r="J124" s="45"/>
      <c r="K124" s="45"/>
      <c r="L124" s="45"/>
      <c r="M124" s="86">
        <v>0</v>
      </c>
      <c r="N124" s="86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0</v>
      </c>
      <c r="T124" s="46"/>
      <c r="U124" s="47"/>
      <c r="V124" s="101"/>
      <c r="W124" s="101"/>
      <c r="X124" s="128"/>
    </row>
    <row r="125" spans="2:24" ht="19.5" thickTop="1" thickBot="1" x14ac:dyDescent="0.3">
      <c r="B125" s="158"/>
      <c r="C125" s="107"/>
      <c r="D125" s="101"/>
      <c r="E125" s="31" t="s">
        <v>4</v>
      </c>
      <c r="F125" s="45">
        <f t="shared" ref="F125:S125" si="93">IF(F124&lt;30,F123,F123+F124)</f>
        <v>0</v>
      </c>
      <c r="G125" s="45">
        <f t="shared" si="93"/>
        <v>99</v>
      </c>
      <c r="H125" s="45">
        <f t="shared" si="93"/>
        <v>38</v>
      </c>
      <c r="I125" s="45">
        <f t="shared" si="93"/>
        <v>0</v>
      </c>
      <c r="J125" s="45">
        <f t="shared" si="93"/>
        <v>0</v>
      </c>
      <c r="K125" s="45">
        <f t="shared" si="93"/>
        <v>0</v>
      </c>
      <c r="L125" s="45">
        <f t="shared" si="93"/>
        <v>40</v>
      </c>
      <c r="M125" s="86">
        <f t="shared" si="93"/>
        <v>0</v>
      </c>
      <c r="N125" s="86">
        <f t="shared" si="93"/>
        <v>28</v>
      </c>
      <c r="O125" s="45">
        <f t="shared" si="93"/>
        <v>0</v>
      </c>
      <c r="P125" s="45">
        <f t="shared" si="93"/>
        <v>0</v>
      </c>
      <c r="Q125" s="45">
        <f t="shared" si="93"/>
        <v>0</v>
      </c>
      <c r="R125" s="45">
        <f t="shared" si="93"/>
        <v>0</v>
      </c>
      <c r="S125" s="45">
        <f t="shared" si="93"/>
        <v>0</v>
      </c>
      <c r="T125" s="46"/>
      <c r="U125" s="47"/>
      <c r="V125" s="101"/>
      <c r="W125" s="101"/>
      <c r="X125" s="128"/>
    </row>
    <row r="126" spans="2:24" ht="37.5" thickTop="1" thickBot="1" x14ac:dyDescent="0.3">
      <c r="B126" s="161"/>
      <c r="C126" s="163"/>
      <c r="D126" s="102"/>
      <c r="E126" s="35" t="s">
        <v>6</v>
      </c>
      <c r="F126" s="36">
        <f t="shared" ref="F126:L126" si="94">SUM(F122*F125)</f>
        <v>0</v>
      </c>
      <c r="G126" s="36">
        <f t="shared" si="94"/>
        <v>297</v>
      </c>
      <c r="H126" s="36">
        <f t="shared" si="94"/>
        <v>114</v>
      </c>
      <c r="I126" s="36">
        <f t="shared" si="94"/>
        <v>0</v>
      </c>
      <c r="J126" s="36">
        <f t="shared" si="94"/>
        <v>0</v>
      </c>
      <c r="K126" s="36">
        <f t="shared" si="94"/>
        <v>0</v>
      </c>
      <c r="L126" s="36">
        <f t="shared" si="94"/>
        <v>120</v>
      </c>
      <c r="M126" s="87">
        <f t="shared" ref="M126:S126" si="95">SUM(M122*M125)</f>
        <v>0</v>
      </c>
      <c r="N126" s="87">
        <f t="shared" si="95"/>
        <v>112</v>
      </c>
      <c r="O126" s="36">
        <f t="shared" si="95"/>
        <v>0</v>
      </c>
      <c r="P126" s="36">
        <f t="shared" si="95"/>
        <v>0</v>
      </c>
      <c r="Q126" s="36">
        <f t="shared" si="95"/>
        <v>0</v>
      </c>
      <c r="R126" s="36">
        <f t="shared" si="95"/>
        <v>0</v>
      </c>
      <c r="S126" s="36">
        <f t="shared" si="95"/>
        <v>0</v>
      </c>
      <c r="T126" s="50">
        <f>SUM(F126:S126)</f>
        <v>643</v>
      </c>
      <c r="U126" s="51">
        <f>SUM(T126/T122)</f>
        <v>49.46153846153846</v>
      </c>
      <c r="V126" s="102"/>
      <c r="W126" s="102"/>
      <c r="X126" s="129"/>
    </row>
    <row r="127" spans="2:24" ht="20.25" thickTop="1" thickBot="1" x14ac:dyDescent="0.35">
      <c r="B127" s="162">
        <v>-25</v>
      </c>
      <c r="C127" s="164" t="s">
        <v>177</v>
      </c>
      <c r="D127" s="101" t="s">
        <v>312</v>
      </c>
      <c r="E127" s="10" t="s">
        <v>5</v>
      </c>
      <c r="F127" s="38">
        <f>IF(IF(F130=0,0,4),4,0)</f>
        <v>0</v>
      </c>
      <c r="G127" s="38">
        <f t="shared" ref="G127:L127" si="96">IF(IF(G130=0,0,3),3,0)</f>
        <v>3</v>
      </c>
      <c r="H127" s="38">
        <f t="shared" si="96"/>
        <v>3</v>
      </c>
      <c r="I127" s="38">
        <f t="shared" si="96"/>
        <v>0</v>
      </c>
      <c r="J127" s="38">
        <f t="shared" si="96"/>
        <v>0</v>
      </c>
      <c r="K127" s="38">
        <f t="shared" si="96"/>
        <v>0</v>
      </c>
      <c r="L127" s="38">
        <f t="shared" si="96"/>
        <v>3</v>
      </c>
      <c r="M127" s="38">
        <f>IF(IF(M130=0,0,3),3,0)</f>
        <v>0</v>
      </c>
      <c r="N127" s="38">
        <f>IF(IF(N130=0,0,4),4,0)</f>
        <v>0</v>
      </c>
      <c r="O127" s="37">
        <f>IF(IF(O130=0,0,2),2,0)</f>
        <v>0</v>
      </c>
      <c r="P127" s="38">
        <f>IF(IF(P130=0,0,4),4,0)</f>
        <v>0</v>
      </c>
      <c r="Q127" s="37">
        <f>IF(IF(Q130=0,0,2),2,0)</f>
        <v>0</v>
      </c>
      <c r="R127" s="38">
        <f>IF(IF(R130=0,0,3),3,0)</f>
        <v>0</v>
      </c>
      <c r="S127" s="38">
        <f>IF(IF(S130=0,0,3),3,0)</f>
        <v>0</v>
      </c>
      <c r="T127" s="38">
        <f>SUM(F127:S127)</f>
        <v>9</v>
      </c>
      <c r="U127" s="39"/>
      <c r="V127" s="112"/>
      <c r="W127" s="112"/>
      <c r="X127" s="141"/>
    </row>
    <row r="128" spans="2:24" ht="19.5" thickTop="1" thickBot="1" x14ac:dyDescent="0.3">
      <c r="B128" s="158"/>
      <c r="C128" s="107"/>
      <c r="D128" s="101"/>
      <c r="E128" s="33" t="s">
        <v>216</v>
      </c>
      <c r="F128" s="41"/>
      <c r="G128" s="41">
        <v>36</v>
      </c>
      <c r="H128" s="41">
        <v>33</v>
      </c>
      <c r="I128" s="42"/>
      <c r="J128" s="42"/>
      <c r="K128" s="42"/>
      <c r="L128" s="42">
        <v>34</v>
      </c>
      <c r="M128" s="41">
        <v>0</v>
      </c>
      <c r="N128" s="41">
        <v>0</v>
      </c>
      <c r="O128" s="41">
        <v>0</v>
      </c>
      <c r="P128" s="42">
        <v>0</v>
      </c>
      <c r="Q128" s="41">
        <v>0</v>
      </c>
      <c r="R128" s="42">
        <v>0</v>
      </c>
      <c r="S128" s="42">
        <v>0</v>
      </c>
      <c r="T128" s="42"/>
      <c r="U128" s="43"/>
      <c r="V128" s="101"/>
      <c r="W128" s="101"/>
      <c r="X128" s="128"/>
    </row>
    <row r="129" spans="2:24" ht="19.5" thickTop="1" thickBot="1" x14ac:dyDescent="0.3">
      <c r="B129" s="158"/>
      <c r="C129" s="107"/>
      <c r="D129" s="101"/>
      <c r="E129" s="30" t="s">
        <v>3</v>
      </c>
      <c r="F129" s="45"/>
      <c r="G129" s="45">
        <v>60</v>
      </c>
      <c r="H129" s="45"/>
      <c r="I129" s="45"/>
      <c r="J129" s="45"/>
      <c r="K129" s="45"/>
      <c r="L129" s="45"/>
      <c r="M129" s="45">
        <v>0</v>
      </c>
      <c r="N129" s="45">
        <v>0</v>
      </c>
      <c r="O129" s="45">
        <v>0</v>
      </c>
      <c r="P129" s="45">
        <v>0</v>
      </c>
      <c r="Q129" s="45">
        <v>0</v>
      </c>
      <c r="R129" s="45">
        <v>0</v>
      </c>
      <c r="S129" s="45">
        <v>0</v>
      </c>
      <c r="T129" s="46"/>
      <c r="U129" s="47"/>
      <c r="V129" s="101"/>
      <c r="W129" s="101"/>
      <c r="X129" s="128"/>
    </row>
    <row r="130" spans="2:24" ht="19.5" thickTop="1" thickBot="1" x14ac:dyDescent="0.3">
      <c r="B130" s="158"/>
      <c r="C130" s="107"/>
      <c r="D130" s="101"/>
      <c r="E130" s="31" t="s">
        <v>4</v>
      </c>
      <c r="F130" s="45">
        <f t="shared" ref="F130:S130" si="97">IF(F129&lt;30,F128,F128+F129)</f>
        <v>0</v>
      </c>
      <c r="G130" s="45">
        <f t="shared" si="97"/>
        <v>96</v>
      </c>
      <c r="H130" s="45">
        <f t="shared" si="97"/>
        <v>33</v>
      </c>
      <c r="I130" s="45">
        <f t="shared" si="97"/>
        <v>0</v>
      </c>
      <c r="J130" s="45">
        <f t="shared" si="97"/>
        <v>0</v>
      </c>
      <c r="K130" s="45">
        <f t="shared" si="97"/>
        <v>0</v>
      </c>
      <c r="L130" s="45">
        <f t="shared" si="97"/>
        <v>34</v>
      </c>
      <c r="M130" s="45">
        <f t="shared" si="97"/>
        <v>0</v>
      </c>
      <c r="N130" s="45">
        <f t="shared" si="97"/>
        <v>0</v>
      </c>
      <c r="O130" s="45">
        <f t="shared" si="97"/>
        <v>0</v>
      </c>
      <c r="P130" s="45">
        <f t="shared" si="97"/>
        <v>0</v>
      </c>
      <c r="Q130" s="45">
        <f t="shared" si="97"/>
        <v>0</v>
      </c>
      <c r="R130" s="45">
        <f t="shared" si="97"/>
        <v>0</v>
      </c>
      <c r="S130" s="45">
        <f t="shared" si="97"/>
        <v>0</v>
      </c>
      <c r="T130" s="46"/>
      <c r="U130" s="47"/>
      <c r="V130" s="101"/>
      <c r="W130" s="101"/>
      <c r="X130" s="128"/>
    </row>
    <row r="131" spans="2:24" ht="37.5" thickTop="1" thickBot="1" x14ac:dyDescent="0.3">
      <c r="B131" s="161"/>
      <c r="C131" s="163"/>
      <c r="D131" s="102"/>
      <c r="E131" s="35" t="s">
        <v>6</v>
      </c>
      <c r="F131" s="36">
        <f t="shared" ref="F131:L131" si="98">SUM(F127*F130)</f>
        <v>0</v>
      </c>
      <c r="G131" s="36">
        <f t="shared" si="98"/>
        <v>288</v>
      </c>
      <c r="H131" s="36">
        <f t="shared" si="98"/>
        <v>99</v>
      </c>
      <c r="I131" s="36">
        <f t="shared" si="98"/>
        <v>0</v>
      </c>
      <c r="J131" s="36">
        <f t="shared" si="98"/>
        <v>0</v>
      </c>
      <c r="K131" s="36">
        <f t="shared" si="98"/>
        <v>0</v>
      </c>
      <c r="L131" s="36">
        <f t="shared" si="98"/>
        <v>102</v>
      </c>
      <c r="M131" s="36">
        <f t="shared" ref="M131:S131" si="99">SUM(M127*M130)</f>
        <v>0</v>
      </c>
      <c r="N131" s="36">
        <f t="shared" si="99"/>
        <v>0</v>
      </c>
      <c r="O131" s="36">
        <f t="shared" si="99"/>
        <v>0</v>
      </c>
      <c r="P131" s="36">
        <f t="shared" si="99"/>
        <v>0</v>
      </c>
      <c r="Q131" s="36">
        <f t="shared" si="99"/>
        <v>0</v>
      </c>
      <c r="R131" s="36">
        <f t="shared" si="99"/>
        <v>0</v>
      </c>
      <c r="S131" s="36">
        <f t="shared" si="99"/>
        <v>0</v>
      </c>
      <c r="T131" s="50">
        <f>SUM(F131:S131)</f>
        <v>489</v>
      </c>
      <c r="U131" s="51">
        <f>SUM(T131/T127)</f>
        <v>54.333333333333336</v>
      </c>
      <c r="V131" s="102"/>
      <c r="W131" s="102"/>
      <c r="X131" s="129"/>
    </row>
    <row r="132" spans="2:24" ht="20.25" thickTop="1" thickBot="1" x14ac:dyDescent="0.35">
      <c r="B132" s="162">
        <v>-26</v>
      </c>
      <c r="C132" s="164" t="s">
        <v>178</v>
      </c>
      <c r="D132" s="112" t="s">
        <v>313</v>
      </c>
      <c r="E132" s="10" t="s">
        <v>5</v>
      </c>
      <c r="F132" s="38">
        <f>IF(IF(F135=0,0,4),4,0)</f>
        <v>0</v>
      </c>
      <c r="G132" s="38">
        <f t="shared" ref="G132:L132" si="100">IF(IF(G135=0,0,3),3,0)</f>
        <v>3</v>
      </c>
      <c r="H132" s="38">
        <f t="shared" si="100"/>
        <v>3</v>
      </c>
      <c r="I132" s="38">
        <f t="shared" si="100"/>
        <v>0</v>
      </c>
      <c r="J132" s="38">
        <f t="shared" si="100"/>
        <v>0</v>
      </c>
      <c r="K132" s="38">
        <f t="shared" si="100"/>
        <v>0</v>
      </c>
      <c r="L132" s="38">
        <f t="shared" si="100"/>
        <v>3</v>
      </c>
      <c r="M132" s="38">
        <f>IF(IF(M135=0,0,3),3,0)</f>
        <v>0</v>
      </c>
      <c r="N132" s="38">
        <f>IF(IF(N135=0,0,4),4,0)</f>
        <v>0</v>
      </c>
      <c r="O132" s="37">
        <f>IF(IF(O135=0,0,2),2,0)</f>
        <v>0</v>
      </c>
      <c r="P132" s="38">
        <f>IF(IF(P135=0,0,4),4,0)</f>
        <v>4</v>
      </c>
      <c r="Q132" s="37">
        <f>IF(IF(Q135=0,0,2),2,0)</f>
        <v>0</v>
      </c>
      <c r="R132" s="38">
        <f>IF(IF(R135=0,0,3),3,0)</f>
        <v>0</v>
      </c>
      <c r="S132" s="38">
        <f>IF(IF(S135=0,0,3),3,0)</f>
        <v>0</v>
      </c>
      <c r="T132" s="38">
        <f>SUM(F132:S132)</f>
        <v>13</v>
      </c>
      <c r="U132" s="39"/>
      <c r="V132" s="112"/>
      <c r="W132" s="112"/>
      <c r="X132" s="141"/>
    </row>
    <row r="133" spans="2:24" ht="19.5" thickTop="1" thickBot="1" x14ac:dyDescent="0.3">
      <c r="B133" s="158"/>
      <c r="C133" s="107"/>
      <c r="D133" s="101"/>
      <c r="E133" s="33" t="s">
        <v>216</v>
      </c>
      <c r="F133" s="41"/>
      <c r="G133" s="41">
        <v>37</v>
      </c>
      <c r="H133" s="41">
        <v>37</v>
      </c>
      <c r="I133" s="42"/>
      <c r="J133" s="42"/>
      <c r="K133" s="42"/>
      <c r="L133" s="42">
        <v>32</v>
      </c>
      <c r="M133" s="41">
        <v>0</v>
      </c>
      <c r="N133" s="41">
        <v>0</v>
      </c>
      <c r="O133" s="41">
        <v>0</v>
      </c>
      <c r="P133" s="88">
        <v>36</v>
      </c>
      <c r="Q133" s="41">
        <v>0</v>
      </c>
      <c r="R133" s="42">
        <v>0</v>
      </c>
      <c r="S133" s="42">
        <v>0</v>
      </c>
      <c r="T133" s="42"/>
      <c r="U133" s="43"/>
      <c r="V133" s="101"/>
      <c r="W133" s="101"/>
      <c r="X133" s="128"/>
    </row>
    <row r="134" spans="2:24" ht="19.5" thickTop="1" thickBot="1" x14ac:dyDescent="0.3">
      <c r="B134" s="158"/>
      <c r="C134" s="107"/>
      <c r="D134" s="101"/>
      <c r="E134" s="30" t="s">
        <v>3</v>
      </c>
      <c r="F134" s="45"/>
      <c r="G134" s="45">
        <v>60</v>
      </c>
      <c r="H134" s="45"/>
      <c r="I134" s="45"/>
      <c r="J134" s="45"/>
      <c r="K134" s="45"/>
      <c r="L134" s="45"/>
      <c r="M134" s="45">
        <v>0</v>
      </c>
      <c r="N134" s="45">
        <v>0</v>
      </c>
      <c r="O134" s="45">
        <v>0</v>
      </c>
      <c r="P134" s="86">
        <v>0</v>
      </c>
      <c r="Q134" s="45">
        <v>0</v>
      </c>
      <c r="R134" s="45">
        <v>0</v>
      </c>
      <c r="S134" s="45">
        <v>0</v>
      </c>
      <c r="T134" s="46"/>
      <c r="U134" s="47"/>
      <c r="V134" s="101"/>
      <c r="W134" s="101"/>
      <c r="X134" s="128"/>
    </row>
    <row r="135" spans="2:24" ht="19.5" thickTop="1" thickBot="1" x14ac:dyDescent="0.3">
      <c r="B135" s="158"/>
      <c r="C135" s="107"/>
      <c r="D135" s="101"/>
      <c r="E135" s="31" t="s">
        <v>4</v>
      </c>
      <c r="F135" s="45">
        <f t="shared" ref="F135:S135" si="101">IF(F134&lt;30,F133,F133+F134)</f>
        <v>0</v>
      </c>
      <c r="G135" s="45">
        <f t="shared" si="101"/>
        <v>97</v>
      </c>
      <c r="H135" s="45">
        <f t="shared" si="101"/>
        <v>37</v>
      </c>
      <c r="I135" s="45">
        <f t="shared" si="101"/>
        <v>0</v>
      </c>
      <c r="J135" s="45">
        <f t="shared" si="101"/>
        <v>0</v>
      </c>
      <c r="K135" s="45">
        <f t="shared" si="101"/>
        <v>0</v>
      </c>
      <c r="L135" s="45">
        <f t="shared" si="101"/>
        <v>32</v>
      </c>
      <c r="M135" s="45">
        <f t="shared" si="101"/>
        <v>0</v>
      </c>
      <c r="N135" s="45">
        <f t="shared" si="101"/>
        <v>0</v>
      </c>
      <c r="O135" s="45">
        <f t="shared" si="101"/>
        <v>0</v>
      </c>
      <c r="P135" s="86">
        <f t="shared" si="101"/>
        <v>36</v>
      </c>
      <c r="Q135" s="45">
        <f t="shared" si="101"/>
        <v>0</v>
      </c>
      <c r="R135" s="45">
        <f t="shared" si="101"/>
        <v>0</v>
      </c>
      <c r="S135" s="45">
        <f t="shared" si="101"/>
        <v>0</v>
      </c>
      <c r="T135" s="46"/>
      <c r="U135" s="47"/>
      <c r="V135" s="101"/>
      <c r="W135" s="101"/>
      <c r="X135" s="128"/>
    </row>
    <row r="136" spans="2:24" ht="37.5" thickTop="1" thickBot="1" x14ac:dyDescent="0.3">
      <c r="B136" s="159"/>
      <c r="C136" s="108"/>
      <c r="D136" s="102"/>
      <c r="E136" s="32" t="s">
        <v>6</v>
      </c>
      <c r="F136" s="36">
        <f t="shared" ref="F136:L136" si="102">SUM(F132*F135)</f>
        <v>0</v>
      </c>
      <c r="G136" s="36">
        <f t="shared" si="102"/>
        <v>291</v>
      </c>
      <c r="H136" s="36">
        <f t="shared" si="102"/>
        <v>111</v>
      </c>
      <c r="I136" s="36">
        <f t="shared" si="102"/>
        <v>0</v>
      </c>
      <c r="J136" s="36">
        <f t="shared" si="102"/>
        <v>0</v>
      </c>
      <c r="K136" s="36">
        <f t="shared" si="102"/>
        <v>0</v>
      </c>
      <c r="L136" s="36">
        <f t="shared" si="102"/>
        <v>96</v>
      </c>
      <c r="M136" s="36">
        <f t="shared" ref="M136:S136" si="103">SUM(M132*M135)</f>
        <v>0</v>
      </c>
      <c r="N136" s="36">
        <f t="shared" si="103"/>
        <v>0</v>
      </c>
      <c r="O136" s="36">
        <f t="shared" si="103"/>
        <v>0</v>
      </c>
      <c r="P136" s="87">
        <f t="shared" si="103"/>
        <v>144</v>
      </c>
      <c r="Q136" s="36">
        <f t="shared" si="103"/>
        <v>0</v>
      </c>
      <c r="R136" s="36">
        <f t="shared" si="103"/>
        <v>0</v>
      </c>
      <c r="S136" s="36">
        <f t="shared" si="103"/>
        <v>0</v>
      </c>
      <c r="T136" s="50">
        <f>SUM(F136:S136)</f>
        <v>642</v>
      </c>
      <c r="U136" s="51">
        <f>SUM(T136/T132)</f>
        <v>49.384615384615387</v>
      </c>
      <c r="V136" s="102"/>
      <c r="W136" s="102"/>
      <c r="X136" s="129"/>
    </row>
    <row r="137" spans="2:24" ht="20.25" thickTop="1" thickBot="1" x14ac:dyDescent="0.35">
      <c r="B137" s="160">
        <v>-27</v>
      </c>
      <c r="C137" s="106" t="s">
        <v>179</v>
      </c>
      <c r="D137" s="112" t="s">
        <v>314</v>
      </c>
      <c r="E137" s="10" t="s">
        <v>5</v>
      </c>
      <c r="F137" s="38">
        <f>IF(IF(F140=0,0,4),4,0)</f>
        <v>0</v>
      </c>
      <c r="G137" s="38">
        <f t="shared" ref="G137:L137" si="104">IF(IF(G140=0,0,3),3,0)</f>
        <v>3</v>
      </c>
      <c r="H137" s="38">
        <f t="shared" si="104"/>
        <v>3</v>
      </c>
      <c r="I137" s="38">
        <f t="shared" si="104"/>
        <v>0</v>
      </c>
      <c r="J137" s="38">
        <f t="shared" si="104"/>
        <v>0</v>
      </c>
      <c r="K137" s="38">
        <f t="shared" si="104"/>
        <v>0</v>
      </c>
      <c r="L137" s="38">
        <f t="shared" si="104"/>
        <v>3</v>
      </c>
      <c r="M137" s="38">
        <f>IF(IF(M140=0,0,3),3,0)</f>
        <v>0</v>
      </c>
      <c r="N137" s="38">
        <f>IF(IF(N140=0,0,4),4,0)</f>
        <v>4</v>
      </c>
      <c r="O137" s="37">
        <f>IF(IF(O140=0,0,2),2,0)</f>
        <v>0</v>
      </c>
      <c r="P137" s="38">
        <f>IF(IF(P140=0,0,4),4,0)</f>
        <v>4</v>
      </c>
      <c r="Q137" s="37">
        <f>IF(IF(Q140=0,0,2),2,0)</f>
        <v>0</v>
      </c>
      <c r="R137" s="38">
        <f>IF(IF(R140=0,0,3),3,0)</f>
        <v>0</v>
      </c>
      <c r="S137" s="38">
        <f>IF(IF(S140=0,0,3),3,0)</f>
        <v>0</v>
      </c>
      <c r="T137" s="38">
        <f>SUM(F137:S137)</f>
        <v>17</v>
      </c>
      <c r="U137" s="39"/>
      <c r="V137" s="112"/>
      <c r="W137" s="112"/>
      <c r="X137" s="141"/>
    </row>
    <row r="138" spans="2:24" ht="19.5" thickTop="1" thickBot="1" x14ac:dyDescent="0.3">
      <c r="B138" s="158"/>
      <c r="C138" s="107"/>
      <c r="D138" s="101"/>
      <c r="E138" s="33" t="s">
        <v>216</v>
      </c>
      <c r="F138" s="41"/>
      <c r="G138" s="41">
        <v>37</v>
      </c>
      <c r="H138" s="41">
        <v>40</v>
      </c>
      <c r="I138" s="42"/>
      <c r="J138" s="42"/>
      <c r="K138" s="42"/>
      <c r="L138" s="42">
        <v>35</v>
      </c>
      <c r="M138" s="41">
        <v>0</v>
      </c>
      <c r="N138" s="85">
        <v>22</v>
      </c>
      <c r="O138" s="41">
        <v>0</v>
      </c>
      <c r="P138" s="88">
        <v>34</v>
      </c>
      <c r="Q138" s="41">
        <v>0</v>
      </c>
      <c r="R138" s="42">
        <v>0</v>
      </c>
      <c r="S138" s="42">
        <v>0</v>
      </c>
      <c r="T138" s="42"/>
      <c r="U138" s="43"/>
      <c r="V138" s="101"/>
      <c r="W138" s="101"/>
      <c r="X138" s="128"/>
    </row>
    <row r="139" spans="2:24" ht="19.5" thickTop="1" thickBot="1" x14ac:dyDescent="0.3">
      <c r="B139" s="158"/>
      <c r="C139" s="107"/>
      <c r="D139" s="101"/>
      <c r="E139" s="30" t="s">
        <v>3</v>
      </c>
      <c r="F139" s="45"/>
      <c r="G139" s="45">
        <v>53</v>
      </c>
      <c r="H139" s="45"/>
      <c r="I139" s="45"/>
      <c r="J139" s="45"/>
      <c r="K139" s="45"/>
      <c r="L139" s="45"/>
      <c r="M139" s="45">
        <v>0</v>
      </c>
      <c r="N139" s="86">
        <v>0</v>
      </c>
      <c r="O139" s="45">
        <v>0</v>
      </c>
      <c r="P139" s="86">
        <v>0</v>
      </c>
      <c r="Q139" s="45">
        <v>0</v>
      </c>
      <c r="R139" s="45">
        <v>0</v>
      </c>
      <c r="S139" s="45">
        <v>0</v>
      </c>
      <c r="T139" s="46"/>
      <c r="U139" s="47"/>
      <c r="V139" s="101"/>
      <c r="W139" s="101"/>
      <c r="X139" s="128"/>
    </row>
    <row r="140" spans="2:24" ht="19.5" thickTop="1" thickBot="1" x14ac:dyDescent="0.3">
      <c r="B140" s="158"/>
      <c r="C140" s="107"/>
      <c r="D140" s="101"/>
      <c r="E140" s="31" t="s">
        <v>4</v>
      </c>
      <c r="F140" s="45">
        <f t="shared" ref="F140:S140" si="105">IF(F139&lt;30,F138,F138+F139)</f>
        <v>0</v>
      </c>
      <c r="G140" s="45">
        <f t="shared" si="105"/>
        <v>90</v>
      </c>
      <c r="H140" s="45">
        <f t="shared" si="105"/>
        <v>40</v>
      </c>
      <c r="I140" s="45">
        <f t="shared" si="105"/>
        <v>0</v>
      </c>
      <c r="J140" s="45">
        <f t="shared" si="105"/>
        <v>0</v>
      </c>
      <c r="K140" s="45">
        <f t="shared" si="105"/>
        <v>0</v>
      </c>
      <c r="L140" s="45">
        <f t="shared" si="105"/>
        <v>35</v>
      </c>
      <c r="M140" s="45">
        <f t="shared" si="105"/>
        <v>0</v>
      </c>
      <c r="N140" s="86">
        <f t="shared" si="105"/>
        <v>22</v>
      </c>
      <c r="O140" s="45">
        <f t="shared" si="105"/>
        <v>0</v>
      </c>
      <c r="P140" s="86">
        <f t="shared" si="105"/>
        <v>34</v>
      </c>
      <c r="Q140" s="45">
        <f t="shared" si="105"/>
        <v>0</v>
      </c>
      <c r="R140" s="45">
        <f t="shared" si="105"/>
        <v>0</v>
      </c>
      <c r="S140" s="45">
        <f t="shared" si="105"/>
        <v>0</v>
      </c>
      <c r="T140" s="46"/>
      <c r="U140" s="47"/>
      <c r="V140" s="101"/>
      <c r="W140" s="101"/>
      <c r="X140" s="128"/>
    </row>
    <row r="141" spans="2:24" ht="37.5" thickTop="1" thickBot="1" x14ac:dyDescent="0.3">
      <c r="B141" s="159"/>
      <c r="C141" s="108"/>
      <c r="D141" s="102"/>
      <c r="E141" s="32" t="s">
        <v>6</v>
      </c>
      <c r="F141" s="36">
        <f t="shared" ref="F141:L141" si="106">SUM(F137*F140)</f>
        <v>0</v>
      </c>
      <c r="G141" s="36">
        <f t="shared" si="106"/>
        <v>270</v>
      </c>
      <c r="H141" s="36">
        <f t="shared" si="106"/>
        <v>120</v>
      </c>
      <c r="I141" s="36">
        <f t="shared" si="106"/>
        <v>0</v>
      </c>
      <c r="J141" s="36">
        <f t="shared" si="106"/>
        <v>0</v>
      </c>
      <c r="K141" s="36">
        <f t="shared" si="106"/>
        <v>0</v>
      </c>
      <c r="L141" s="36">
        <f t="shared" si="106"/>
        <v>105</v>
      </c>
      <c r="M141" s="36">
        <f t="shared" ref="M141:S141" si="107">SUM(M137*M140)</f>
        <v>0</v>
      </c>
      <c r="N141" s="87">
        <f t="shared" si="107"/>
        <v>88</v>
      </c>
      <c r="O141" s="36">
        <f t="shared" si="107"/>
        <v>0</v>
      </c>
      <c r="P141" s="87">
        <f t="shared" si="107"/>
        <v>136</v>
      </c>
      <c r="Q141" s="36">
        <f t="shared" si="107"/>
        <v>0</v>
      </c>
      <c r="R141" s="36">
        <f t="shared" si="107"/>
        <v>0</v>
      </c>
      <c r="S141" s="36">
        <f t="shared" si="107"/>
        <v>0</v>
      </c>
      <c r="T141" s="50">
        <f>SUM(F141:S141)</f>
        <v>719</v>
      </c>
      <c r="U141" s="51">
        <f>SUM(T141/T137)</f>
        <v>42.294117647058826</v>
      </c>
      <c r="V141" s="102"/>
      <c r="W141" s="102"/>
      <c r="X141" s="129"/>
    </row>
    <row r="142" spans="2:24" ht="20.25" thickTop="1" thickBot="1" x14ac:dyDescent="0.35">
      <c r="B142" s="160">
        <v>-28</v>
      </c>
      <c r="C142" s="106" t="s">
        <v>180</v>
      </c>
      <c r="D142" s="112" t="s">
        <v>315</v>
      </c>
      <c r="E142" s="10" t="s">
        <v>5</v>
      </c>
      <c r="F142" s="38">
        <f>IF(IF(F145=0,0,4),4,0)</f>
        <v>0</v>
      </c>
      <c r="G142" s="38">
        <f t="shared" ref="G142:L142" si="108">IF(IF(G145=0,0,3),3,0)</f>
        <v>3</v>
      </c>
      <c r="H142" s="38">
        <f t="shared" si="108"/>
        <v>3</v>
      </c>
      <c r="I142" s="38">
        <f t="shared" si="108"/>
        <v>0</v>
      </c>
      <c r="J142" s="38">
        <f t="shared" si="108"/>
        <v>0</v>
      </c>
      <c r="K142" s="38">
        <f t="shared" si="108"/>
        <v>0</v>
      </c>
      <c r="L142" s="38">
        <f t="shared" si="108"/>
        <v>3</v>
      </c>
      <c r="M142" s="38">
        <f>IF(IF(M145=0,0,3),3,0)</f>
        <v>0</v>
      </c>
      <c r="N142" s="38">
        <f>IF(IF(N145=0,0,4),4,0)</f>
        <v>4</v>
      </c>
      <c r="O142" s="37">
        <f>IF(IF(O145=0,0,2),2,0)</f>
        <v>0</v>
      </c>
      <c r="P142" s="38">
        <f>IF(IF(P145=0,0,4),4,0)</f>
        <v>0</v>
      </c>
      <c r="Q142" s="37">
        <f>IF(IF(Q145=0,0,2),2,0)</f>
        <v>0</v>
      </c>
      <c r="R142" s="38">
        <f>IF(IF(R145=0,0,3),3,0)</f>
        <v>0</v>
      </c>
      <c r="S142" s="38">
        <f>IF(IF(S145=0,0,3),3,0)</f>
        <v>0</v>
      </c>
      <c r="T142" s="38">
        <f>SUM(F142:S142)</f>
        <v>13</v>
      </c>
      <c r="U142" s="39"/>
      <c r="V142" s="112"/>
      <c r="W142" s="112"/>
      <c r="X142" s="141"/>
    </row>
    <row r="143" spans="2:24" ht="19.5" thickTop="1" thickBot="1" x14ac:dyDescent="0.3">
      <c r="B143" s="158"/>
      <c r="C143" s="107"/>
      <c r="D143" s="101"/>
      <c r="E143" s="33" t="s">
        <v>216</v>
      </c>
      <c r="F143" s="41"/>
      <c r="G143" s="41">
        <v>29</v>
      </c>
      <c r="H143" s="41">
        <v>35</v>
      </c>
      <c r="I143" s="42"/>
      <c r="J143" s="42"/>
      <c r="K143" s="42"/>
      <c r="L143" s="42">
        <v>27</v>
      </c>
      <c r="M143" s="41">
        <v>0</v>
      </c>
      <c r="N143" s="85">
        <v>23</v>
      </c>
      <c r="O143" s="41">
        <v>0</v>
      </c>
      <c r="P143" s="42">
        <v>0</v>
      </c>
      <c r="Q143" s="41">
        <v>0</v>
      </c>
      <c r="R143" s="42">
        <v>0</v>
      </c>
      <c r="S143" s="42">
        <v>0</v>
      </c>
      <c r="T143" s="42"/>
      <c r="U143" s="43"/>
      <c r="V143" s="101"/>
      <c r="W143" s="101"/>
      <c r="X143" s="128"/>
    </row>
    <row r="144" spans="2:24" ht="19.5" thickTop="1" thickBot="1" x14ac:dyDescent="0.3">
      <c r="B144" s="158"/>
      <c r="C144" s="107"/>
      <c r="D144" s="101"/>
      <c r="E144" s="30" t="s">
        <v>3</v>
      </c>
      <c r="F144" s="45"/>
      <c r="G144" s="45">
        <v>50</v>
      </c>
      <c r="H144" s="45"/>
      <c r="I144" s="45"/>
      <c r="J144" s="45"/>
      <c r="K144" s="45"/>
      <c r="L144" s="45"/>
      <c r="M144" s="45">
        <v>0</v>
      </c>
      <c r="N144" s="86">
        <v>0</v>
      </c>
      <c r="O144" s="45">
        <v>0</v>
      </c>
      <c r="P144" s="45">
        <v>0</v>
      </c>
      <c r="Q144" s="45">
        <v>0</v>
      </c>
      <c r="R144" s="45">
        <v>0</v>
      </c>
      <c r="S144" s="45">
        <v>0</v>
      </c>
      <c r="T144" s="46"/>
      <c r="U144" s="47"/>
      <c r="V144" s="101"/>
      <c r="W144" s="101"/>
      <c r="X144" s="128"/>
    </row>
    <row r="145" spans="2:24" ht="19.5" thickTop="1" thickBot="1" x14ac:dyDescent="0.3">
      <c r="B145" s="158"/>
      <c r="C145" s="107"/>
      <c r="D145" s="101"/>
      <c r="E145" s="31" t="s">
        <v>4</v>
      </c>
      <c r="F145" s="45">
        <f t="shared" ref="F145:S145" si="109">IF(F144&lt;30,F143,F143+F144)</f>
        <v>0</v>
      </c>
      <c r="G145" s="45">
        <f t="shared" si="109"/>
        <v>79</v>
      </c>
      <c r="H145" s="45">
        <f t="shared" si="109"/>
        <v>35</v>
      </c>
      <c r="I145" s="45">
        <f t="shared" si="109"/>
        <v>0</v>
      </c>
      <c r="J145" s="45">
        <f t="shared" si="109"/>
        <v>0</v>
      </c>
      <c r="K145" s="45">
        <f t="shared" si="109"/>
        <v>0</v>
      </c>
      <c r="L145" s="45">
        <f t="shared" si="109"/>
        <v>27</v>
      </c>
      <c r="M145" s="45">
        <f t="shared" si="109"/>
        <v>0</v>
      </c>
      <c r="N145" s="86">
        <f t="shared" si="109"/>
        <v>23</v>
      </c>
      <c r="O145" s="45">
        <f t="shared" si="109"/>
        <v>0</v>
      </c>
      <c r="P145" s="45">
        <f t="shared" si="109"/>
        <v>0</v>
      </c>
      <c r="Q145" s="45">
        <f t="shared" si="109"/>
        <v>0</v>
      </c>
      <c r="R145" s="45">
        <f t="shared" si="109"/>
        <v>0</v>
      </c>
      <c r="S145" s="45">
        <f t="shared" si="109"/>
        <v>0</v>
      </c>
      <c r="T145" s="46"/>
      <c r="U145" s="47"/>
      <c r="V145" s="101"/>
      <c r="W145" s="101"/>
      <c r="X145" s="128"/>
    </row>
    <row r="146" spans="2:24" ht="37.5" thickTop="1" thickBot="1" x14ac:dyDescent="0.3">
      <c r="B146" s="166"/>
      <c r="C146" s="165"/>
      <c r="D146" s="102"/>
      <c r="E146" s="32" t="s">
        <v>6</v>
      </c>
      <c r="F146" s="53">
        <f t="shared" ref="F146:L146" si="110">SUM(F142*F145)</f>
        <v>0</v>
      </c>
      <c r="G146" s="53">
        <f t="shared" si="110"/>
        <v>237</v>
      </c>
      <c r="H146" s="53">
        <f t="shared" si="110"/>
        <v>105</v>
      </c>
      <c r="I146" s="53">
        <f t="shared" si="110"/>
        <v>0</v>
      </c>
      <c r="J146" s="53">
        <f t="shared" si="110"/>
        <v>0</v>
      </c>
      <c r="K146" s="53">
        <f t="shared" si="110"/>
        <v>0</v>
      </c>
      <c r="L146" s="53">
        <f t="shared" si="110"/>
        <v>81</v>
      </c>
      <c r="M146" s="53">
        <f t="shared" ref="M146:S146" si="111">SUM(M142*M145)</f>
        <v>0</v>
      </c>
      <c r="N146" s="89">
        <f t="shared" si="111"/>
        <v>92</v>
      </c>
      <c r="O146" s="53">
        <f t="shared" si="111"/>
        <v>0</v>
      </c>
      <c r="P146" s="53">
        <f t="shared" si="111"/>
        <v>0</v>
      </c>
      <c r="Q146" s="53">
        <f t="shared" si="111"/>
        <v>0</v>
      </c>
      <c r="R146" s="53">
        <f t="shared" si="111"/>
        <v>0</v>
      </c>
      <c r="S146" s="53">
        <f t="shared" si="111"/>
        <v>0</v>
      </c>
      <c r="T146" s="54">
        <f>SUM(F146:S146)</f>
        <v>515</v>
      </c>
      <c r="U146" s="53">
        <f>SUM(T146/T142)</f>
        <v>39.615384615384613</v>
      </c>
      <c r="V146" s="102"/>
      <c r="W146" s="102"/>
      <c r="X146" s="129"/>
    </row>
    <row r="147" spans="2:24" ht="20.25" thickTop="1" thickBot="1" x14ac:dyDescent="0.35">
      <c r="B147" s="157">
        <v>-29</v>
      </c>
      <c r="C147" s="138" t="s">
        <v>181</v>
      </c>
      <c r="D147" s="113" t="s">
        <v>316</v>
      </c>
      <c r="E147" s="9" t="s">
        <v>5</v>
      </c>
      <c r="F147" s="38">
        <f>IF(IF(F150=0,0,4),4,0)</f>
        <v>0</v>
      </c>
      <c r="G147" s="38">
        <f t="shared" ref="G147:L147" si="112">IF(IF(G150=0,0,3),3,0)</f>
        <v>3</v>
      </c>
      <c r="H147" s="38">
        <f t="shared" si="112"/>
        <v>3</v>
      </c>
      <c r="I147" s="38">
        <f t="shared" si="112"/>
        <v>0</v>
      </c>
      <c r="J147" s="38">
        <f t="shared" si="112"/>
        <v>0</v>
      </c>
      <c r="K147" s="38">
        <f t="shared" si="112"/>
        <v>0</v>
      </c>
      <c r="L147" s="38">
        <f t="shared" si="112"/>
        <v>3</v>
      </c>
      <c r="M147" s="65">
        <f>IF(IF(M150=0,0,3),3,0)</f>
        <v>0</v>
      </c>
      <c r="N147" s="65">
        <f>IF(IF(N150=0,0,4),4,0)</f>
        <v>0</v>
      </c>
      <c r="O147" s="64">
        <f>IF(IF(O150=0,0,2),2,0)</f>
        <v>0</v>
      </c>
      <c r="P147" s="38">
        <f>IF(IF(P150=0,0,4),4,0)</f>
        <v>0</v>
      </c>
      <c r="Q147" s="64">
        <f>IF(IF(Q150=0,0,2),2,0)</f>
        <v>0</v>
      </c>
      <c r="R147" s="38">
        <f>IF(IF(R150=0,0,3),3,0)</f>
        <v>0</v>
      </c>
      <c r="S147" s="38">
        <f>IF(IF(S150=0,0,3),3,0)</f>
        <v>0</v>
      </c>
      <c r="T147" s="38">
        <f>SUM(F147:S147)</f>
        <v>9</v>
      </c>
      <c r="U147" s="39"/>
      <c r="V147" s="112"/>
      <c r="W147" s="112"/>
      <c r="X147" s="141"/>
    </row>
    <row r="148" spans="2:24" ht="19.5" thickTop="1" thickBot="1" x14ac:dyDescent="0.3">
      <c r="B148" s="158"/>
      <c r="C148" s="107"/>
      <c r="D148" s="101"/>
      <c r="E148" s="29" t="s">
        <v>216</v>
      </c>
      <c r="F148" s="41"/>
      <c r="G148" s="41">
        <v>34</v>
      </c>
      <c r="H148" s="41">
        <v>32</v>
      </c>
      <c r="I148" s="42"/>
      <c r="J148" s="42"/>
      <c r="K148" s="42"/>
      <c r="L148" s="42">
        <v>21</v>
      </c>
      <c r="M148" s="41">
        <v>0</v>
      </c>
      <c r="N148" s="41">
        <v>0</v>
      </c>
      <c r="O148" s="41">
        <v>0</v>
      </c>
      <c r="P148" s="42">
        <v>0</v>
      </c>
      <c r="Q148" s="41">
        <v>0</v>
      </c>
      <c r="R148" s="42">
        <v>0</v>
      </c>
      <c r="S148" s="42">
        <v>0</v>
      </c>
      <c r="T148" s="42"/>
      <c r="U148" s="43"/>
      <c r="V148" s="101"/>
      <c r="W148" s="101"/>
      <c r="X148" s="128"/>
    </row>
    <row r="149" spans="2:24" ht="19.5" thickTop="1" thickBot="1" x14ac:dyDescent="0.3">
      <c r="B149" s="158"/>
      <c r="C149" s="107"/>
      <c r="D149" s="101"/>
      <c r="E149" s="30" t="s">
        <v>3</v>
      </c>
      <c r="F149" s="74"/>
      <c r="G149" s="45">
        <v>46</v>
      </c>
      <c r="H149" s="45"/>
      <c r="I149" s="45"/>
      <c r="J149" s="45"/>
      <c r="K149" s="45"/>
      <c r="L149" s="45"/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6"/>
      <c r="U149" s="47"/>
      <c r="V149" s="101"/>
      <c r="W149" s="101"/>
      <c r="X149" s="128"/>
    </row>
    <row r="150" spans="2:24" ht="19.5" thickTop="1" thickBot="1" x14ac:dyDescent="0.3">
      <c r="B150" s="158"/>
      <c r="C150" s="107"/>
      <c r="D150" s="101"/>
      <c r="E150" s="31" t="s">
        <v>4</v>
      </c>
      <c r="F150" s="45">
        <f t="shared" ref="F150:S150" si="113">IF(F149&lt;30,F148,F148+F149)</f>
        <v>0</v>
      </c>
      <c r="G150" s="45">
        <f t="shared" si="113"/>
        <v>80</v>
      </c>
      <c r="H150" s="45">
        <f t="shared" si="113"/>
        <v>32</v>
      </c>
      <c r="I150" s="45">
        <f t="shared" si="113"/>
        <v>0</v>
      </c>
      <c r="J150" s="45">
        <f t="shared" si="113"/>
        <v>0</v>
      </c>
      <c r="K150" s="45">
        <f t="shared" si="113"/>
        <v>0</v>
      </c>
      <c r="L150" s="45">
        <f t="shared" si="113"/>
        <v>21</v>
      </c>
      <c r="M150" s="45">
        <f t="shared" si="113"/>
        <v>0</v>
      </c>
      <c r="N150" s="45">
        <f t="shared" si="113"/>
        <v>0</v>
      </c>
      <c r="O150" s="45">
        <f t="shared" si="113"/>
        <v>0</v>
      </c>
      <c r="P150" s="45">
        <f t="shared" si="113"/>
        <v>0</v>
      </c>
      <c r="Q150" s="45">
        <f t="shared" si="113"/>
        <v>0</v>
      </c>
      <c r="R150" s="45">
        <f t="shared" si="113"/>
        <v>0</v>
      </c>
      <c r="S150" s="45">
        <f t="shared" si="113"/>
        <v>0</v>
      </c>
      <c r="T150" s="46"/>
      <c r="U150" s="47"/>
      <c r="V150" s="101"/>
      <c r="W150" s="101"/>
      <c r="X150" s="128"/>
    </row>
    <row r="151" spans="2:24" ht="37.5" thickTop="1" thickBot="1" x14ac:dyDescent="0.3">
      <c r="B151" s="159"/>
      <c r="C151" s="108"/>
      <c r="D151" s="102"/>
      <c r="E151" s="32" t="s">
        <v>6</v>
      </c>
      <c r="F151" s="36">
        <f t="shared" ref="F151:L151" si="114">SUM(F147*F150)</f>
        <v>0</v>
      </c>
      <c r="G151" s="36">
        <f t="shared" si="114"/>
        <v>240</v>
      </c>
      <c r="H151" s="36">
        <f t="shared" si="114"/>
        <v>96</v>
      </c>
      <c r="I151" s="36">
        <f t="shared" si="114"/>
        <v>0</v>
      </c>
      <c r="J151" s="36">
        <f t="shared" si="114"/>
        <v>0</v>
      </c>
      <c r="K151" s="36">
        <f t="shared" si="114"/>
        <v>0</v>
      </c>
      <c r="L151" s="36">
        <f t="shared" si="114"/>
        <v>63</v>
      </c>
      <c r="M151" s="36">
        <f t="shared" ref="M151:S151" si="115">SUM(M147*M150)</f>
        <v>0</v>
      </c>
      <c r="N151" s="36">
        <f t="shared" si="115"/>
        <v>0</v>
      </c>
      <c r="O151" s="36">
        <f t="shared" si="115"/>
        <v>0</v>
      </c>
      <c r="P151" s="36">
        <f t="shared" si="115"/>
        <v>0</v>
      </c>
      <c r="Q151" s="36">
        <f t="shared" si="115"/>
        <v>0</v>
      </c>
      <c r="R151" s="36">
        <f t="shared" si="115"/>
        <v>0</v>
      </c>
      <c r="S151" s="36">
        <f t="shared" si="115"/>
        <v>0</v>
      </c>
      <c r="T151" s="50">
        <f>SUM(F151:S151)</f>
        <v>399</v>
      </c>
      <c r="U151" s="51">
        <f>SUM(T151/T147)</f>
        <v>44.333333333333336</v>
      </c>
      <c r="V151" s="102"/>
      <c r="W151" s="102"/>
      <c r="X151" s="129"/>
    </row>
    <row r="152" spans="2:24" ht="20.25" thickTop="1" thickBot="1" x14ac:dyDescent="0.35">
      <c r="B152" s="160">
        <v>-30</v>
      </c>
      <c r="C152" s="106" t="s">
        <v>182</v>
      </c>
      <c r="D152" s="101" t="s">
        <v>317</v>
      </c>
      <c r="E152" s="67" t="s">
        <v>5</v>
      </c>
      <c r="F152" s="38">
        <f>IF(IF(F155=0,0,4),4,0)</f>
        <v>0</v>
      </c>
      <c r="G152" s="38">
        <f t="shared" ref="G152:L152" si="116">IF(IF(G155=0,0,3),3,0)</f>
        <v>3</v>
      </c>
      <c r="H152" s="38">
        <f t="shared" si="116"/>
        <v>3</v>
      </c>
      <c r="I152" s="38">
        <f t="shared" si="116"/>
        <v>0</v>
      </c>
      <c r="J152" s="38">
        <f t="shared" si="116"/>
        <v>0</v>
      </c>
      <c r="K152" s="38">
        <f t="shared" si="116"/>
        <v>0</v>
      </c>
      <c r="L152" s="38">
        <f t="shared" si="116"/>
        <v>3</v>
      </c>
      <c r="M152" s="38">
        <f>IF(IF(M155=0,0,3),3,0)</f>
        <v>0</v>
      </c>
      <c r="N152" s="38">
        <f>IF(IF(N155=0,0,4),4,0)</f>
        <v>0</v>
      </c>
      <c r="O152" s="37">
        <f>IF(IF(O155=0,0,2),2,0)</f>
        <v>0</v>
      </c>
      <c r="P152" s="38">
        <f>IF(IF(P155=0,0,4),4,0)</f>
        <v>0</v>
      </c>
      <c r="Q152" s="37">
        <f>IF(IF(Q155=0,0,2),2,0)</f>
        <v>0</v>
      </c>
      <c r="R152" s="38">
        <f>IF(IF(R155=0,0,3),3,0)</f>
        <v>0</v>
      </c>
      <c r="S152" s="38">
        <f>IF(IF(S155=0,0,3),3,0)</f>
        <v>0</v>
      </c>
      <c r="T152" s="38">
        <f>SUM(F152:S152)</f>
        <v>9</v>
      </c>
      <c r="U152" s="39"/>
      <c r="V152" s="112"/>
      <c r="W152" s="112"/>
      <c r="X152" s="141"/>
    </row>
    <row r="153" spans="2:24" ht="19.5" thickTop="1" thickBot="1" x14ac:dyDescent="0.3">
      <c r="B153" s="158"/>
      <c r="C153" s="107"/>
      <c r="D153" s="101"/>
      <c r="E153" s="29" t="s">
        <v>216</v>
      </c>
      <c r="F153" s="41"/>
      <c r="G153" s="41">
        <v>37</v>
      </c>
      <c r="H153" s="41">
        <v>39</v>
      </c>
      <c r="I153" s="42"/>
      <c r="J153" s="42"/>
      <c r="K153" s="42"/>
      <c r="L153" s="42">
        <v>39</v>
      </c>
      <c r="M153" s="41">
        <v>0</v>
      </c>
      <c r="N153" s="41">
        <v>0</v>
      </c>
      <c r="O153" s="41">
        <v>0</v>
      </c>
      <c r="P153" s="42">
        <v>0</v>
      </c>
      <c r="Q153" s="41">
        <v>0</v>
      </c>
      <c r="R153" s="42">
        <v>0</v>
      </c>
      <c r="S153" s="42">
        <v>0</v>
      </c>
      <c r="T153" s="42"/>
      <c r="U153" s="43"/>
      <c r="V153" s="101"/>
      <c r="W153" s="101"/>
      <c r="X153" s="128"/>
    </row>
    <row r="154" spans="2:24" ht="19.5" thickTop="1" thickBot="1" x14ac:dyDescent="0.3">
      <c r="B154" s="158"/>
      <c r="C154" s="107"/>
      <c r="D154" s="101"/>
      <c r="E154" s="30" t="s">
        <v>3</v>
      </c>
      <c r="F154" s="45"/>
      <c r="G154" s="45">
        <v>60</v>
      </c>
      <c r="H154" s="45"/>
      <c r="I154" s="45"/>
      <c r="J154" s="45"/>
      <c r="K154" s="45"/>
      <c r="L154" s="45"/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6"/>
      <c r="U154" s="47"/>
      <c r="V154" s="101"/>
      <c r="W154" s="101"/>
      <c r="X154" s="128"/>
    </row>
    <row r="155" spans="2:24" ht="19.5" thickTop="1" thickBot="1" x14ac:dyDescent="0.3">
      <c r="B155" s="158"/>
      <c r="C155" s="107"/>
      <c r="D155" s="101"/>
      <c r="E155" s="31" t="s">
        <v>4</v>
      </c>
      <c r="F155" s="45">
        <f t="shared" ref="F155:S155" si="117">IF(F154&lt;30,F153,F153+F154)</f>
        <v>0</v>
      </c>
      <c r="G155" s="45">
        <f t="shared" si="117"/>
        <v>97</v>
      </c>
      <c r="H155" s="45">
        <f t="shared" si="117"/>
        <v>39</v>
      </c>
      <c r="I155" s="45">
        <f t="shared" si="117"/>
        <v>0</v>
      </c>
      <c r="J155" s="45">
        <f t="shared" si="117"/>
        <v>0</v>
      </c>
      <c r="K155" s="45">
        <f t="shared" si="117"/>
        <v>0</v>
      </c>
      <c r="L155" s="45">
        <f t="shared" si="117"/>
        <v>39</v>
      </c>
      <c r="M155" s="45">
        <f t="shared" si="117"/>
        <v>0</v>
      </c>
      <c r="N155" s="45">
        <f t="shared" si="117"/>
        <v>0</v>
      </c>
      <c r="O155" s="45">
        <f t="shared" si="117"/>
        <v>0</v>
      </c>
      <c r="P155" s="45">
        <f t="shared" si="117"/>
        <v>0</v>
      </c>
      <c r="Q155" s="45">
        <f t="shared" si="117"/>
        <v>0</v>
      </c>
      <c r="R155" s="45">
        <f t="shared" si="117"/>
        <v>0</v>
      </c>
      <c r="S155" s="45">
        <f t="shared" si="117"/>
        <v>0</v>
      </c>
      <c r="T155" s="46"/>
      <c r="U155" s="47"/>
      <c r="V155" s="101"/>
      <c r="W155" s="101"/>
      <c r="X155" s="128"/>
    </row>
    <row r="156" spans="2:24" ht="37.5" thickTop="1" thickBot="1" x14ac:dyDescent="0.3">
      <c r="B156" s="158"/>
      <c r="C156" s="107"/>
      <c r="D156" s="102"/>
      <c r="E156" s="32" t="s">
        <v>6</v>
      </c>
      <c r="F156" s="36">
        <f t="shared" ref="F156:L156" si="118">SUM(F152*F155)</f>
        <v>0</v>
      </c>
      <c r="G156" s="36">
        <f t="shared" si="118"/>
        <v>291</v>
      </c>
      <c r="H156" s="36">
        <f t="shared" si="118"/>
        <v>117</v>
      </c>
      <c r="I156" s="36">
        <f t="shared" si="118"/>
        <v>0</v>
      </c>
      <c r="J156" s="36">
        <f t="shared" si="118"/>
        <v>0</v>
      </c>
      <c r="K156" s="36">
        <f t="shared" si="118"/>
        <v>0</v>
      </c>
      <c r="L156" s="36">
        <f t="shared" si="118"/>
        <v>117</v>
      </c>
      <c r="M156" s="36">
        <f t="shared" ref="M156:S156" si="119">SUM(M152*M155)</f>
        <v>0</v>
      </c>
      <c r="N156" s="36">
        <f t="shared" si="119"/>
        <v>0</v>
      </c>
      <c r="O156" s="36">
        <f t="shared" si="119"/>
        <v>0</v>
      </c>
      <c r="P156" s="36">
        <f t="shared" si="119"/>
        <v>0</v>
      </c>
      <c r="Q156" s="36">
        <f t="shared" si="119"/>
        <v>0</v>
      </c>
      <c r="R156" s="36">
        <f t="shared" si="119"/>
        <v>0</v>
      </c>
      <c r="S156" s="36">
        <f t="shared" si="119"/>
        <v>0</v>
      </c>
      <c r="T156" s="50">
        <f>SUM(F156:S156)</f>
        <v>525</v>
      </c>
      <c r="U156" s="51">
        <f>SUM(T156/T152)</f>
        <v>58.333333333333336</v>
      </c>
      <c r="V156" s="102"/>
      <c r="W156" s="102"/>
      <c r="X156" s="129"/>
    </row>
    <row r="157" spans="2:24" ht="20.25" thickTop="1" thickBot="1" x14ac:dyDescent="0.35">
      <c r="B157" s="158">
        <v>-31</v>
      </c>
      <c r="C157" s="107" t="s">
        <v>183</v>
      </c>
      <c r="D157" s="101" t="s">
        <v>318</v>
      </c>
      <c r="E157" s="10" t="s">
        <v>5</v>
      </c>
      <c r="F157" s="38">
        <f>IF(IF(F160=0,0,4),4,0)</f>
        <v>0</v>
      </c>
      <c r="G157" s="38">
        <f t="shared" ref="G157:L157" si="120">IF(IF(G160=0,0,3),3,0)</f>
        <v>3</v>
      </c>
      <c r="H157" s="38">
        <f t="shared" si="120"/>
        <v>3</v>
      </c>
      <c r="I157" s="38">
        <f t="shared" si="120"/>
        <v>0</v>
      </c>
      <c r="J157" s="38">
        <f t="shared" si="120"/>
        <v>0</v>
      </c>
      <c r="K157" s="38">
        <f t="shared" si="120"/>
        <v>0</v>
      </c>
      <c r="L157" s="38">
        <f t="shared" si="120"/>
        <v>3</v>
      </c>
      <c r="M157" s="38">
        <f>IF(IF(M160=0,0,3),3,0)</f>
        <v>0</v>
      </c>
      <c r="N157" s="38">
        <f>IF(IF(N160=0,0,4),4,0)</f>
        <v>4</v>
      </c>
      <c r="O157" s="37">
        <f>IF(IF(O160=0,0,2),2,0)</f>
        <v>0</v>
      </c>
      <c r="P157" s="38">
        <f>IF(IF(P160=0,0,4),4,0)</f>
        <v>0</v>
      </c>
      <c r="Q157" s="37">
        <f>IF(IF(Q160=0,0,2),2,0)</f>
        <v>0</v>
      </c>
      <c r="R157" s="38">
        <f>IF(IF(R160=0,0,3),3,0)</f>
        <v>0</v>
      </c>
      <c r="S157" s="38">
        <f>IF(IF(S160=0,0,3),3,0)</f>
        <v>0</v>
      </c>
      <c r="T157" s="38">
        <f>SUM(F157:S157)</f>
        <v>13</v>
      </c>
      <c r="U157" s="39"/>
      <c r="V157" s="112"/>
      <c r="W157" s="112"/>
      <c r="X157" s="141"/>
    </row>
    <row r="158" spans="2:24" ht="19.5" thickTop="1" thickBot="1" x14ac:dyDescent="0.3">
      <c r="B158" s="158"/>
      <c r="C158" s="107"/>
      <c r="D158" s="101"/>
      <c r="E158" s="33" t="s">
        <v>216</v>
      </c>
      <c r="F158" s="41"/>
      <c r="G158" s="41">
        <v>36</v>
      </c>
      <c r="H158" s="41">
        <v>36</v>
      </c>
      <c r="I158" s="42"/>
      <c r="J158" s="42"/>
      <c r="K158" s="42"/>
      <c r="L158" s="42">
        <v>30</v>
      </c>
      <c r="M158" s="41">
        <v>0</v>
      </c>
      <c r="N158" s="85">
        <v>22</v>
      </c>
      <c r="O158" s="41">
        <v>0</v>
      </c>
      <c r="P158" s="42">
        <v>0</v>
      </c>
      <c r="Q158" s="41">
        <v>0</v>
      </c>
      <c r="R158" s="42">
        <v>0</v>
      </c>
      <c r="S158" s="42">
        <v>0</v>
      </c>
      <c r="T158" s="42"/>
      <c r="U158" s="43"/>
      <c r="V158" s="101"/>
      <c r="W158" s="101"/>
      <c r="X158" s="128"/>
    </row>
    <row r="159" spans="2:24" ht="19.5" thickTop="1" thickBot="1" x14ac:dyDescent="0.3">
      <c r="B159" s="158"/>
      <c r="C159" s="107"/>
      <c r="D159" s="101"/>
      <c r="E159" s="30" t="s">
        <v>3</v>
      </c>
      <c r="F159" s="45"/>
      <c r="G159" s="45">
        <v>54</v>
      </c>
      <c r="H159" s="45"/>
      <c r="I159" s="45"/>
      <c r="J159" s="45"/>
      <c r="K159" s="45"/>
      <c r="L159" s="45"/>
      <c r="M159" s="45">
        <v>0</v>
      </c>
      <c r="N159" s="86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6"/>
      <c r="U159" s="47"/>
      <c r="V159" s="101"/>
      <c r="W159" s="101"/>
      <c r="X159" s="128"/>
    </row>
    <row r="160" spans="2:24" ht="19.5" thickTop="1" thickBot="1" x14ac:dyDescent="0.3">
      <c r="B160" s="158"/>
      <c r="C160" s="107"/>
      <c r="D160" s="101"/>
      <c r="E160" s="31" t="s">
        <v>4</v>
      </c>
      <c r="F160" s="45">
        <f t="shared" ref="F160:S160" si="121">IF(F159&lt;30,F158,F158+F159)</f>
        <v>0</v>
      </c>
      <c r="G160" s="45">
        <f t="shared" si="121"/>
        <v>90</v>
      </c>
      <c r="H160" s="45">
        <f t="shared" si="121"/>
        <v>36</v>
      </c>
      <c r="I160" s="45">
        <f t="shared" si="121"/>
        <v>0</v>
      </c>
      <c r="J160" s="45">
        <f t="shared" si="121"/>
        <v>0</v>
      </c>
      <c r="K160" s="45">
        <f t="shared" si="121"/>
        <v>0</v>
      </c>
      <c r="L160" s="45">
        <f t="shared" si="121"/>
        <v>30</v>
      </c>
      <c r="M160" s="45">
        <f t="shared" si="121"/>
        <v>0</v>
      </c>
      <c r="N160" s="86">
        <f t="shared" si="121"/>
        <v>22</v>
      </c>
      <c r="O160" s="45">
        <f t="shared" si="121"/>
        <v>0</v>
      </c>
      <c r="P160" s="45">
        <f t="shared" si="121"/>
        <v>0</v>
      </c>
      <c r="Q160" s="45">
        <f t="shared" si="121"/>
        <v>0</v>
      </c>
      <c r="R160" s="45">
        <f t="shared" si="121"/>
        <v>0</v>
      </c>
      <c r="S160" s="45">
        <f t="shared" si="121"/>
        <v>0</v>
      </c>
      <c r="T160" s="46"/>
      <c r="U160" s="47"/>
      <c r="V160" s="101"/>
      <c r="W160" s="101"/>
      <c r="X160" s="128"/>
    </row>
    <row r="161" spans="2:24" ht="37.5" thickTop="1" thickBot="1" x14ac:dyDescent="0.3">
      <c r="B161" s="161"/>
      <c r="C161" s="163"/>
      <c r="D161" s="102"/>
      <c r="E161" s="35" t="s">
        <v>6</v>
      </c>
      <c r="F161" s="36">
        <f t="shared" ref="F161:L161" si="122">SUM(F157*F160)</f>
        <v>0</v>
      </c>
      <c r="G161" s="36">
        <f t="shared" si="122"/>
        <v>270</v>
      </c>
      <c r="H161" s="36">
        <f t="shared" si="122"/>
        <v>108</v>
      </c>
      <c r="I161" s="36">
        <f t="shared" si="122"/>
        <v>0</v>
      </c>
      <c r="J161" s="36">
        <f t="shared" si="122"/>
        <v>0</v>
      </c>
      <c r="K161" s="36">
        <f t="shared" si="122"/>
        <v>0</v>
      </c>
      <c r="L161" s="36">
        <f t="shared" si="122"/>
        <v>90</v>
      </c>
      <c r="M161" s="36">
        <f t="shared" ref="M161:S161" si="123">SUM(M157*M160)</f>
        <v>0</v>
      </c>
      <c r="N161" s="87">
        <f t="shared" si="123"/>
        <v>88</v>
      </c>
      <c r="O161" s="36">
        <f t="shared" si="123"/>
        <v>0</v>
      </c>
      <c r="P161" s="36">
        <f t="shared" si="123"/>
        <v>0</v>
      </c>
      <c r="Q161" s="36">
        <f t="shared" si="123"/>
        <v>0</v>
      </c>
      <c r="R161" s="36">
        <f t="shared" si="123"/>
        <v>0</v>
      </c>
      <c r="S161" s="36">
        <f t="shared" si="123"/>
        <v>0</v>
      </c>
      <c r="T161" s="50">
        <f>SUM(F161:S161)</f>
        <v>556</v>
      </c>
      <c r="U161" s="51">
        <f>SUM(T161/T157)</f>
        <v>42.769230769230766</v>
      </c>
      <c r="V161" s="102"/>
      <c r="W161" s="102"/>
      <c r="X161" s="129"/>
    </row>
    <row r="162" spans="2:24" ht="20.25" thickTop="1" thickBot="1" x14ac:dyDescent="0.35">
      <c r="B162" s="162">
        <v>-32</v>
      </c>
      <c r="C162" s="164" t="s">
        <v>184</v>
      </c>
      <c r="D162" s="101" t="s">
        <v>319</v>
      </c>
      <c r="E162" s="10" t="s">
        <v>5</v>
      </c>
      <c r="F162" s="38">
        <f>IF(IF(F165=0,0,4),4,0)</f>
        <v>0</v>
      </c>
      <c r="G162" s="38">
        <f t="shared" ref="G162:L162" si="124">IF(IF(G165=0,0,3),3,0)</f>
        <v>3</v>
      </c>
      <c r="H162" s="38">
        <f t="shared" si="124"/>
        <v>3</v>
      </c>
      <c r="I162" s="38">
        <f t="shared" si="124"/>
        <v>0</v>
      </c>
      <c r="J162" s="38">
        <f t="shared" si="124"/>
        <v>0</v>
      </c>
      <c r="K162" s="38">
        <f t="shared" si="124"/>
        <v>0</v>
      </c>
      <c r="L162" s="38">
        <f t="shared" si="124"/>
        <v>3</v>
      </c>
      <c r="M162" s="38">
        <f>IF(IF(M165=0,0,3),3,0)</f>
        <v>0</v>
      </c>
      <c r="N162" s="38">
        <f>IF(IF(N165=0,0,4),4,0)</f>
        <v>0</v>
      </c>
      <c r="O162" s="37">
        <f>IF(IF(O165=0,0,2),2,0)</f>
        <v>0</v>
      </c>
      <c r="P162" s="38">
        <f>IF(IF(P165=0,0,4),4,0)</f>
        <v>0</v>
      </c>
      <c r="Q162" s="37">
        <f>IF(IF(Q165=0,0,2),2,0)</f>
        <v>0</v>
      </c>
      <c r="R162" s="38">
        <f>IF(IF(R165=0,0,3),3,0)</f>
        <v>0</v>
      </c>
      <c r="S162" s="38">
        <f>IF(IF(S165=0,0,3),3,0)</f>
        <v>0</v>
      </c>
      <c r="T162" s="38">
        <f>SUM(F162:S162)</f>
        <v>9</v>
      </c>
      <c r="U162" s="39"/>
      <c r="V162" s="112"/>
      <c r="W162" s="112"/>
      <c r="X162" s="141"/>
    </row>
    <row r="163" spans="2:24" ht="19.5" thickTop="1" thickBot="1" x14ac:dyDescent="0.3">
      <c r="B163" s="158"/>
      <c r="C163" s="107"/>
      <c r="D163" s="101"/>
      <c r="E163" s="33" t="s">
        <v>216</v>
      </c>
      <c r="F163" s="41"/>
      <c r="G163" s="41">
        <v>37</v>
      </c>
      <c r="H163" s="41">
        <v>38</v>
      </c>
      <c r="I163" s="42"/>
      <c r="J163" s="42"/>
      <c r="K163" s="42"/>
      <c r="L163" s="42">
        <v>19</v>
      </c>
      <c r="M163" s="41">
        <v>0</v>
      </c>
      <c r="N163" s="41">
        <v>0</v>
      </c>
      <c r="O163" s="41">
        <v>0</v>
      </c>
      <c r="P163" s="42">
        <v>0</v>
      </c>
      <c r="Q163" s="41">
        <v>0</v>
      </c>
      <c r="R163" s="42">
        <v>0</v>
      </c>
      <c r="S163" s="42">
        <v>0</v>
      </c>
      <c r="T163" s="42"/>
      <c r="U163" s="43"/>
      <c r="V163" s="101"/>
      <c r="W163" s="101"/>
      <c r="X163" s="128"/>
    </row>
    <row r="164" spans="2:24" ht="19.5" thickTop="1" thickBot="1" x14ac:dyDescent="0.3">
      <c r="B164" s="158"/>
      <c r="C164" s="107"/>
      <c r="D164" s="101"/>
      <c r="E164" s="30" t="s">
        <v>3</v>
      </c>
      <c r="F164" s="45"/>
      <c r="G164" s="45">
        <v>60</v>
      </c>
      <c r="H164" s="45"/>
      <c r="I164" s="45"/>
      <c r="J164" s="45"/>
      <c r="K164" s="45"/>
      <c r="L164" s="45"/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6"/>
      <c r="U164" s="47"/>
      <c r="V164" s="101"/>
      <c r="W164" s="101"/>
      <c r="X164" s="128"/>
    </row>
    <row r="165" spans="2:24" ht="19.5" thickTop="1" thickBot="1" x14ac:dyDescent="0.3">
      <c r="B165" s="158"/>
      <c r="C165" s="107"/>
      <c r="D165" s="101"/>
      <c r="E165" s="31" t="s">
        <v>4</v>
      </c>
      <c r="F165" s="45">
        <f t="shared" ref="F165:S165" si="125">IF(F164&lt;30,F163,F163+F164)</f>
        <v>0</v>
      </c>
      <c r="G165" s="45">
        <f t="shared" si="125"/>
        <v>97</v>
      </c>
      <c r="H165" s="45">
        <f t="shared" si="125"/>
        <v>38</v>
      </c>
      <c r="I165" s="45">
        <f t="shared" si="125"/>
        <v>0</v>
      </c>
      <c r="J165" s="45">
        <f t="shared" si="125"/>
        <v>0</v>
      </c>
      <c r="K165" s="45">
        <f t="shared" si="125"/>
        <v>0</v>
      </c>
      <c r="L165" s="45">
        <f t="shared" si="125"/>
        <v>19</v>
      </c>
      <c r="M165" s="45">
        <f t="shared" si="125"/>
        <v>0</v>
      </c>
      <c r="N165" s="45">
        <f t="shared" si="125"/>
        <v>0</v>
      </c>
      <c r="O165" s="45">
        <f t="shared" si="125"/>
        <v>0</v>
      </c>
      <c r="P165" s="45">
        <f t="shared" si="125"/>
        <v>0</v>
      </c>
      <c r="Q165" s="45">
        <f t="shared" si="125"/>
        <v>0</v>
      </c>
      <c r="R165" s="45">
        <f t="shared" si="125"/>
        <v>0</v>
      </c>
      <c r="S165" s="45">
        <f t="shared" si="125"/>
        <v>0</v>
      </c>
      <c r="T165" s="46"/>
      <c r="U165" s="47"/>
      <c r="V165" s="101"/>
      <c r="W165" s="101"/>
      <c r="X165" s="128"/>
    </row>
    <row r="166" spans="2:24" ht="37.5" thickTop="1" thickBot="1" x14ac:dyDescent="0.3">
      <c r="B166" s="161"/>
      <c r="C166" s="163"/>
      <c r="D166" s="102"/>
      <c r="E166" s="35" t="s">
        <v>6</v>
      </c>
      <c r="F166" s="36">
        <f t="shared" ref="F166:L166" si="126">SUM(F162*F165)</f>
        <v>0</v>
      </c>
      <c r="G166" s="36">
        <f t="shared" si="126"/>
        <v>291</v>
      </c>
      <c r="H166" s="36">
        <f t="shared" si="126"/>
        <v>114</v>
      </c>
      <c r="I166" s="36">
        <f t="shared" si="126"/>
        <v>0</v>
      </c>
      <c r="J166" s="36">
        <f t="shared" si="126"/>
        <v>0</v>
      </c>
      <c r="K166" s="36">
        <f t="shared" si="126"/>
        <v>0</v>
      </c>
      <c r="L166" s="36">
        <f t="shared" si="126"/>
        <v>57</v>
      </c>
      <c r="M166" s="36">
        <f t="shared" ref="M166:S166" si="127">SUM(M162*M165)</f>
        <v>0</v>
      </c>
      <c r="N166" s="36">
        <f t="shared" si="127"/>
        <v>0</v>
      </c>
      <c r="O166" s="36">
        <f t="shared" si="127"/>
        <v>0</v>
      </c>
      <c r="P166" s="36">
        <f t="shared" si="127"/>
        <v>0</v>
      </c>
      <c r="Q166" s="36">
        <f t="shared" si="127"/>
        <v>0</v>
      </c>
      <c r="R166" s="36">
        <f t="shared" si="127"/>
        <v>0</v>
      </c>
      <c r="S166" s="36">
        <f t="shared" si="127"/>
        <v>0</v>
      </c>
      <c r="T166" s="50">
        <f>SUM(F166:S166)</f>
        <v>462</v>
      </c>
      <c r="U166" s="51">
        <f>SUM(T166/T162)</f>
        <v>51.333333333333336</v>
      </c>
      <c r="V166" s="102"/>
      <c r="W166" s="102"/>
      <c r="X166" s="129"/>
    </row>
    <row r="167" spans="2:24" ht="20.25" thickTop="1" thickBot="1" x14ac:dyDescent="0.35">
      <c r="B167" s="162">
        <v>-33</v>
      </c>
      <c r="C167" s="164" t="s">
        <v>185</v>
      </c>
      <c r="D167" s="112" t="s">
        <v>320</v>
      </c>
      <c r="E167" s="10" t="s">
        <v>5</v>
      </c>
      <c r="F167" s="38">
        <f>IF(IF(F170=0,0,4),4,0)</f>
        <v>0</v>
      </c>
      <c r="G167" s="38">
        <f t="shared" ref="G167:L167" si="128">IF(IF(G170=0,0,3),3,0)</f>
        <v>3</v>
      </c>
      <c r="H167" s="38">
        <f t="shared" si="128"/>
        <v>3</v>
      </c>
      <c r="I167" s="38">
        <f t="shared" si="128"/>
        <v>0</v>
      </c>
      <c r="J167" s="38">
        <f t="shared" si="128"/>
        <v>0</v>
      </c>
      <c r="K167" s="38">
        <f t="shared" si="128"/>
        <v>0</v>
      </c>
      <c r="L167" s="38">
        <f t="shared" si="128"/>
        <v>3</v>
      </c>
      <c r="M167" s="38">
        <f>IF(IF(M170=0,0,3),3,0)</f>
        <v>0</v>
      </c>
      <c r="N167" s="38">
        <f>IF(IF(N170=0,0,4),4,0)</f>
        <v>4</v>
      </c>
      <c r="O167" s="37">
        <f>IF(IF(O170=0,0,2),2,0)</f>
        <v>0</v>
      </c>
      <c r="P167" s="38">
        <f>IF(IF(P170=0,0,4),4,0)</f>
        <v>0</v>
      </c>
      <c r="Q167" s="37">
        <f>IF(IF(Q170=0,0,2),2,0)</f>
        <v>0</v>
      </c>
      <c r="R167" s="38">
        <f>IF(IF(R170=0,0,3),3,0)</f>
        <v>0</v>
      </c>
      <c r="S167" s="38">
        <f>IF(IF(S170=0,0,3),3,0)</f>
        <v>0</v>
      </c>
      <c r="T167" s="38">
        <f>SUM(F167:S167)</f>
        <v>13</v>
      </c>
      <c r="U167" s="39"/>
      <c r="V167" s="112"/>
      <c r="W167" s="112"/>
      <c r="X167" s="141"/>
    </row>
    <row r="168" spans="2:24" ht="19.5" thickTop="1" thickBot="1" x14ac:dyDescent="0.3">
      <c r="B168" s="158"/>
      <c r="C168" s="107"/>
      <c r="D168" s="101"/>
      <c r="E168" s="33" t="s">
        <v>216</v>
      </c>
      <c r="F168" s="41"/>
      <c r="G168" s="41">
        <v>28</v>
      </c>
      <c r="H168" s="41">
        <v>29</v>
      </c>
      <c r="I168" s="42"/>
      <c r="J168" s="42"/>
      <c r="K168" s="42"/>
      <c r="L168" s="42">
        <v>10</v>
      </c>
      <c r="M168" s="41">
        <v>0</v>
      </c>
      <c r="N168" s="85">
        <v>23</v>
      </c>
      <c r="O168" s="41">
        <v>0</v>
      </c>
      <c r="P168" s="42">
        <v>0</v>
      </c>
      <c r="Q168" s="41">
        <v>0</v>
      </c>
      <c r="R168" s="42">
        <v>0</v>
      </c>
      <c r="S168" s="42">
        <v>0</v>
      </c>
      <c r="T168" s="42"/>
      <c r="U168" s="43"/>
      <c r="V168" s="101"/>
      <c r="W168" s="101"/>
      <c r="X168" s="128"/>
    </row>
    <row r="169" spans="2:24" ht="19.5" thickTop="1" thickBot="1" x14ac:dyDescent="0.3">
      <c r="B169" s="158"/>
      <c r="C169" s="107"/>
      <c r="D169" s="101"/>
      <c r="E169" s="30" t="s">
        <v>3</v>
      </c>
      <c r="F169" s="45"/>
      <c r="G169" s="45">
        <v>10</v>
      </c>
      <c r="H169" s="45"/>
      <c r="I169" s="45"/>
      <c r="J169" s="45"/>
      <c r="K169" s="45"/>
      <c r="L169" s="45"/>
      <c r="M169" s="45">
        <v>0</v>
      </c>
      <c r="N169" s="86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6"/>
      <c r="U169" s="47"/>
      <c r="V169" s="101"/>
      <c r="W169" s="101"/>
      <c r="X169" s="128"/>
    </row>
    <row r="170" spans="2:24" ht="19.5" thickTop="1" thickBot="1" x14ac:dyDescent="0.3">
      <c r="B170" s="158"/>
      <c r="C170" s="107"/>
      <c r="D170" s="101"/>
      <c r="E170" s="31" t="s">
        <v>4</v>
      </c>
      <c r="F170" s="45">
        <f t="shared" ref="F170:S170" si="129">IF(F169&lt;30,F168,F168+F169)</f>
        <v>0</v>
      </c>
      <c r="G170" s="45">
        <f t="shared" si="129"/>
        <v>28</v>
      </c>
      <c r="H170" s="45">
        <f t="shared" si="129"/>
        <v>29</v>
      </c>
      <c r="I170" s="45">
        <f t="shared" si="129"/>
        <v>0</v>
      </c>
      <c r="J170" s="45">
        <f t="shared" si="129"/>
        <v>0</v>
      </c>
      <c r="K170" s="45">
        <f t="shared" si="129"/>
        <v>0</v>
      </c>
      <c r="L170" s="45">
        <f t="shared" si="129"/>
        <v>10</v>
      </c>
      <c r="M170" s="45">
        <f t="shared" si="129"/>
        <v>0</v>
      </c>
      <c r="N170" s="86">
        <f t="shared" si="129"/>
        <v>23</v>
      </c>
      <c r="O170" s="45">
        <f t="shared" si="129"/>
        <v>0</v>
      </c>
      <c r="P170" s="45">
        <f t="shared" si="129"/>
        <v>0</v>
      </c>
      <c r="Q170" s="45">
        <f t="shared" si="129"/>
        <v>0</v>
      </c>
      <c r="R170" s="45">
        <f t="shared" si="129"/>
        <v>0</v>
      </c>
      <c r="S170" s="45">
        <f t="shared" si="129"/>
        <v>0</v>
      </c>
      <c r="T170" s="46"/>
      <c r="U170" s="47"/>
      <c r="V170" s="101"/>
      <c r="W170" s="101"/>
      <c r="X170" s="128"/>
    </row>
    <row r="171" spans="2:24" ht="37.5" thickTop="1" thickBot="1" x14ac:dyDescent="0.3">
      <c r="B171" s="159"/>
      <c r="C171" s="108"/>
      <c r="D171" s="102"/>
      <c r="E171" s="32" t="s">
        <v>6</v>
      </c>
      <c r="F171" s="36">
        <f t="shared" ref="F171:L171" si="130">SUM(F167*F170)</f>
        <v>0</v>
      </c>
      <c r="G171" s="36">
        <f t="shared" si="130"/>
        <v>84</v>
      </c>
      <c r="H171" s="36">
        <f t="shared" si="130"/>
        <v>87</v>
      </c>
      <c r="I171" s="36">
        <f t="shared" si="130"/>
        <v>0</v>
      </c>
      <c r="J171" s="36">
        <f t="shared" si="130"/>
        <v>0</v>
      </c>
      <c r="K171" s="36">
        <f t="shared" si="130"/>
        <v>0</v>
      </c>
      <c r="L171" s="36">
        <f t="shared" si="130"/>
        <v>30</v>
      </c>
      <c r="M171" s="36">
        <f t="shared" ref="M171:S171" si="131">SUM(M167*M170)</f>
        <v>0</v>
      </c>
      <c r="N171" s="87">
        <f t="shared" si="131"/>
        <v>92</v>
      </c>
      <c r="O171" s="36">
        <f t="shared" si="131"/>
        <v>0</v>
      </c>
      <c r="P171" s="36">
        <f t="shared" si="131"/>
        <v>0</v>
      </c>
      <c r="Q171" s="36">
        <f t="shared" si="131"/>
        <v>0</v>
      </c>
      <c r="R171" s="36">
        <f t="shared" si="131"/>
        <v>0</v>
      </c>
      <c r="S171" s="36">
        <f t="shared" si="131"/>
        <v>0</v>
      </c>
      <c r="T171" s="50">
        <f>SUM(F171:S171)</f>
        <v>293</v>
      </c>
      <c r="U171" s="51">
        <f>SUM(T171/T167)</f>
        <v>22.53846153846154</v>
      </c>
      <c r="V171" s="102"/>
      <c r="W171" s="102"/>
      <c r="X171" s="129"/>
    </row>
    <row r="172" spans="2:24" ht="20.25" thickTop="1" thickBot="1" x14ac:dyDescent="0.35">
      <c r="B172" s="160">
        <v>-34</v>
      </c>
      <c r="C172" s="106"/>
      <c r="D172" s="101"/>
      <c r="E172" s="10" t="s">
        <v>5</v>
      </c>
      <c r="F172" s="38">
        <f>IF(IF(F175=0,0,4),4,0)</f>
        <v>0</v>
      </c>
      <c r="G172" s="38">
        <f t="shared" ref="G172:L172" si="132">IF(IF(G175=0,0,3),3,0)</f>
        <v>0</v>
      </c>
      <c r="H172" s="38">
        <f t="shared" si="132"/>
        <v>0</v>
      </c>
      <c r="I172" s="38">
        <f t="shared" si="132"/>
        <v>0</v>
      </c>
      <c r="J172" s="38">
        <f t="shared" si="132"/>
        <v>0</v>
      </c>
      <c r="K172" s="38">
        <f t="shared" si="132"/>
        <v>0</v>
      </c>
      <c r="L172" s="38">
        <f t="shared" si="132"/>
        <v>0</v>
      </c>
      <c r="M172" s="38">
        <f>IF(IF(M175=0,0,3),3,0)</f>
        <v>0</v>
      </c>
      <c r="N172" s="38">
        <f>IF(IF(N175=0,0,4),4,0)</f>
        <v>0</v>
      </c>
      <c r="O172" s="37">
        <f>IF(IF(O175=0,0,2),2,0)</f>
        <v>0</v>
      </c>
      <c r="P172" s="38">
        <f>IF(IF(P175=0,0,4),4,0)</f>
        <v>0</v>
      </c>
      <c r="Q172" s="37">
        <f>IF(IF(Q175=0,0,2),2,0)</f>
        <v>0</v>
      </c>
      <c r="R172" s="38">
        <f>IF(IF(R175=0,0,3),3,0)</f>
        <v>0</v>
      </c>
      <c r="S172" s="38">
        <f>IF(IF(S175=0,0,3),3,0)</f>
        <v>0</v>
      </c>
      <c r="T172" s="38">
        <f>SUM(F172:S172)</f>
        <v>0</v>
      </c>
      <c r="U172" s="39"/>
      <c r="V172" s="112"/>
      <c r="W172" s="112"/>
      <c r="X172" s="141"/>
    </row>
    <row r="173" spans="2:24" ht="19.5" thickTop="1" thickBot="1" x14ac:dyDescent="0.3">
      <c r="B173" s="158"/>
      <c r="C173" s="107"/>
      <c r="D173" s="101"/>
      <c r="E173" s="33" t="s">
        <v>216</v>
      </c>
      <c r="F173" s="41"/>
      <c r="G173" s="41"/>
      <c r="H173" s="41"/>
      <c r="I173" s="42"/>
      <c r="J173" s="42"/>
      <c r="K173" s="42"/>
      <c r="L173" s="42"/>
      <c r="M173" s="41">
        <v>0</v>
      </c>
      <c r="N173" s="41">
        <v>0</v>
      </c>
      <c r="O173" s="41">
        <v>0</v>
      </c>
      <c r="P173" s="42">
        <v>0</v>
      </c>
      <c r="Q173" s="41">
        <v>0</v>
      </c>
      <c r="R173" s="42">
        <v>0</v>
      </c>
      <c r="S173" s="42">
        <v>0</v>
      </c>
      <c r="T173" s="42"/>
      <c r="U173" s="43"/>
      <c r="V173" s="101"/>
      <c r="W173" s="101"/>
      <c r="X173" s="128"/>
    </row>
    <row r="174" spans="2:24" ht="19.5" thickTop="1" thickBot="1" x14ac:dyDescent="0.3">
      <c r="B174" s="158"/>
      <c r="C174" s="107"/>
      <c r="D174" s="101"/>
      <c r="E174" s="30" t="s">
        <v>3</v>
      </c>
      <c r="F174" s="45"/>
      <c r="G174" s="45"/>
      <c r="H174" s="45"/>
      <c r="I174" s="45"/>
      <c r="J174" s="45"/>
      <c r="K174" s="45"/>
      <c r="L174" s="45"/>
      <c r="M174" s="45">
        <v>0</v>
      </c>
      <c r="N174" s="45">
        <v>0</v>
      </c>
      <c r="O174" s="45">
        <v>0</v>
      </c>
      <c r="P174" s="45">
        <v>0</v>
      </c>
      <c r="Q174" s="45">
        <v>0</v>
      </c>
      <c r="R174" s="45">
        <v>0</v>
      </c>
      <c r="S174" s="45">
        <v>0</v>
      </c>
      <c r="T174" s="46"/>
      <c r="U174" s="47"/>
      <c r="V174" s="101"/>
      <c r="W174" s="101"/>
      <c r="X174" s="128"/>
    </row>
    <row r="175" spans="2:24" ht="19.5" thickTop="1" thickBot="1" x14ac:dyDescent="0.3">
      <c r="B175" s="158"/>
      <c r="C175" s="107"/>
      <c r="D175" s="101"/>
      <c r="E175" s="31" t="s">
        <v>4</v>
      </c>
      <c r="F175" s="45">
        <f t="shared" ref="F175:S175" si="133">IF(F174&lt;30,F173,F173+F174)</f>
        <v>0</v>
      </c>
      <c r="G175" s="45">
        <f t="shared" si="133"/>
        <v>0</v>
      </c>
      <c r="H175" s="45">
        <f t="shared" si="133"/>
        <v>0</v>
      </c>
      <c r="I175" s="45">
        <f t="shared" si="133"/>
        <v>0</v>
      </c>
      <c r="J175" s="45">
        <f t="shared" si="133"/>
        <v>0</v>
      </c>
      <c r="K175" s="45">
        <f t="shared" si="133"/>
        <v>0</v>
      </c>
      <c r="L175" s="45">
        <f t="shared" si="133"/>
        <v>0</v>
      </c>
      <c r="M175" s="45">
        <f t="shared" si="133"/>
        <v>0</v>
      </c>
      <c r="N175" s="45">
        <f t="shared" si="133"/>
        <v>0</v>
      </c>
      <c r="O175" s="45">
        <f t="shared" si="133"/>
        <v>0</v>
      </c>
      <c r="P175" s="45">
        <f t="shared" si="133"/>
        <v>0</v>
      </c>
      <c r="Q175" s="45">
        <f t="shared" si="133"/>
        <v>0</v>
      </c>
      <c r="R175" s="45">
        <f t="shared" si="133"/>
        <v>0</v>
      </c>
      <c r="S175" s="45">
        <f t="shared" si="133"/>
        <v>0</v>
      </c>
      <c r="T175" s="46"/>
      <c r="U175" s="47"/>
      <c r="V175" s="101"/>
      <c r="W175" s="101"/>
      <c r="X175" s="128"/>
    </row>
    <row r="176" spans="2:24" ht="37.5" thickTop="1" thickBot="1" x14ac:dyDescent="0.3">
      <c r="B176" s="159"/>
      <c r="C176" s="163"/>
      <c r="D176" s="102"/>
      <c r="E176" s="32" t="s">
        <v>6</v>
      </c>
      <c r="F176" s="36">
        <f t="shared" ref="F176:L176" si="134">SUM(F172*F175)</f>
        <v>0</v>
      </c>
      <c r="G176" s="36">
        <f t="shared" si="134"/>
        <v>0</v>
      </c>
      <c r="H176" s="36">
        <f t="shared" si="134"/>
        <v>0</v>
      </c>
      <c r="I176" s="36">
        <f t="shared" si="134"/>
        <v>0</v>
      </c>
      <c r="J176" s="36">
        <f t="shared" si="134"/>
        <v>0</v>
      </c>
      <c r="K176" s="36">
        <f t="shared" si="134"/>
        <v>0</v>
      </c>
      <c r="L176" s="36">
        <f t="shared" si="134"/>
        <v>0</v>
      </c>
      <c r="M176" s="36">
        <f t="shared" ref="M176:S176" si="135">SUM(M172*M175)</f>
        <v>0</v>
      </c>
      <c r="N176" s="36">
        <f t="shared" si="135"/>
        <v>0</v>
      </c>
      <c r="O176" s="36">
        <f t="shared" si="135"/>
        <v>0</v>
      </c>
      <c r="P176" s="36">
        <f t="shared" si="135"/>
        <v>0</v>
      </c>
      <c r="Q176" s="36">
        <f t="shared" si="135"/>
        <v>0</v>
      </c>
      <c r="R176" s="36">
        <f t="shared" si="135"/>
        <v>0</v>
      </c>
      <c r="S176" s="36">
        <f t="shared" si="135"/>
        <v>0</v>
      </c>
      <c r="T176" s="50">
        <f>SUM(F176:S176)</f>
        <v>0</v>
      </c>
      <c r="U176" s="51" t="e">
        <f>SUM(T176/T172)</f>
        <v>#DIV/0!</v>
      </c>
      <c r="V176" s="102"/>
      <c r="W176" s="102"/>
      <c r="X176" s="129"/>
    </row>
    <row r="177" spans="2:24" ht="20.25" thickTop="1" thickBot="1" x14ac:dyDescent="0.35">
      <c r="B177" s="160">
        <v>-35</v>
      </c>
      <c r="C177" s="164"/>
      <c r="D177" s="101"/>
      <c r="E177" s="10" t="s">
        <v>5</v>
      </c>
      <c r="F177" s="38">
        <f>IF(IF(F180=0,0,4),4,0)</f>
        <v>0</v>
      </c>
      <c r="G177" s="38">
        <f t="shared" ref="G177:L177" si="136">IF(IF(G180=0,0,3),3,0)</f>
        <v>0</v>
      </c>
      <c r="H177" s="38">
        <f t="shared" si="136"/>
        <v>0</v>
      </c>
      <c r="I177" s="38">
        <f t="shared" si="136"/>
        <v>0</v>
      </c>
      <c r="J177" s="38">
        <f t="shared" si="136"/>
        <v>0</v>
      </c>
      <c r="K177" s="38">
        <f t="shared" si="136"/>
        <v>0</v>
      </c>
      <c r="L177" s="38">
        <f t="shared" si="136"/>
        <v>0</v>
      </c>
      <c r="M177" s="38">
        <f>IF(IF(M180=0,0,3),3,0)</f>
        <v>0</v>
      </c>
      <c r="N177" s="38">
        <f>IF(IF(N180=0,0,4),4,0)</f>
        <v>0</v>
      </c>
      <c r="O177" s="37">
        <f>IF(IF(O180=0,0,2),2,0)</f>
        <v>0</v>
      </c>
      <c r="P177" s="38">
        <f>IF(IF(P180=0,0,4),4,0)</f>
        <v>0</v>
      </c>
      <c r="Q177" s="37">
        <f>IF(IF(Q180=0,0,2),2,0)</f>
        <v>0</v>
      </c>
      <c r="R177" s="38">
        <f>IF(IF(R180=0,0,3),3,0)</f>
        <v>0</v>
      </c>
      <c r="S177" s="38">
        <f>IF(IF(S180=0,0,3),3,0)</f>
        <v>0</v>
      </c>
      <c r="T177" s="38">
        <f>SUM(F177:S177)</f>
        <v>0</v>
      </c>
      <c r="U177" s="39"/>
      <c r="V177" s="112"/>
      <c r="W177" s="112"/>
      <c r="X177" s="141"/>
    </row>
    <row r="178" spans="2:24" ht="19.5" thickTop="1" thickBot="1" x14ac:dyDescent="0.3">
      <c r="B178" s="158"/>
      <c r="C178" s="107"/>
      <c r="D178" s="101"/>
      <c r="E178" s="33" t="s">
        <v>216</v>
      </c>
      <c r="F178" s="41"/>
      <c r="G178" s="41"/>
      <c r="H178" s="41"/>
      <c r="I178" s="42"/>
      <c r="J178" s="42"/>
      <c r="K178" s="42"/>
      <c r="L178" s="42"/>
      <c r="M178" s="41">
        <v>0</v>
      </c>
      <c r="N178" s="41">
        <v>0</v>
      </c>
      <c r="O178" s="41">
        <v>0</v>
      </c>
      <c r="P178" s="42">
        <v>0</v>
      </c>
      <c r="Q178" s="41">
        <v>0</v>
      </c>
      <c r="R178" s="42">
        <v>0</v>
      </c>
      <c r="S178" s="42">
        <v>0</v>
      </c>
      <c r="T178" s="42"/>
      <c r="U178" s="43"/>
      <c r="V178" s="101"/>
      <c r="W178" s="101"/>
      <c r="X178" s="128"/>
    </row>
    <row r="179" spans="2:24" ht="19.5" thickTop="1" thickBot="1" x14ac:dyDescent="0.3">
      <c r="B179" s="158"/>
      <c r="C179" s="107"/>
      <c r="D179" s="101"/>
      <c r="E179" s="30" t="s">
        <v>3</v>
      </c>
      <c r="F179" s="45"/>
      <c r="G179" s="45"/>
      <c r="H179" s="45"/>
      <c r="I179" s="45"/>
      <c r="J179" s="45"/>
      <c r="K179" s="45"/>
      <c r="L179" s="45"/>
      <c r="M179" s="45">
        <v>0</v>
      </c>
      <c r="N179" s="45">
        <v>0</v>
      </c>
      <c r="O179" s="45">
        <v>0</v>
      </c>
      <c r="P179" s="45">
        <v>0</v>
      </c>
      <c r="Q179" s="45">
        <v>0</v>
      </c>
      <c r="R179" s="45">
        <v>0</v>
      </c>
      <c r="S179" s="45">
        <v>0</v>
      </c>
      <c r="T179" s="46"/>
      <c r="U179" s="47"/>
      <c r="V179" s="101"/>
      <c r="W179" s="101"/>
      <c r="X179" s="128"/>
    </row>
    <row r="180" spans="2:24" ht="19.5" thickTop="1" thickBot="1" x14ac:dyDescent="0.3">
      <c r="B180" s="158"/>
      <c r="C180" s="107"/>
      <c r="D180" s="101"/>
      <c r="E180" s="31" t="s">
        <v>4</v>
      </c>
      <c r="F180" s="45">
        <f t="shared" ref="F180:S180" si="137">IF(F179&lt;30,F178,F178+F179)</f>
        <v>0</v>
      </c>
      <c r="G180" s="45">
        <f t="shared" si="137"/>
        <v>0</v>
      </c>
      <c r="H180" s="45">
        <f t="shared" si="137"/>
        <v>0</v>
      </c>
      <c r="I180" s="45">
        <f t="shared" si="137"/>
        <v>0</v>
      </c>
      <c r="J180" s="45">
        <f t="shared" si="137"/>
        <v>0</v>
      </c>
      <c r="K180" s="45">
        <f t="shared" si="137"/>
        <v>0</v>
      </c>
      <c r="L180" s="45">
        <f t="shared" si="137"/>
        <v>0</v>
      </c>
      <c r="M180" s="45">
        <f t="shared" si="137"/>
        <v>0</v>
      </c>
      <c r="N180" s="45">
        <f t="shared" si="137"/>
        <v>0</v>
      </c>
      <c r="O180" s="45">
        <f t="shared" si="137"/>
        <v>0</v>
      </c>
      <c r="P180" s="45">
        <f t="shared" si="137"/>
        <v>0</v>
      </c>
      <c r="Q180" s="45">
        <f t="shared" si="137"/>
        <v>0</v>
      </c>
      <c r="R180" s="45">
        <f t="shared" si="137"/>
        <v>0</v>
      </c>
      <c r="S180" s="45">
        <f t="shared" si="137"/>
        <v>0</v>
      </c>
      <c r="T180" s="46"/>
      <c r="U180" s="47"/>
      <c r="V180" s="101"/>
      <c r="W180" s="101"/>
      <c r="X180" s="128"/>
    </row>
    <row r="181" spans="2:24" ht="37.5" thickTop="1" thickBot="1" x14ac:dyDescent="0.3">
      <c r="B181" s="159"/>
      <c r="C181" s="163"/>
      <c r="D181" s="102"/>
      <c r="E181" s="32" t="s">
        <v>6</v>
      </c>
      <c r="F181" s="53">
        <f t="shared" ref="F181:L181" si="138">SUM(F177*F180)</f>
        <v>0</v>
      </c>
      <c r="G181" s="53">
        <f t="shared" si="138"/>
        <v>0</v>
      </c>
      <c r="H181" s="53">
        <f t="shared" si="138"/>
        <v>0</v>
      </c>
      <c r="I181" s="53">
        <f t="shared" si="138"/>
        <v>0</v>
      </c>
      <c r="J181" s="53">
        <f t="shared" si="138"/>
        <v>0</v>
      </c>
      <c r="K181" s="53">
        <f t="shared" si="138"/>
        <v>0</v>
      </c>
      <c r="L181" s="53">
        <f t="shared" si="138"/>
        <v>0</v>
      </c>
      <c r="M181" s="53">
        <f t="shared" ref="M181:S181" si="139">SUM(M177*M180)</f>
        <v>0</v>
      </c>
      <c r="N181" s="53">
        <f t="shared" si="139"/>
        <v>0</v>
      </c>
      <c r="O181" s="53">
        <f t="shared" si="139"/>
        <v>0</v>
      </c>
      <c r="P181" s="53">
        <f t="shared" si="139"/>
        <v>0</v>
      </c>
      <c r="Q181" s="53">
        <f t="shared" si="139"/>
        <v>0</v>
      </c>
      <c r="R181" s="53">
        <f t="shared" si="139"/>
        <v>0</v>
      </c>
      <c r="S181" s="53">
        <f t="shared" si="139"/>
        <v>0</v>
      </c>
      <c r="T181" s="54">
        <f>SUM(F181:S181)</f>
        <v>0</v>
      </c>
      <c r="U181" s="53" t="e">
        <f>SUM(T181/T177)</f>
        <v>#DIV/0!</v>
      </c>
      <c r="V181" s="102"/>
      <c r="W181" s="102"/>
      <c r="X181" s="129"/>
    </row>
    <row r="182" spans="2:24" ht="13.5" thickTop="1" x14ac:dyDescent="0.2"/>
  </sheetData>
  <mergeCells count="219">
    <mergeCell ref="B177:B181"/>
    <mergeCell ref="C177:C181"/>
    <mergeCell ref="D177:D181"/>
    <mergeCell ref="V177:V181"/>
    <mergeCell ref="W177:W181"/>
    <mergeCell ref="X177:X181"/>
    <mergeCell ref="B172:B176"/>
    <mergeCell ref="C172:C176"/>
    <mergeCell ref="D172:D176"/>
    <mergeCell ref="V172:V176"/>
    <mergeCell ref="W172:W176"/>
    <mergeCell ref="X172:X176"/>
    <mergeCell ref="B167:B171"/>
    <mergeCell ref="C167:C171"/>
    <mergeCell ref="D167:D171"/>
    <mergeCell ref="V167:V171"/>
    <mergeCell ref="W167:W171"/>
    <mergeCell ref="X167:X171"/>
    <mergeCell ref="B162:B166"/>
    <mergeCell ref="C162:C166"/>
    <mergeCell ref="D162:D166"/>
    <mergeCell ref="V162:V166"/>
    <mergeCell ref="W162:W166"/>
    <mergeCell ref="X162:X166"/>
    <mergeCell ref="B157:B161"/>
    <mergeCell ref="C157:C161"/>
    <mergeCell ref="D157:D161"/>
    <mergeCell ref="V157:V161"/>
    <mergeCell ref="W157:W161"/>
    <mergeCell ref="X157:X161"/>
    <mergeCell ref="B152:B156"/>
    <mergeCell ref="C152:C156"/>
    <mergeCell ref="D152:D156"/>
    <mergeCell ref="V152:V156"/>
    <mergeCell ref="W152:W156"/>
    <mergeCell ref="X152:X156"/>
    <mergeCell ref="B147:B151"/>
    <mergeCell ref="C147:C151"/>
    <mergeCell ref="D147:D151"/>
    <mergeCell ref="V147:V151"/>
    <mergeCell ref="W147:W151"/>
    <mergeCell ref="X147:X151"/>
    <mergeCell ref="B142:B146"/>
    <mergeCell ref="C142:C146"/>
    <mergeCell ref="D142:D146"/>
    <mergeCell ref="V142:V146"/>
    <mergeCell ref="W142:W146"/>
    <mergeCell ref="X142:X146"/>
    <mergeCell ref="B137:B141"/>
    <mergeCell ref="C137:C141"/>
    <mergeCell ref="D137:D141"/>
    <mergeCell ref="V137:V141"/>
    <mergeCell ref="W137:W141"/>
    <mergeCell ref="X137:X141"/>
    <mergeCell ref="B132:B136"/>
    <mergeCell ref="C132:C136"/>
    <mergeCell ref="D132:D136"/>
    <mergeCell ref="V132:V136"/>
    <mergeCell ref="W132:W136"/>
    <mergeCell ref="X132:X136"/>
    <mergeCell ref="B127:B131"/>
    <mergeCell ref="C127:C131"/>
    <mergeCell ref="D127:D131"/>
    <mergeCell ref="V127:V131"/>
    <mergeCell ref="W127:W131"/>
    <mergeCell ref="X127:X131"/>
    <mergeCell ref="B122:B126"/>
    <mergeCell ref="C122:C126"/>
    <mergeCell ref="D122:D126"/>
    <mergeCell ref="V122:V126"/>
    <mergeCell ref="W122:W126"/>
    <mergeCell ref="X122:X126"/>
    <mergeCell ref="B117:B121"/>
    <mergeCell ref="C117:C121"/>
    <mergeCell ref="D117:D121"/>
    <mergeCell ref="V117:V121"/>
    <mergeCell ref="W117:W121"/>
    <mergeCell ref="X117:X121"/>
    <mergeCell ref="B112:B116"/>
    <mergeCell ref="C112:C116"/>
    <mergeCell ref="D112:D116"/>
    <mergeCell ref="V112:V116"/>
    <mergeCell ref="W112:W116"/>
    <mergeCell ref="X112:X116"/>
    <mergeCell ref="B107:B111"/>
    <mergeCell ref="C107:C111"/>
    <mergeCell ref="D107:D111"/>
    <mergeCell ref="V107:V111"/>
    <mergeCell ref="W107:W111"/>
    <mergeCell ref="X107:X111"/>
    <mergeCell ref="B102:B106"/>
    <mergeCell ref="C102:C106"/>
    <mergeCell ref="D102:D106"/>
    <mergeCell ref="V102:V106"/>
    <mergeCell ref="W102:W106"/>
    <mergeCell ref="X102:X106"/>
    <mergeCell ref="B97:B101"/>
    <mergeCell ref="C97:C101"/>
    <mergeCell ref="D97:D101"/>
    <mergeCell ref="V97:V101"/>
    <mergeCell ref="W97:W101"/>
    <mergeCell ref="X97:X101"/>
    <mergeCell ref="B92:B96"/>
    <mergeCell ref="C92:C96"/>
    <mergeCell ref="D92:D96"/>
    <mergeCell ref="V92:V96"/>
    <mergeCell ref="W92:W96"/>
    <mergeCell ref="X92:X96"/>
    <mergeCell ref="B87:B91"/>
    <mergeCell ref="C87:C91"/>
    <mergeCell ref="D87:D91"/>
    <mergeCell ref="V87:V91"/>
    <mergeCell ref="W87:W91"/>
    <mergeCell ref="X87:X91"/>
    <mergeCell ref="B82:B86"/>
    <mergeCell ref="C82:C86"/>
    <mergeCell ref="D82:D86"/>
    <mergeCell ref="V82:V86"/>
    <mergeCell ref="W82:W86"/>
    <mergeCell ref="X82:X86"/>
    <mergeCell ref="B77:B81"/>
    <mergeCell ref="C77:C81"/>
    <mergeCell ref="D77:D81"/>
    <mergeCell ref="V77:V81"/>
    <mergeCell ref="W77:W81"/>
    <mergeCell ref="X77:X81"/>
    <mergeCell ref="B72:B76"/>
    <mergeCell ref="C72:C76"/>
    <mergeCell ref="D72:D76"/>
    <mergeCell ref="V72:V76"/>
    <mergeCell ref="W72:W76"/>
    <mergeCell ref="X72:X76"/>
    <mergeCell ref="B67:B71"/>
    <mergeCell ref="C67:C71"/>
    <mergeCell ref="D67:D71"/>
    <mergeCell ref="V67:V71"/>
    <mergeCell ref="W67:W71"/>
    <mergeCell ref="X67:X71"/>
    <mergeCell ref="B62:B66"/>
    <mergeCell ref="C62:C66"/>
    <mergeCell ref="D62:D66"/>
    <mergeCell ref="V62:V66"/>
    <mergeCell ref="W62:W66"/>
    <mergeCell ref="X62:X66"/>
    <mergeCell ref="B57:B61"/>
    <mergeCell ref="C57:C61"/>
    <mergeCell ref="D57:D61"/>
    <mergeCell ref="V57:V61"/>
    <mergeCell ref="W57:W61"/>
    <mergeCell ref="X57:X61"/>
    <mergeCell ref="B52:B56"/>
    <mergeCell ref="C52:C56"/>
    <mergeCell ref="D52:D56"/>
    <mergeCell ref="V52:V56"/>
    <mergeCell ref="W52:W56"/>
    <mergeCell ref="X52:X56"/>
    <mergeCell ref="B47:B51"/>
    <mergeCell ref="C47:C51"/>
    <mergeCell ref="D47:D51"/>
    <mergeCell ref="V47:V51"/>
    <mergeCell ref="W47:W51"/>
    <mergeCell ref="X47:X51"/>
    <mergeCell ref="B42:B46"/>
    <mergeCell ref="C42:C46"/>
    <mergeCell ref="D42:D46"/>
    <mergeCell ref="V42:V46"/>
    <mergeCell ref="W42:W46"/>
    <mergeCell ref="X42:X46"/>
    <mergeCell ref="B37:B41"/>
    <mergeCell ref="C37:C41"/>
    <mergeCell ref="D37:D41"/>
    <mergeCell ref="V37:V41"/>
    <mergeCell ref="W37:W41"/>
    <mergeCell ref="X37:X41"/>
    <mergeCell ref="B32:B36"/>
    <mergeCell ref="C32:C36"/>
    <mergeCell ref="D32:D36"/>
    <mergeCell ref="V32:V36"/>
    <mergeCell ref="W32:W36"/>
    <mergeCell ref="X32:X36"/>
    <mergeCell ref="B27:B31"/>
    <mergeCell ref="C27:C31"/>
    <mergeCell ref="D27:D31"/>
    <mergeCell ref="V27:V31"/>
    <mergeCell ref="W27:W31"/>
    <mergeCell ref="X27:X31"/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L5"/>
    <mergeCell ref="M5:S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5FB0-A475-49F1-87DB-27883F28C18F}">
  <dimension ref="B4:Y112"/>
  <sheetViews>
    <sheetView rightToLeft="1" workbookViewId="0">
      <selection activeCell="C17" sqref="C17:C21"/>
    </sheetView>
  </sheetViews>
  <sheetFormatPr defaultRowHeight="12.75" x14ac:dyDescent="0.2"/>
  <cols>
    <col min="3" max="3" width="23" customWidth="1"/>
    <col min="5" max="5" width="19.42578125" customWidth="1"/>
    <col min="25" max="25" width="20.85546875" customWidth="1"/>
  </cols>
  <sheetData>
    <row r="4" spans="2:25" ht="13.5" thickBot="1" x14ac:dyDescent="0.25"/>
    <row r="5" spans="2:25" ht="16.5" thickTop="1" thickBot="1" x14ac:dyDescent="0.25">
      <c r="B5" s="143" t="s">
        <v>0</v>
      </c>
      <c r="C5" s="148" t="s">
        <v>7</v>
      </c>
      <c r="D5" s="150" t="s">
        <v>1</v>
      </c>
      <c r="E5" s="148" t="s">
        <v>2</v>
      </c>
      <c r="F5" s="145" t="s">
        <v>21</v>
      </c>
      <c r="G5" s="146"/>
      <c r="H5" s="146"/>
      <c r="I5" s="146"/>
      <c r="J5" s="146"/>
      <c r="K5" s="146"/>
      <c r="L5" s="146"/>
      <c r="M5" s="147"/>
      <c r="N5" s="154" t="s">
        <v>20</v>
      </c>
      <c r="O5" s="155"/>
      <c r="P5" s="155"/>
      <c r="Q5" s="155"/>
      <c r="R5" s="155"/>
      <c r="S5" s="155"/>
      <c r="T5" s="155"/>
      <c r="U5" s="150" t="s">
        <v>4</v>
      </c>
      <c r="V5" s="150" t="s">
        <v>8</v>
      </c>
      <c r="W5" s="23"/>
      <c r="X5" s="150" t="s">
        <v>16</v>
      </c>
      <c r="Y5" s="24"/>
    </row>
    <row r="6" spans="2:25" ht="101.25" thickTop="1" thickBot="1" x14ac:dyDescent="0.25">
      <c r="B6" s="144"/>
      <c r="C6" s="152"/>
      <c r="D6" s="151"/>
      <c r="E6" s="149"/>
      <c r="F6" s="21" t="s">
        <v>43</v>
      </c>
      <c r="G6" s="21" t="s">
        <v>42</v>
      </c>
      <c r="H6" s="21" t="s">
        <v>44</v>
      </c>
      <c r="I6" s="21" t="s">
        <v>45</v>
      </c>
      <c r="J6" s="21" t="s">
        <v>46</v>
      </c>
      <c r="K6" s="21" t="s">
        <v>47</v>
      </c>
      <c r="L6" s="21" t="s">
        <v>48</v>
      </c>
      <c r="M6" s="21" t="s">
        <v>49</v>
      </c>
      <c r="N6" s="21" t="s">
        <v>35</v>
      </c>
      <c r="O6" s="21" t="s">
        <v>36</v>
      </c>
      <c r="P6" s="21" t="s">
        <v>37</v>
      </c>
      <c r="Q6" s="21" t="s">
        <v>38</v>
      </c>
      <c r="R6" s="21" t="s">
        <v>39</v>
      </c>
      <c r="S6" s="21" t="s">
        <v>40</v>
      </c>
      <c r="T6" s="21" t="s">
        <v>41</v>
      </c>
      <c r="U6" s="153"/>
      <c r="V6" s="153"/>
      <c r="W6" s="21" t="s">
        <v>15</v>
      </c>
      <c r="X6" s="153"/>
      <c r="Y6" s="22" t="s">
        <v>17</v>
      </c>
    </row>
    <row r="7" spans="2:25" ht="20.25" thickTop="1" thickBot="1" x14ac:dyDescent="0.35">
      <c r="B7" s="157">
        <v>-1</v>
      </c>
      <c r="C7" s="138" t="s">
        <v>186</v>
      </c>
      <c r="D7" s="113" t="s">
        <v>321</v>
      </c>
      <c r="E7" s="9" t="s">
        <v>5</v>
      </c>
      <c r="F7" s="38">
        <f>IF(IF(F10=0,0,3),3,0)</f>
        <v>3</v>
      </c>
      <c r="G7" s="38">
        <f>IF(IF(G10=0,0,4),4,0)</f>
        <v>4</v>
      </c>
      <c r="H7" s="38">
        <f t="shared" ref="H7:M7" si="0">IF(IF(H10=0,0,3),3,0)</f>
        <v>3</v>
      </c>
      <c r="I7" s="38">
        <f t="shared" si="0"/>
        <v>3</v>
      </c>
      <c r="J7" s="38">
        <f t="shared" si="0"/>
        <v>3</v>
      </c>
      <c r="K7" s="38">
        <f t="shared" si="0"/>
        <v>3</v>
      </c>
      <c r="L7" s="38">
        <f t="shared" si="0"/>
        <v>3</v>
      </c>
      <c r="M7" s="38">
        <f t="shared" si="0"/>
        <v>3</v>
      </c>
      <c r="N7" s="38">
        <f>IF(IF(N10=0,0,4),4,0)</f>
        <v>0</v>
      </c>
      <c r="O7" s="38">
        <f t="shared" ref="O7:T7" si="1">IF(IF(O10=0,0,3),3,0)</f>
        <v>0</v>
      </c>
      <c r="P7" s="38">
        <f t="shared" si="1"/>
        <v>0</v>
      </c>
      <c r="Q7" s="38">
        <f t="shared" si="1"/>
        <v>0</v>
      </c>
      <c r="R7" s="38">
        <f t="shared" si="1"/>
        <v>0</v>
      </c>
      <c r="S7" s="38">
        <f t="shared" si="1"/>
        <v>0</v>
      </c>
      <c r="T7" s="38">
        <f t="shared" si="1"/>
        <v>0</v>
      </c>
      <c r="U7" s="38">
        <f>SUM(F7:T7)</f>
        <v>25</v>
      </c>
      <c r="V7" s="39"/>
      <c r="W7" s="112"/>
      <c r="X7" s="112"/>
      <c r="Y7" s="127"/>
    </row>
    <row r="8" spans="2:25" ht="19.5" thickTop="1" thickBot="1" x14ac:dyDescent="0.3">
      <c r="B8" s="158"/>
      <c r="C8" s="107"/>
      <c r="D8" s="101"/>
      <c r="E8" s="29" t="s">
        <v>216</v>
      </c>
      <c r="F8" s="41">
        <v>0</v>
      </c>
      <c r="G8" s="41">
        <v>0</v>
      </c>
      <c r="H8" s="41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1">
        <v>0</v>
      </c>
      <c r="O8" s="41">
        <v>0</v>
      </c>
      <c r="P8" s="41">
        <v>0</v>
      </c>
      <c r="Q8" s="88">
        <v>0</v>
      </c>
      <c r="R8" s="42">
        <v>0</v>
      </c>
      <c r="S8" s="42">
        <v>0</v>
      </c>
      <c r="T8" s="42">
        <v>0</v>
      </c>
      <c r="U8" s="42"/>
      <c r="V8" s="43"/>
      <c r="W8" s="101"/>
      <c r="X8" s="101"/>
      <c r="Y8" s="128"/>
    </row>
    <row r="9" spans="2:25" ht="19.5" thickTop="1" thickBot="1" x14ac:dyDescent="0.3">
      <c r="B9" s="158"/>
      <c r="C9" s="107"/>
      <c r="D9" s="101"/>
      <c r="E9" s="30" t="s">
        <v>3</v>
      </c>
      <c r="F9" s="45">
        <v>61</v>
      </c>
      <c r="G9" s="45">
        <v>82</v>
      </c>
      <c r="H9" s="45">
        <v>76</v>
      </c>
      <c r="I9" s="45">
        <v>68</v>
      </c>
      <c r="J9" s="45">
        <v>74</v>
      </c>
      <c r="K9" s="45">
        <v>60</v>
      </c>
      <c r="L9" s="45">
        <v>60</v>
      </c>
      <c r="M9" s="45">
        <v>90</v>
      </c>
      <c r="N9" s="45">
        <v>0</v>
      </c>
      <c r="O9" s="45">
        <v>0</v>
      </c>
      <c r="P9" s="45">
        <v>0</v>
      </c>
      <c r="Q9" s="86">
        <v>0</v>
      </c>
      <c r="R9" s="45">
        <v>0</v>
      </c>
      <c r="S9" s="45">
        <v>0</v>
      </c>
      <c r="T9" s="45">
        <v>0</v>
      </c>
      <c r="U9" s="46"/>
      <c r="V9" s="47"/>
      <c r="W9" s="101"/>
      <c r="X9" s="101"/>
      <c r="Y9" s="128"/>
    </row>
    <row r="10" spans="2:25" ht="19.5" thickTop="1" thickBot="1" x14ac:dyDescent="0.3">
      <c r="B10" s="158"/>
      <c r="C10" s="107"/>
      <c r="D10" s="101"/>
      <c r="E10" s="31" t="s">
        <v>4</v>
      </c>
      <c r="F10" s="45">
        <f t="shared" ref="F10:T10" si="2">IF(F9&lt;30,F8,F8+F9)</f>
        <v>61</v>
      </c>
      <c r="G10" s="45">
        <f t="shared" si="2"/>
        <v>82</v>
      </c>
      <c r="H10" s="45">
        <f t="shared" si="2"/>
        <v>76</v>
      </c>
      <c r="I10" s="45">
        <f t="shared" si="2"/>
        <v>68</v>
      </c>
      <c r="J10" s="45">
        <f t="shared" si="2"/>
        <v>74</v>
      </c>
      <c r="K10" s="45">
        <f t="shared" si="2"/>
        <v>60</v>
      </c>
      <c r="L10" s="45">
        <f t="shared" si="2"/>
        <v>60</v>
      </c>
      <c r="M10" s="45">
        <f t="shared" si="2"/>
        <v>90</v>
      </c>
      <c r="N10" s="45">
        <f t="shared" si="2"/>
        <v>0</v>
      </c>
      <c r="O10" s="45">
        <f t="shared" si="2"/>
        <v>0</v>
      </c>
      <c r="P10" s="45">
        <f t="shared" si="2"/>
        <v>0</v>
      </c>
      <c r="Q10" s="86">
        <f t="shared" si="2"/>
        <v>0</v>
      </c>
      <c r="R10" s="45">
        <f t="shared" si="2"/>
        <v>0</v>
      </c>
      <c r="S10" s="45">
        <f t="shared" si="2"/>
        <v>0</v>
      </c>
      <c r="T10" s="45">
        <f t="shared" si="2"/>
        <v>0</v>
      </c>
      <c r="U10" s="46"/>
      <c r="V10" s="47"/>
      <c r="W10" s="101"/>
      <c r="X10" s="101"/>
      <c r="Y10" s="128"/>
    </row>
    <row r="11" spans="2:25" ht="37.5" thickTop="1" thickBot="1" x14ac:dyDescent="0.3">
      <c r="B11" s="159"/>
      <c r="C11" s="108"/>
      <c r="D11" s="102"/>
      <c r="E11" s="32" t="s">
        <v>6</v>
      </c>
      <c r="F11" s="36">
        <f t="shared" ref="F11:M11" si="3">SUM(F7*F10)</f>
        <v>183</v>
      </c>
      <c r="G11" s="36">
        <f t="shared" si="3"/>
        <v>328</v>
      </c>
      <c r="H11" s="36">
        <f t="shared" si="3"/>
        <v>228</v>
      </c>
      <c r="I11" s="36">
        <f t="shared" si="3"/>
        <v>204</v>
      </c>
      <c r="J11" s="36">
        <f t="shared" si="3"/>
        <v>222</v>
      </c>
      <c r="K11" s="36">
        <f t="shared" si="3"/>
        <v>180</v>
      </c>
      <c r="L11" s="36">
        <f t="shared" si="3"/>
        <v>180</v>
      </c>
      <c r="M11" s="36">
        <f t="shared" si="3"/>
        <v>270</v>
      </c>
      <c r="N11" s="36">
        <f t="shared" ref="N11:T11" si="4">SUM(N7*N10)</f>
        <v>0</v>
      </c>
      <c r="O11" s="36">
        <f t="shared" si="4"/>
        <v>0</v>
      </c>
      <c r="P11" s="36">
        <f t="shared" si="4"/>
        <v>0</v>
      </c>
      <c r="Q11" s="87">
        <f t="shared" si="4"/>
        <v>0</v>
      </c>
      <c r="R11" s="36">
        <f t="shared" si="4"/>
        <v>0</v>
      </c>
      <c r="S11" s="36">
        <f t="shared" si="4"/>
        <v>0</v>
      </c>
      <c r="T11" s="36">
        <f t="shared" si="4"/>
        <v>0</v>
      </c>
      <c r="U11" s="50">
        <f>SUM(F11:T11)</f>
        <v>1795</v>
      </c>
      <c r="V11" s="51">
        <f>SUM(U11/U7)</f>
        <v>71.8</v>
      </c>
      <c r="W11" s="102"/>
      <c r="X11" s="102"/>
      <c r="Y11" s="128"/>
    </row>
    <row r="12" spans="2:25" ht="20.25" thickTop="1" thickBot="1" x14ac:dyDescent="0.35">
      <c r="B12" s="160">
        <v>-2</v>
      </c>
      <c r="C12" s="106" t="s">
        <v>64</v>
      </c>
      <c r="D12" s="101" t="s">
        <v>322</v>
      </c>
      <c r="E12" s="67" t="s">
        <v>5</v>
      </c>
      <c r="F12" s="38">
        <f>IF(IF(F15=0,0,3),3,0)</f>
        <v>0</v>
      </c>
      <c r="G12" s="38">
        <f>IF(IF(G15=0,0,4),4,0)</f>
        <v>0</v>
      </c>
      <c r="H12" s="38">
        <f t="shared" ref="H12:M12" si="5">IF(IF(H15=0,0,3),3,0)</f>
        <v>3</v>
      </c>
      <c r="I12" s="38">
        <f t="shared" si="5"/>
        <v>0</v>
      </c>
      <c r="J12" s="38">
        <f t="shared" si="5"/>
        <v>3</v>
      </c>
      <c r="K12" s="38">
        <f t="shared" si="5"/>
        <v>0</v>
      </c>
      <c r="L12" s="38">
        <f t="shared" si="5"/>
        <v>3</v>
      </c>
      <c r="M12" s="38">
        <f t="shared" si="5"/>
        <v>3</v>
      </c>
      <c r="N12" s="38">
        <f>IF(IF(N15=0,0,4),4,0)</f>
        <v>0</v>
      </c>
      <c r="O12" s="38">
        <f t="shared" ref="O12:T12" si="6">IF(IF(O15=0,0,3),3,0)</f>
        <v>0</v>
      </c>
      <c r="P12" s="38">
        <f t="shared" si="6"/>
        <v>0</v>
      </c>
      <c r="Q12" s="38">
        <f t="shared" si="6"/>
        <v>0</v>
      </c>
      <c r="R12" s="38">
        <f t="shared" si="6"/>
        <v>0</v>
      </c>
      <c r="S12" s="38">
        <f t="shared" si="6"/>
        <v>0</v>
      </c>
      <c r="T12" s="38">
        <f t="shared" si="6"/>
        <v>0</v>
      </c>
      <c r="U12" s="38">
        <f>SUM(F12:T12)</f>
        <v>12</v>
      </c>
      <c r="V12" s="39"/>
      <c r="W12" s="112"/>
      <c r="X12" s="112"/>
      <c r="Y12" s="128"/>
    </row>
    <row r="13" spans="2:25" ht="19.5" thickTop="1" thickBot="1" x14ac:dyDescent="0.3">
      <c r="B13" s="158"/>
      <c r="C13" s="107"/>
      <c r="D13" s="101"/>
      <c r="E13" s="29" t="s">
        <v>216</v>
      </c>
      <c r="F13" s="41"/>
      <c r="G13" s="41"/>
      <c r="H13" s="41">
        <v>29</v>
      </c>
      <c r="I13" s="42"/>
      <c r="J13" s="42">
        <v>32</v>
      </c>
      <c r="K13" s="42"/>
      <c r="L13" s="42">
        <v>31</v>
      </c>
      <c r="M13" s="42">
        <v>30</v>
      </c>
      <c r="N13" s="41">
        <v>0</v>
      </c>
      <c r="O13" s="41">
        <v>0</v>
      </c>
      <c r="P13" s="41">
        <v>0</v>
      </c>
      <c r="Q13" s="42">
        <v>0</v>
      </c>
      <c r="R13" s="42">
        <v>0</v>
      </c>
      <c r="S13" s="42">
        <v>0</v>
      </c>
      <c r="T13" s="42">
        <v>0</v>
      </c>
      <c r="U13" s="42"/>
      <c r="V13" s="43"/>
      <c r="W13" s="101"/>
      <c r="X13" s="101"/>
      <c r="Y13" s="128"/>
    </row>
    <row r="14" spans="2:25" ht="19.5" thickTop="1" thickBot="1" x14ac:dyDescent="0.3">
      <c r="B14" s="158"/>
      <c r="C14" s="107"/>
      <c r="D14" s="101"/>
      <c r="E14" s="30" t="s">
        <v>3</v>
      </c>
      <c r="F14" s="45"/>
      <c r="G14" s="45"/>
      <c r="H14" s="45"/>
      <c r="I14" s="45"/>
      <c r="J14" s="45"/>
      <c r="K14" s="45"/>
      <c r="L14" s="45"/>
      <c r="M14" s="45"/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6"/>
      <c r="V14" s="47"/>
      <c r="W14" s="101"/>
      <c r="X14" s="101"/>
      <c r="Y14" s="128"/>
    </row>
    <row r="15" spans="2:25" ht="19.5" thickTop="1" thickBot="1" x14ac:dyDescent="0.3">
      <c r="B15" s="158"/>
      <c r="C15" s="107"/>
      <c r="D15" s="101"/>
      <c r="E15" s="31" t="s">
        <v>4</v>
      </c>
      <c r="F15" s="45">
        <f t="shared" ref="F15:T15" si="7">IF(F14&lt;30,F13,F13+F14)</f>
        <v>0</v>
      </c>
      <c r="G15" s="45">
        <f t="shared" si="7"/>
        <v>0</v>
      </c>
      <c r="H15" s="45">
        <f t="shared" si="7"/>
        <v>29</v>
      </c>
      <c r="I15" s="45">
        <f t="shared" si="7"/>
        <v>0</v>
      </c>
      <c r="J15" s="45">
        <f t="shared" si="7"/>
        <v>32</v>
      </c>
      <c r="K15" s="45">
        <f t="shared" si="7"/>
        <v>0</v>
      </c>
      <c r="L15" s="45">
        <f t="shared" si="7"/>
        <v>31</v>
      </c>
      <c r="M15" s="45">
        <f t="shared" si="7"/>
        <v>30</v>
      </c>
      <c r="N15" s="45">
        <f t="shared" si="7"/>
        <v>0</v>
      </c>
      <c r="O15" s="45">
        <f t="shared" si="7"/>
        <v>0</v>
      </c>
      <c r="P15" s="45">
        <f t="shared" si="7"/>
        <v>0</v>
      </c>
      <c r="Q15" s="45">
        <f t="shared" si="7"/>
        <v>0</v>
      </c>
      <c r="R15" s="45">
        <f t="shared" si="7"/>
        <v>0</v>
      </c>
      <c r="S15" s="45">
        <f t="shared" si="7"/>
        <v>0</v>
      </c>
      <c r="T15" s="45">
        <f t="shared" si="7"/>
        <v>0</v>
      </c>
      <c r="U15" s="46"/>
      <c r="V15" s="47"/>
      <c r="W15" s="101"/>
      <c r="X15" s="101"/>
      <c r="Y15" s="128"/>
    </row>
    <row r="16" spans="2:25" ht="37.5" thickTop="1" thickBot="1" x14ac:dyDescent="0.3">
      <c r="B16" s="158"/>
      <c r="C16" s="107"/>
      <c r="D16" s="102"/>
      <c r="E16" s="32" t="s">
        <v>6</v>
      </c>
      <c r="F16" s="36">
        <f t="shared" ref="F16:M16" si="8">SUM(F12*F15)</f>
        <v>0</v>
      </c>
      <c r="G16" s="36">
        <f t="shared" si="8"/>
        <v>0</v>
      </c>
      <c r="H16" s="36">
        <f t="shared" si="8"/>
        <v>87</v>
      </c>
      <c r="I16" s="36">
        <f t="shared" si="8"/>
        <v>0</v>
      </c>
      <c r="J16" s="36">
        <f t="shared" si="8"/>
        <v>96</v>
      </c>
      <c r="K16" s="36">
        <f t="shared" si="8"/>
        <v>0</v>
      </c>
      <c r="L16" s="36">
        <f t="shared" si="8"/>
        <v>93</v>
      </c>
      <c r="M16" s="36">
        <f t="shared" si="8"/>
        <v>90</v>
      </c>
      <c r="N16" s="36">
        <f t="shared" ref="N16:T16" si="9">SUM(N12*N15)</f>
        <v>0</v>
      </c>
      <c r="O16" s="36">
        <f t="shared" si="9"/>
        <v>0</v>
      </c>
      <c r="P16" s="36">
        <f t="shared" si="9"/>
        <v>0</v>
      </c>
      <c r="Q16" s="36">
        <f t="shared" si="9"/>
        <v>0</v>
      </c>
      <c r="R16" s="36">
        <f t="shared" si="9"/>
        <v>0</v>
      </c>
      <c r="S16" s="36">
        <f t="shared" si="9"/>
        <v>0</v>
      </c>
      <c r="T16" s="36">
        <f t="shared" si="9"/>
        <v>0</v>
      </c>
      <c r="U16" s="50">
        <f>SUM(F16:T16)</f>
        <v>366</v>
      </c>
      <c r="V16" s="51">
        <f>SUM(U16/U12)</f>
        <v>30.5</v>
      </c>
      <c r="W16" s="102"/>
      <c r="X16" s="102"/>
      <c r="Y16" s="128"/>
    </row>
    <row r="17" spans="2:25" ht="20.25" thickTop="1" thickBot="1" x14ac:dyDescent="0.35">
      <c r="B17" s="158">
        <v>-3</v>
      </c>
      <c r="C17" s="107" t="s">
        <v>187</v>
      </c>
      <c r="D17" s="101" t="s">
        <v>323</v>
      </c>
      <c r="E17" s="10" t="s">
        <v>5</v>
      </c>
      <c r="F17" s="38">
        <f>IF(IF(F20=0,0,3),3,0)</f>
        <v>0</v>
      </c>
      <c r="G17" s="38">
        <f>IF(IF(G20=0,0,4),4,0)</f>
        <v>0</v>
      </c>
      <c r="H17" s="38">
        <f t="shared" ref="H17:M17" si="10">IF(IF(H20=0,0,3),3,0)</f>
        <v>3</v>
      </c>
      <c r="I17" s="38">
        <f t="shared" si="10"/>
        <v>0</v>
      </c>
      <c r="J17" s="38">
        <f t="shared" si="10"/>
        <v>3</v>
      </c>
      <c r="K17" s="38">
        <f t="shared" si="10"/>
        <v>0</v>
      </c>
      <c r="L17" s="38">
        <f t="shared" si="10"/>
        <v>3</v>
      </c>
      <c r="M17" s="38">
        <f t="shared" si="10"/>
        <v>3</v>
      </c>
      <c r="N17" s="38">
        <f>IF(IF(N20=0,0,4),4,0)</f>
        <v>0</v>
      </c>
      <c r="O17" s="38">
        <f t="shared" ref="O17:T17" si="11">IF(IF(O20=0,0,3),3,0)</f>
        <v>0</v>
      </c>
      <c r="P17" s="38">
        <f t="shared" si="11"/>
        <v>0</v>
      </c>
      <c r="Q17" s="38">
        <f t="shared" si="11"/>
        <v>0</v>
      </c>
      <c r="R17" s="38">
        <f t="shared" si="11"/>
        <v>0</v>
      </c>
      <c r="S17" s="38">
        <f t="shared" si="11"/>
        <v>0</v>
      </c>
      <c r="T17" s="38">
        <f t="shared" si="11"/>
        <v>0</v>
      </c>
      <c r="U17" s="38">
        <f>SUM(F17:T17)</f>
        <v>12</v>
      </c>
      <c r="V17" s="39"/>
      <c r="W17" s="112"/>
      <c r="X17" s="112"/>
      <c r="Y17" s="128"/>
    </row>
    <row r="18" spans="2:25" ht="19.5" thickTop="1" thickBot="1" x14ac:dyDescent="0.3">
      <c r="B18" s="158"/>
      <c r="C18" s="107"/>
      <c r="D18" s="101"/>
      <c r="E18" s="33" t="s">
        <v>216</v>
      </c>
      <c r="F18" s="41"/>
      <c r="G18" s="41"/>
      <c r="H18" s="41">
        <v>25</v>
      </c>
      <c r="I18" s="42"/>
      <c r="J18" s="42">
        <v>36</v>
      </c>
      <c r="K18" s="42"/>
      <c r="L18" s="42">
        <v>25</v>
      </c>
      <c r="M18" s="42">
        <v>24</v>
      </c>
      <c r="N18" s="41">
        <v>0</v>
      </c>
      <c r="O18" s="41">
        <v>0</v>
      </c>
      <c r="P18" s="41">
        <v>0</v>
      </c>
      <c r="Q18" s="42">
        <v>0</v>
      </c>
      <c r="R18" s="42">
        <v>0</v>
      </c>
      <c r="S18" s="88">
        <v>0</v>
      </c>
      <c r="T18" s="42">
        <v>0</v>
      </c>
      <c r="U18" s="42"/>
      <c r="V18" s="43"/>
      <c r="W18" s="101"/>
      <c r="X18" s="101"/>
      <c r="Y18" s="128"/>
    </row>
    <row r="19" spans="2:25" ht="19.5" thickTop="1" thickBot="1" x14ac:dyDescent="0.3">
      <c r="B19" s="158"/>
      <c r="C19" s="107"/>
      <c r="D19" s="101"/>
      <c r="E19" s="30" t="s">
        <v>3</v>
      </c>
      <c r="F19" s="45"/>
      <c r="G19" s="45"/>
      <c r="H19" s="45"/>
      <c r="I19" s="45"/>
      <c r="J19" s="45"/>
      <c r="K19" s="45"/>
      <c r="L19" s="45"/>
      <c r="M19" s="45"/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86">
        <v>0</v>
      </c>
      <c r="T19" s="45">
        <v>0</v>
      </c>
      <c r="U19" s="46"/>
      <c r="V19" s="47"/>
      <c r="W19" s="101"/>
      <c r="X19" s="101"/>
      <c r="Y19" s="128"/>
    </row>
    <row r="20" spans="2:25" ht="19.5" thickTop="1" thickBot="1" x14ac:dyDescent="0.3">
      <c r="B20" s="158"/>
      <c r="C20" s="107"/>
      <c r="D20" s="101"/>
      <c r="E20" s="31" t="s">
        <v>4</v>
      </c>
      <c r="F20" s="45">
        <f t="shared" ref="F20:T20" si="12">IF(F19&lt;30,F18,F18+F19)</f>
        <v>0</v>
      </c>
      <c r="G20" s="45">
        <f t="shared" si="12"/>
        <v>0</v>
      </c>
      <c r="H20" s="45">
        <f t="shared" si="12"/>
        <v>25</v>
      </c>
      <c r="I20" s="45">
        <f t="shared" si="12"/>
        <v>0</v>
      </c>
      <c r="J20" s="45">
        <f t="shared" si="12"/>
        <v>36</v>
      </c>
      <c r="K20" s="45">
        <f t="shared" si="12"/>
        <v>0</v>
      </c>
      <c r="L20" s="45">
        <f t="shared" si="12"/>
        <v>25</v>
      </c>
      <c r="M20" s="45">
        <f t="shared" si="12"/>
        <v>24</v>
      </c>
      <c r="N20" s="45">
        <f t="shared" si="12"/>
        <v>0</v>
      </c>
      <c r="O20" s="45">
        <f t="shared" si="12"/>
        <v>0</v>
      </c>
      <c r="P20" s="45">
        <f t="shared" si="12"/>
        <v>0</v>
      </c>
      <c r="Q20" s="45">
        <f t="shared" si="12"/>
        <v>0</v>
      </c>
      <c r="R20" s="45">
        <f t="shared" si="12"/>
        <v>0</v>
      </c>
      <c r="S20" s="86">
        <f t="shared" si="12"/>
        <v>0</v>
      </c>
      <c r="T20" s="45">
        <f t="shared" si="12"/>
        <v>0</v>
      </c>
      <c r="U20" s="46"/>
      <c r="V20" s="47"/>
      <c r="W20" s="101"/>
      <c r="X20" s="101"/>
      <c r="Y20" s="128"/>
    </row>
    <row r="21" spans="2:25" ht="37.5" thickTop="1" thickBot="1" x14ac:dyDescent="0.3">
      <c r="B21" s="161"/>
      <c r="C21" s="163"/>
      <c r="D21" s="102"/>
      <c r="E21" s="35" t="s">
        <v>6</v>
      </c>
      <c r="F21" s="36">
        <f t="shared" ref="F21:M21" si="13">SUM(F17*F20)</f>
        <v>0</v>
      </c>
      <c r="G21" s="36">
        <f t="shared" si="13"/>
        <v>0</v>
      </c>
      <c r="H21" s="36">
        <f t="shared" si="13"/>
        <v>75</v>
      </c>
      <c r="I21" s="36">
        <f t="shared" si="13"/>
        <v>0</v>
      </c>
      <c r="J21" s="36">
        <f t="shared" si="13"/>
        <v>108</v>
      </c>
      <c r="K21" s="36">
        <f t="shared" si="13"/>
        <v>0</v>
      </c>
      <c r="L21" s="36">
        <f t="shared" si="13"/>
        <v>75</v>
      </c>
      <c r="M21" s="36">
        <f t="shared" si="13"/>
        <v>72</v>
      </c>
      <c r="N21" s="36">
        <f t="shared" ref="N21:T21" si="14">SUM(N17*N20)</f>
        <v>0</v>
      </c>
      <c r="O21" s="36">
        <f t="shared" si="14"/>
        <v>0</v>
      </c>
      <c r="P21" s="36">
        <f t="shared" si="14"/>
        <v>0</v>
      </c>
      <c r="Q21" s="36">
        <f t="shared" si="14"/>
        <v>0</v>
      </c>
      <c r="R21" s="36">
        <f t="shared" si="14"/>
        <v>0</v>
      </c>
      <c r="S21" s="87">
        <f t="shared" si="14"/>
        <v>0</v>
      </c>
      <c r="T21" s="36">
        <f t="shared" si="14"/>
        <v>0</v>
      </c>
      <c r="U21" s="50">
        <f>SUM(F21:T21)</f>
        <v>330</v>
      </c>
      <c r="V21" s="51">
        <f>SUM(U21/U17)</f>
        <v>27.5</v>
      </c>
      <c r="W21" s="102"/>
      <c r="X21" s="102"/>
      <c r="Y21" s="128"/>
    </row>
    <row r="22" spans="2:25" ht="20.25" thickTop="1" thickBot="1" x14ac:dyDescent="0.35">
      <c r="B22" s="162">
        <v>-4</v>
      </c>
      <c r="C22" s="164" t="s">
        <v>188</v>
      </c>
      <c r="D22" s="101" t="s">
        <v>324</v>
      </c>
      <c r="E22" s="10" t="s">
        <v>5</v>
      </c>
      <c r="F22" s="38">
        <f>IF(IF(F25=0,0,3),3,0)</f>
        <v>0</v>
      </c>
      <c r="G22" s="38">
        <f>IF(IF(G25=0,0,4),4,0)</f>
        <v>0</v>
      </c>
      <c r="H22" s="38">
        <f t="shared" ref="H22:M22" si="15">IF(IF(H25=0,0,3),3,0)</f>
        <v>3</v>
      </c>
      <c r="I22" s="38">
        <f t="shared" si="15"/>
        <v>0</v>
      </c>
      <c r="J22" s="38">
        <f t="shared" si="15"/>
        <v>3</v>
      </c>
      <c r="K22" s="38">
        <f t="shared" si="15"/>
        <v>0</v>
      </c>
      <c r="L22" s="38">
        <f t="shared" si="15"/>
        <v>3</v>
      </c>
      <c r="M22" s="38">
        <f t="shared" si="15"/>
        <v>3</v>
      </c>
      <c r="N22" s="38">
        <f>IF(IF(N25=0,0,4),4,0)</f>
        <v>0</v>
      </c>
      <c r="O22" s="38">
        <f t="shared" ref="O22:T22" si="16">IF(IF(O25=0,0,3),3,0)</f>
        <v>0</v>
      </c>
      <c r="P22" s="38">
        <f t="shared" si="16"/>
        <v>0</v>
      </c>
      <c r="Q22" s="38">
        <f t="shared" si="16"/>
        <v>0</v>
      </c>
      <c r="R22" s="38">
        <f t="shared" si="16"/>
        <v>0</v>
      </c>
      <c r="S22" s="38">
        <f t="shared" si="16"/>
        <v>0</v>
      </c>
      <c r="T22" s="38">
        <f t="shared" si="16"/>
        <v>0</v>
      </c>
      <c r="U22" s="38">
        <f>SUM(F22:T22)</f>
        <v>12</v>
      </c>
      <c r="V22" s="39"/>
      <c r="W22" s="112"/>
      <c r="X22" s="112"/>
      <c r="Y22" s="128"/>
    </row>
    <row r="23" spans="2:25" ht="19.5" thickTop="1" thickBot="1" x14ac:dyDescent="0.3">
      <c r="B23" s="158"/>
      <c r="C23" s="107"/>
      <c r="D23" s="101"/>
      <c r="E23" s="33" t="s">
        <v>216</v>
      </c>
      <c r="F23" s="41"/>
      <c r="G23" s="41"/>
      <c r="H23" s="41">
        <v>26</v>
      </c>
      <c r="I23" s="42"/>
      <c r="J23" s="42">
        <v>12</v>
      </c>
      <c r="K23" s="42"/>
      <c r="L23" s="42">
        <v>26</v>
      </c>
      <c r="M23" s="42">
        <v>25</v>
      </c>
      <c r="N23" s="41">
        <v>0</v>
      </c>
      <c r="O23" s="41">
        <v>0</v>
      </c>
      <c r="P23" s="41">
        <v>0</v>
      </c>
      <c r="Q23" s="42">
        <v>0</v>
      </c>
      <c r="R23" s="42">
        <v>0</v>
      </c>
      <c r="S23" s="42">
        <v>0</v>
      </c>
      <c r="T23" s="42">
        <v>0</v>
      </c>
      <c r="U23" s="42"/>
      <c r="V23" s="43"/>
      <c r="W23" s="101"/>
      <c r="X23" s="101"/>
      <c r="Y23" s="128"/>
    </row>
    <row r="24" spans="2:25" ht="19.5" thickTop="1" thickBot="1" x14ac:dyDescent="0.3">
      <c r="B24" s="158"/>
      <c r="C24" s="107"/>
      <c r="D24" s="101"/>
      <c r="E24" s="30" t="s">
        <v>3</v>
      </c>
      <c r="F24" s="45"/>
      <c r="G24" s="45"/>
      <c r="H24" s="45"/>
      <c r="I24" s="45"/>
      <c r="J24" s="45"/>
      <c r="K24" s="45"/>
      <c r="L24" s="45"/>
      <c r="M24" s="45"/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6"/>
      <c r="V24" s="47"/>
      <c r="W24" s="101"/>
      <c r="X24" s="101"/>
      <c r="Y24" s="128"/>
    </row>
    <row r="25" spans="2:25" ht="19.5" thickTop="1" thickBot="1" x14ac:dyDescent="0.3">
      <c r="B25" s="158"/>
      <c r="C25" s="107"/>
      <c r="D25" s="101"/>
      <c r="E25" s="31" t="s">
        <v>4</v>
      </c>
      <c r="F25" s="45">
        <f t="shared" ref="F25:T25" si="17">IF(F24&lt;30,F23,F23+F24)</f>
        <v>0</v>
      </c>
      <c r="G25" s="45">
        <f t="shared" si="17"/>
        <v>0</v>
      </c>
      <c r="H25" s="45">
        <f t="shared" si="17"/>
        <v>26</v>
      </c>
      <c r="I25" s="45">
        <f t="shared" si="17"/>
        <v>0</v>
      </c>
      <c r="J25" s="45">
        <f t="shared" si="17"/>
        <v>12</v>
      </c>
      <c r="K25" s="45">
        <f t="shared" si="17"/>
        <v>0</v>
      </c>
      <c r="L25" s="45">
        <f t="shared" si="17"/>
        <v>26</v>
      </c>
      <c r="M25" s="45">
        <f t="shared" si="17"/>
        <v>25</v>
      </c>
      <c r="N25" s="45">
        <f t="shared" si="17"/>
        <v>0</v>
      </c>
      <c r="O25" s="45">
        <f t="shared" si="17"/>
        <v>0</v>
      </c>
      <c r="P25" s="45">
        <f t="shared" si="17"/>
        <v>0</v>
      </c>
      <c r="Q25" s="45">
        <f t="shared" si="17"/>
        <v>0</v>
      </c>
      <c r="R25" s="45">
        <f t="shared" si="17"/>
        <v>0</v>
      </c>
      <c r="S25" s="45">
        <f t="shared" si="17"/>
        <v>0</v>
      </c>
      <c r="T25" s="45">
        <f t="shared" si="17"/>
        <v>0</v>
      </c>
      <c r="U25" s="46"/>
      <c r="V25" s="47"/>
      <c r="W25" s="101"/>
      <c r="X25" s="101"/>
      <c r="Y25" s="128"/>
    </row>
    <row r="26" spans="2:25" ht="37.5" thickTop="1" thickBot="1" x14ac:dyDescent="0.3">
      <c r="B26" s="161"/>
      <c r="C26" s="163"/>
      <c r="D26" s="102"/>
      <c r="E26" s="35" t="s">
        <v>6</v>
      </c>
      <c r="F26" s="36">
        <f t="shared" ref="F26:M26" si="18">SUM(F22*F25)</f>
        <v>0</v>
      </c>
      <c r="G26" s="36">
        <f t="shared" si="18"/>
        <v>0</v>
      </c>
      <c r="H26" s="36">
        <f t="shared" si="18"/>
        <v>78</v>
      </c>
      <c r="I26" s="36">
        <f t="shared" si="18"/>
        <v>0</v>
      </c>
      <c r="J26" s="36">
        <f t="shared" si="18"/>
        <v>36</v>
      </c>
      <c r="K26" s="36">
        <f t="shared" si="18"/>
        <v>0</v>
      </c>
      <c r="L26" s="36">
        <f t="shared" si="18"/>
        <v>78</v>
      </c>
      <c r="M26" s="36">
        <f t="shared" si="18"/>
        <v>75</v>
      </c>
      <c r="N26" s="36">
        <f t="shared" ref="N26:T26" si="19">SUM(N22*N25)</f>
        <v>0</v>
      </c>
      <c r="O26" s="36">
        <f t="shared" si="19"/>
        <v>0</v>
      </c>
      <c r="P26" s="36">
        <f t="shared" si="19"/>
        <v>0</v>
      </c>
      <c r="Q26" s="36">
        <f t="shared" si="19"/>
        <v>0</v>
      </c>
      <c r="R26" s="36">
        <f t="shared" si="19"/>
        <v>0</v>
      </c>
      <c r="S26" s="36">
        <f t="shared" si="19"/>
        <v>0</v>
      </c>
      <c r="T26" s="36">
        <f t="shared" si="19"/>
        <v>0</v>
      </c>
      <c r="U26" s="50">
        <f>SUM(F26:T26)</f>
        <v>267</v>
      </c>
      <c r="V26" s="51">
        <f>SUM(U26/U22)</f>
        <v>22.25</v>
      </c>
      <c r="W26" s="102"/>
      <c r="X26" s="102"/>
      <c r="Y26" s="128"/>
    </row>
    <row r="27" spans="2:25" ht="20.25" thickTop="1" thickBot="1" x14ac:dyDescent="0.35">
      <c r="B27" s="162">
        <v>-5</v>
      </c>
      <c r="C27" s="164" t="s">
        <v>189</v>
      </c>
      <c r="D27" s="112" t="s">
        <v>325</v>
      </c>
      <c r="E27" s="10" t="s">
        <v>5</v>
      </c>
      <c r="F27" s="38">
        <f>IF(IF(F30=0,0,3),3,0)</f>
        <v>0</v>
      </c>
      <c r="G27" s="38">
        <f>IF(IF(G30=0,0,4),4,0)</f>
        <v>0</v>
      </c>
      <c r="H27" s="38">
        <f t="shared" ref="H27:M27" si="20">IF(IF(H30=0,0,3),3,0)</f>
        <v>3</v>
      </c>
      <c r="I27" s="38">
        <f t="shared" si="20"/>
        <v>0</v>
      </c>
      <c r="J27" s="38">
        <f t="shared" si="20"/>
        <v>3</v>
      </c>
      <c r="K27" s="38">
        <f t="shared" si="20"/>
        <v>0</v>
      </c>
      <c r="L27" s="38">
        <f t="shared" si="20"/>
        <v>3</v>
      </c>
      <c r="M27" s="38">
        <f t="shared" si="20"/>
        <v>3</v>
      </c>
      <c r="N27" s="38">
        <f>IF(IF(N30=0,0,4),4,0)</f>
        <v>0</v>
      </c>
      <c r="O27" s="38">
        <f t="shared" ref="O27:T27" si="21">IF(IF(O30=0,0,3),3,0)</f>
        <v>0</v>
      </c>
      <c r="P27" s="38">
        <f t="shared" si="21"/>
        <v>0</v>
      </c>
      <c r="Q27" s="38">
        <f t="shared" si="21"/>
        <v>0</v>
      </c>
      <c r="R27" s="38">
        <f t="shared" si="21"/>
        <v>0</v>
      </c>
      <c r="S27" s="38">
        <f t="shared" si="21"/>
        <v>0</v>
      </c>
      <c r="T27" s="38">
        <f t="shared" si="21"/>
        <v>0</v>
      </c>
      <c r="U27" s="38">
        <f>SUM(F27:T27)</f>
        <v>12</v>
      </c>
      <c r="V27" s="39"/>
      <c r="W27" s="112"/>
      <c r="X27" s="112"/>
      <c r="Y27" s="128"/>
    </row>
    <row r="28" spans="2:25" ht="19.5" thickTop="1" thickBot="1" x14ac:dyDescent="0.3">
      <c r="B28" s="158"/>
      <c r="C28" s="107"/>
      <c r="D28" s="101"/>
      <c r="E28" s="33" t="s">
        <v>216</v>
      </c>
      <c r="F28" s="41"/>
      <c r="G28" s="41"/>
      <c r="H28" s="41">
        <v>28</v>
      </c>
      <c r="I28" s="42"/>
      <c r="J28" s="42">
        <v>30</v>
      </c>
      <c r="K28" s="42"/>
      <c r="L28" s="42">
        <v>28</v>
      </c>
      <c r="M28" s="42">
        <v>29</v>
      </c>
      <c r="N28" s="41">
        <v>0</v>
      </c>
      <c r="O28" s="41">
        <v>0</v>
      </c>
      <c r="P28" s="41">
        <v>0</v>
      </c>
      <c r="Q28" s="42">
        <v>0</v>
      </c>
      <c r="R28" s="42">
        <v>0</v>
      </c>
      <c r="S28" s="42">
        <v>0</v>
      </c>
      <c r="T28" s="42">
        <v>0</v>
      </c>
      <c r="U28" s="42"/>
      <c r="V28" s="43"/>
      <c r="W28" s="101"/>
      <c r="X28" s="101"/>
      <c r="Y28" s="128"/>
    </row>
    <row r="29" spans="2:25" ht="19.5" thickTop="1" thickBot="1" x14ac:dyDescent="0.3">
      <c r="B29" s="158"/>
      <c r="C29" s="107"/>
      <c r="D29" s="101"/>
      <c r="E29" s="30" t="s">
        <v>3</v>
      </c>
      <c r="F29" s="45"/>
      <c r="G29" s="45"/>
      <c r="H29" s="45"/>
      <c r="I29" s="45"/>
      <c r="J29" s="45"/>
      <c r="K29" s="45"/>
      <c r="L29" s="45"/>
      <c r="M29" s="45"/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6"/>
      <c r="V29" s="47"/>
      <c r="W29" s="101"/>
      <c r="X29" s="101"/>
      <c r="Y29" s="128"/>
    </row>
    <row r="30" spans="2:25" ht="19.5" thickTop="1" thickBot="1" x14ac:dyDescent="0.3">
      <c r="B30" s="158"/>
      <c r="C30" s="107"/>
      <c r="D30" s="101"/>
      <c r="E30" s="31" t="s">
        <v>4</v>
      </c>
      <c r="F30" s="45">
        <f t="shared" ref="F30:T30" si="22">IF(F29&lt;30,F28,F28+F29)</f>
        <v>0</v>
      </c>
      <c r="G30" s="45">
        <f t="shared" si="22"/>
        <v>0</v>
      </c>
      <c r="H30" s="45">
        <f t="shared" si="22"/>
        <v>28</v>
      </c>
      <c r="I30" s="45">
        <f t="shared" si="22"/>
        <v>0</v>
      </c>
      <c r="J30" s="45">
        <f t="shared" si="22"/>
        <v>30</v>
      </c>
      <c r="K30" s="45">
        <f t="shared" si="22"/>
        <v>0</v>
      </c>
      <c r="L30" s="45">
        <f t="shared" si="22"/>
        <v>28</v>
      </c>
      <c r="M30" s="45">
        <f t="shared" si="22"/>
        <v>29</v>
      </c>
      <c r="N30" s="45">
        <f t="shared" si="22"/>
        <v>0</v>
      </c>
      <c r="O30" s="45">
        <f t="shared" si="22"/>
        <v>0</v>
      </c>
      <c r="P30" s="45">
        <f t="shared" si="22"/>
        <v>0</v>
      </c>
      <c r="Q30" s="45">
        <f t="shared" si="22"/>
        <v>0</v>
      </c>
      <c r="R30" s="45">
        <f t="shared" si="22"/>
        <v>0</v>
      </c>
      <c r="S30" s="45">
        <f t="shared" si="22"/>
        <v>0</v>
      </c>
      <c r="T30" s="45">
        <f t="shared" si="22"/>
        <v>0</v>
      </c>
      <c r="U30" s="46"/>
      <c r="V30" s="47"/>
      <c r="W30" s="101"/>
      <c r="X30" s="101"/>
      <c r="Y30" s="128"/>
    </row>
    <row r="31" spans="2:25" ht="37.5" thickTop="1" thickBot="1" x14ac:dyDescent="0.3">
      <c r="B31" s="159"/>
      <c r="C31" s="108"/>
      <c r="D31" s="102"/>
      <c r="E31" s="32" t="s">
        <v>6</v>
      </c>
      <c r="F31" s="36">
        <f t="shared" ref="F31:M31" si="23">SUM(F27*F30)</f>
        <v>0</v>
      </c>
      <c r="G31" s="36">
        <f t="shared" si="23"/>
        <v>0</v>
      </c>
      <c r="H31" s="36">
        <f t="shared" si="23"/>
        <v>84</v>
      </c>
      <c r="I31" s="36">
        <f t="shared" si="23"/>
        <v>0</v>
      </c>
      <c r="J31" s="36">
        <f t="shared" si="23"/>
        <v>90</v>
      </c>
      <c r="K31" s="36">
        <f t="shared" si="23"/>
        <v>0</v>
      </c>
      <c r="L31" s="36">
        <f t="shared" si="23"/>
        <v>84</v>
      </c>
      <c r="M31" s="36">
        <f t="shared" si="23"/>
        <v>87</v>
      </c>
      <c r="N31" s="36">
        <f t="shared" ref="N31:T31" si="24">SUM(N27*N30)</f>
        <v>0</v>
      </c>
      <c r="O31" s="36">
        <f t="shared" si="24"/>
        <v>0</v>
      </c>
      <c r="P31" s="36">
        <f t="shared" si="24"/>
        <v>0</v>
      </c>
      <c r="Q31" s="36">
        <f t="shared" si="24"/>
        <v>0</v>
      </c>
      <c r="R31" s="36">
        <f t="shared" si="24"/>
        <v>0</v>
      </c>
      <c r="S31" s="36">
        <f t="shared" si="24"/>
        <v>0</v>
      </c>
      <c r="T31" s="36">
        <f t="shared" si="24"/>
        <v>0</v>
      </c>
      <c r="U31" s="50">
        <f>SUM(F31:T31)</f>
        <v>345</v>
      </c>
      <c r="V31" s="51">
        <f>SUM(U31/U27)</f>
        <v>28.75</v>
      </c>
      <c r="W31" s="102"/>
      <c r="X31" s="102"/>
      <c r="Y31" s="128"/>
    </row>
    <row r="32" spans="2:25" ht="20.25" thickTop="1" thickBot="1" x14ac:dyDescent="0.35">
      <c r="B32" s="160">
        <v>-6</v>
      </c>
      <c r="C32" s="106" t="s">
        <v>190</v>
      </c>
      <c r="D32" s="112" t="s">
        <v>326</v>
      </c>
      <c r="E32" s="10" t="s">
        <v>5</v>
      </c>
      <c r="F32" s="38">
        <f>IF(IF(F35=0,0,3),3,0)</f>
        <v>0</v>
      </c>
      <c r="G32" s="38">
        <f>IF(IF(G35=0,0,4),4,0)</f>
        <v>0</v>
      </c>
      <c r="H32" s="38">
        <f t="shared" ref="H32:M32" si="25">IF(IF(H35=0,0,3),3,0)</f>
        <v>3</v>
      </c>
      <c r="I32" s="38">
        <f t="shared" si="25"/>
        <v>0</v>
      </c>
      <c r="J32" s="38">
        <f t="shared" si="25"/>
        <v>3</v>
      </c>
      <c r="K32" s="38">
        <f t="shared" si="25"/>
        <v>0</v>
      </c>
      <c r="L32" s="38">
        <f t="shared" si="25"/>
        <v>3</v>
      </c>
      <c r="M32" s="38">
        <f t="shared" si="25"/>
        <v>3</v>
      </c>
      <c r="N32" s="38">
        <f>IF(IF(N35=0,0,4),4,0)</f>
        <v>0</v>
      </c>
      <c r="O32" s="38">
        <f t="shared" ref="O32:T32" si="26">IF(IF(O35=0,0,3),3,0)</f>
        <v>0</v>
      </c>
      <c r="P32" s="38">
        <f t="shared" si="26"/>
        <v>0</v>
      </c>
      <c r="Q32" s="38">
        <f t="shared" si="26"/>
        <v>0</v>
      </c>
      <c r="R32" s="38">
        <f t="shared" si="26"/>
        <v>0</v>
      </c>
      <c r="S32" s="38">
        <f t="shared" si="26"/>
        <v>0</v>
      </c>
      <c r="T32" s="38">
        <f t="shared" si="26"/>
        <v>3</v>
      </c>
      <c r="U32" s="38">
        <f>SUM(F32:T32)</f>
        <v>15</v>
      </c>
      <c r="V32" s="39"/>
      <c r="W32" s="112"/>
      <c r="X32" s="112"/>
      <c r="Y32" s="128"/>
    </row>
    <row r="33" spans="2:25" ht="19.5" thickTop="1" thickBot="1" x14ac:dyDescent="0.3">
      <c r="B33" s="158"/>
      <c r="C33" s="107"/>
      <c r="D33" s="101"/>
      <c r="E33" s="33" t="s">
        <v>216</v>
      </c>
      <c r="F33" s="41"/>
      <c r="G33" s="41"/>
      <c r="H33" s="41">
        <v>30</v>
      </c>
      <c r="I33" s="42"/>
      <c r="J33" s="42">
        <v>18</v>
      </c>
      <c r="K33" s="42"/>
      <c r="L33" s="42">
        <v>31</v>
      </c>
      <c r="M33" s="42">
        <v>31</v>
      </c>
      <c r="N33" s="41">
        <v>0</v>
      </c>
      <c r="O33" s="41">
        <v>0</v>
      </c>
      <c r="P33" s="41">
        <v>0</v>
      </c>
      <c r="Q33" s="42">
        <v>0</v>
      </c>
      <c r="R33" s="42">
        <v>0</v>
      </c>
      <c r="S33" s="42">
        <v>0</v>
      </c>
      <c r="T33" s="88">
        <v>25</v>
      </c>
      <c r="U33" s="42"/>
      <c r="V33" s="43"/>
      <c r="W33" s="101"/>
      <c r="X33" s="101"/>
      <c r="Y33" s="128"/>
    </row>
    <row r="34" spans="2:25" ht="19.5" thickTop="1" thickBot="1" x14ac:dyDescent="0.3">
      <c r="B34" s="158"/>
      <c r="C34" s="107"/>
      <c r="D34" s="101"/>
      <c r="E34" s="30" t="s">
        <v>3</v>
      </c>
      <c r="F34" s="45"/>
      <c r="G34" s="45"/>
      <c r="H34" s="45"/>
      <c r="I34" s="45"/>
      <c r="J34" s="45"/>
      <c r="K34" s="45"/>
      <c r="L34" s="45"/>
      <c r="M34" s="45"/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86">
        <v>0</v>
      </c>
      <c r="U34" s="46"/>
      <c r="V34" s="47"/>
      <c r="W34" s="101"/>
      <c r="X34" s="101"/>
      <c r="Y34" s="128"/>
    </row>
    <row r="35" spans="2:25" ht="19.5" thickTop="1" thickBot="1" x14ac:dyDescent="0.3">
      <c r="B35" s="158"/>
      <c r="C35" s="107"/>
      <c r="D35" s="101"/>
      <c r="E35" s="31" t="s">
        <v>4</v>
      </c>
      <c r="F35" s="45">
        <f t="shared" ref="F35:T35" si="27">IF(F34&lt;30,F33,F33+F34)</f>
        <v>0</v>
      </c>
      <c r="G35" s="45">
        <f t="shared" si="27"/>
        <v>0</v>
      </c>
      <c r="H35" s="45">
        <f t="shared" si="27"/>
        <v>30</v>
      </c>
      <c r="I35" s="45">
        <f t="shared" si="27"/>
        <v>0</v>
      </c>
      <c r="J35" s="45">
        <f t="shared" si="27"/>
        <v>18</v>
      </c>
      <c r="K35" s="45">
        <f t="shared" si="27"/>
        <v>0</v>
      </c>
      <c r="L35" s="45">
        <f t="shared" si="27"/>
        <v>31</v>
      </c>
      <c r="M35" s="45">
        <f t="shared" si="27"/>
        <v>31</v>
      </c>
      <c r="N35" s="45">
        <f t="shared" si="27"/>
        <v>0</v>
      </c>
      <c r="O35" s="45">
        <f t="shared" si="27"/>
        <v>0</v>
      </c>
      <c r="P35" s="45">
        <f t="shared" si="27"/>
        <v>0</v>
      </c>
      <c r="Q35" s="45">
        <f t="shared" si="27"/>
        <v>0</v>
      </c>
      <c r="R35" s="45">
        <f t="shared" si="27"/>
        <v>0</v>
      </c>
      <c r="S35" s="45">
        <f t="shared" si="27"/>
        <v>0</v>
      </c>
      <c r="T35" s="86">
        <f t="shared" si="27"/>
        <v>25</v>
      </c>
      <c r="U35" s="46"/>
      <c r="V35" s="47"/>
      <c r="W35" s="101"/>
      <c r="X35" s="101"/>
      <c r="Y35" s="128"/>
    </row>
    <row r="36" spans="2:25" ht="37.5" thickTop="1" thickBot="1" x14ac:dyDescent="0.3">
      <c r="B36" s="159"/>
      <c r="C36" s="108"/>
      <c r="D36" s="102"/>
      <c r="E36" s="32" t="s">
        <v>6</v>
      </c>
      <c r="F36" s="36">
        <f t="shared" ref="F36:M36" si="28">SUM(F32*F35)</f>
        <v>0</v>
      </c>
      <c r="G36" s="36">
        <f t="shared" si="28"/>
        <v>0</v>
      </c>
      <c r="H36" s="36">
        <f t="shared" si="28"/>
        <v>90</v>
      </c>
      <c r="I36" s="36">
        <f t="shared" si="28"/>
        <v>0</v>
      </c>
      <c r="J36" s="36">
        <f t="shared" si="28"/>
        <v>54</v>
      </c>
      <c r="K36" s="36">
        <f t="shared" si="28"/>
        <v>0</v>
      </c>
      <c r="L36" s="36">
        <f t="shared" si="28"/>
        <v>93</v>
      </c>
      <c r="M36" s="36">
        <f t="shared" si="28"/>
        <v>93</v>
      </c>
      <c r="N36" s="36">
        <f t="shared" ref="N36:T36" si="29">SUM(N32*N35)</f>
        <v>0</v>
      </c>
      <c r="O36" s="36">
        <f t="shared" si="29"/>
        <v>0</v>
      </c>
      <c r="P36" s="36">
        <f t="shared" si="29"/>
        <v>0</v>
      </c>
      <c r="Q36" s="36">
        <f t="shared" si="29"/>
        <v>0</v>
      </c>
      <c r="R36" s="36">
        <f t="shared" si="29"/>
        <v>0</v>
      </c>
      <c r="S36" s="36">
        <f t="shared" si="29"/>
        <v>0</v>
      </c>
      <c r="T36" s="87">
        <f t="shared" si="29"/>
        <v>75</v>
      </c>
      <c r="U36" s="50">
        <f>SUM(F36:T36)</f>
        <v>405</v>
      </c>
      <c r="V36" s="51">
        <f>SUM(U36/U32)</f>
        <v>27</v>
      </c>
      <c r="W36" s="102"/>
      <c r="X36" s="102"/>
      <c r="Y36" s="128"/>
    </row>
    <row r="37" spans="2:25" ht="20.25" thickTop="1" thickBot="1" x14ac:dyDescent="0.35">
      <c r="B37" s="160">
        <v>-7</v>
      </c>
      <c r="C37" s="106" t="s">
        <v>191</v>
      </c>
      <c r="D37" s="112" t="s">
        <v>327</v>
      </c>
      <c r="E37" s="10" t="s">
        <v>5</v>
      </c>
      <c r="F37" s="38">
        <f>IF(IF(F40=0,0,3),3,0)</f>
        <v>0</v>
      </c>
      <c r="G37" s="38">
        <f>IF(IF(G40=0,0,4),4,0)</f>
        <v>0</v>
      </c>
      <c r="H37" s="38">
        <f t="shared" ref="H37:M37" si="30">IF(IF(H40=0,0,3),3,0)</f>
        <v>3</v>
      </c>
      <c r="I37" s="38">
        <f t="shared" si="30"/>
        <v>0</v>
      </c>
      <c r="J37" s="38">
        <f t="shared" si="30"/>
        <v>3</v>
      </c>
      <c r="K37" s="38">
        <f t="shared" si="30"/>
        <v>0</v>
      </c>
      <c r="L37" s="38">
        <f t="shared" si="30"/>
        <v>3</v>
      </c>
      <c r="M37" s="38">
        <f t="shared" si="30"/>
        <v>3</v>
      </c>
      <c r="N37" s="38">
        <f>IF(IF(N40=0,0,4),4,0)</f>
        <v>0</v>
      </c>
      <c r="O37" s="38">
        <f t="shared" ref="O37:T37" si="31">IF(IF(O40=0,0,3),3,0)</f>
        <v>0</v>
      </c>
      <c r="P37" s="38">
        <f t="shared" si="31"/>
        <v>0</v>
      </c>
      <c r="Q37" s="38">
        <f t="shared" si="31"/>
        <v>0</v>
      </c>
      <c r="R37" s="38">
        <f t="shared" si="31"/>
        <v>0</v>
      </c>
      <c r="S37" s="38">
        <f t="shared" si="31"/>
        <v>0</v>
      </c>
      <c r="T37" s="38">
        <f t="shared" si="31"/>
        <v>3</v>
      </c>
      <c r="U37" s="38">
        <f>SUM(F37:T37)</f>
        <v>15</v>
      </c>
      <c r="V37" s="39"/>
      <c r="W37" s="112"/>
      <c r="X37" s="112"/>
      <c r="Y37" s="128"/>
    </row>
    <row r="38" spans="2:25" ht="19.5" thickTop="1" thickBot="1" x14ac:dyDescent="0.3">
      <c r="B38" s="158"/>
      <c r="C38" s="107"/>
      <c r="D38" s="101"/>
      <c r="E38" s="33" t="s">
        <v>216</v>
      </c>
      <c r="F38" s="41"/>
      <c r="G38" s="41"/>
      <c r="H38" s="41">
        <v>31</v>
      </c>
      <c r="I38" s="42"/>
      <c r="J38" s="42">
        <v>36</v>
      </c>
      <c r="K38" s="42"/>
      <c r="L38" s="42">
        <v>32</v>
      </c>
      <c r="M38" s="42">
        <v>30</v>
      </c>
      <c r="N38" s="41">
        <v>0</v>
      </c>
      <c r="O38" s="41">
        <v>0</v>
      </c>
      <c r="P38" s="41">
        <v>0</v>
      </c>
      <c r="Q38" s="88">
        <v>0</v>
      </c>
      <c r="R38" s="42">
        <v>0</v>
      </c>
      <c r="S38" s="42">
        <v>0</v>
      </c>
      <c r="T38" s="88">
        <v>35</v>
      </c>
      <c r="U38" s="42"/>
      <c r="V38" s="43"/>
      <c r="W38" s="101"/>
      <c r="X38" s="101"/>
      <c r="Y38" s="128"/>
    </row>
    <row r="39" spans="2:25" ht="19.5" thickTop="1" thickBot="1" x14ac:dyDescent="0.3">
      <c r="B39" s="158"/>
      <c r="C39" s="107"/>
      <c r="D39" s="101"/>
      <c r="E39" s="30" t="s">
        <v>3</v>
      </c>
      <c r="F39" s="45"/>
      <c r="G39" s="45"/>
      <c r="H39" s="45"/>
      <c r="I39" s="45"/>
      <c r="J39" s="45"/>
      <c r="K39" s="45"/>
      <c r="L39" s="45"/>
      <c r="M39" s="45"/>
      <c r="N39" s="45">
        <v>0</v>
      </c>
      <c r="O39" s="45">
        <v>0</v>
      </c>
      <c r="P39" s="45">
        <v>0</v>
      </c>
      <c r="Q39" s="86">
        <v>0</v>
      </c>
      <c r="R39" s="45">
        <v>0</v>
      </c>
      <c r="S39" s="45">
        <v>0</v>
      </c>
      <c r="T39" s="86">
        <v>0</v>
      </c>
      <c r="U39" s="46"/>
      <c r="V39" s="47"/>
      <c r="W39" s="101"/>
      <c r="X39" s="101"/>
      <c r="Y39" s="128"/>
    </row>
    <row r="40" spans="2:25" ht="19.5" thickTop="1" thickBot="1" x14ac:dyDescent="0.3">
      <c r="B40" s="158"/>
      <c r="C40" s="107"/>
      <c r="D40" s="101"/>
      <c r="E40" s="31" t="s">
        <v>4</v>
      </c>
      <c r="F40" s="45">
        <f t="shared" ref="F40:T40" si="32">IF(F39&lt;30,F38,F38+F39)</f>
        <v>0</v>
      </c>
      <c r="G40" s="45">
        <f t="shared" si="32"/>
        <v>0</v>
      </c>
      <c r="H40" s="45">
        <f t="shared" si="32"/>
        <v>31</v>
      </c>
      <c r="I40" s="45">
        <f t="shared" si="32"/>
        <v>0</v>
      </c>
      <c r="J40" s="45">
        <f t="shared" si="32"/>
        <v>36</v>
      </c>
      <c r="K40" s="45">
        <f t="shared" si="32"/>
        <v>0</v>
      </c>
      <c r="L40" s="45">
        <f t="shared" si="32"/>
        <v>32</v>
      </c>
      <c r="M40" s="45">
        <f t="shared" si="32"/>
        <v>30</v>
      </c>
      <c r="N40" s="45">
        <f t="shared" si="32"/>
        <v>0</v>
      </c>
      <c r="O40" s="45">
        <f t="shared" si="32"/>
        <v>0</v>
      </c>
      <c r="P40" s="45">
        <f t="shared" si="32"/>
        <v>0</v>
      </c>
      <c r="Q40" s="86">
        <f t="shared" si="32"/>
        <v>0</v>
      </c>
      <c r="R40" s="45">
        <f t="shared" si="32"/>
        <v>0</v>
      </c>
      <c r="S40" s="45">
        <f t="shared" si="32"/>
        <v>0</v>
      </c>
      <c r="T40" s="86">
        <f t="shared" si="32"/>
        <v>35</v>
      </c>
      <c r="U40" s="46"/>
      <c r="V40" s="47"/>
      <c r="W40" s="101"/>
      <c r="X40" s="101"/>
      <c r="Y40" s="128"/>
    </row>
    <row r="41" spans="2:25" ht="37.5" thickTop="1" thickBot="1" x14ac:dyDescent="0.3">
      <c r="B41" s="166"/>
      <c r="C41" s="165"/>
      <c r="D41" s="102"/>
      <c r="E41" s="32" t="s">
        <v>6</v>
      </c>
      <c r="F41" s="53">
        <f t="shared" ref="F41:M41" si="33">SUM(F37*F40)</f>
        <v>0</v>
      </c>
      <c r="G41" s="53">
        <f t="shared" si="33"/>
        <v>0</v>
      </c>
      <c r="H41" s="53">
        <f t="shared" si="33"/>
        <v>93</v>
      </c>
      <c r="I41" s="53">
        <f t="shared" si="33"/>
        <v>0</v>
      </c>
      <c r="J41" s="53">
        <f t="shared" si="33"/>
        <v>108</v>
      </c>
      <c r="K41" s="53">
        <f t="shared" si="33"/>
        <v>0</v>
      </c>
      <c r="L41" s="53">
        <f t="shared" si="33"/>
        <v>96</v>
      </c>
      <c r="M41" s="53">
        <f t="shared" si="33"/>
        <v>90</v>
      </c>
      <c r="N41" s="53">
        <f t="shared" ref="N41:T41" si="34">SUM(N37*N40)</f>
        <v>0</v>
      </c>
      <c r="O41" s="53">
        <f t="shared" si="34"/>
        <v>0</v>
      </c>
      <c r="P41" s="53">
        <f t="shared" si="34"/>
        <v>0</v>
      </c>
      <c r="Q41" s="89">
        <f t="shared" si="34"/>
        <v>0</v>
      </c>
      <c r="R41" s="53">
        <f t="shared" si="34"/>
        <v>0</v>
      </c>
      <c r="S41" s="53">
        <f t="shared" si="34"/>
        <v>0</v>
      </c>
      <c r="T41" s="89">
        <f t="shared" si="34"/>
        <v>105</v>
      </c>
      <c r="U41" s="53">
        <f>SUM(F41:T41)</f>
        <v>492</v>
      </c>
      <c r="V41" s="51">
        <f>SUM(U41/U37)</f>
        <v>32.799999999999997</v>
      </c>
      <c r="W41" s="102"/>
      <c r="X41" s="102"/>
      <c r="Y41" s="129"/>
    </row>
    <row r="42" spans="2:25" ht="20.25" thickTop="1" thickBot="1" x14ac:dyDescent="0.35">
      <c r="B42" s="157">
        <v>-8</v>
      </c>
      <c r="C42" s="138" t="s">
        <v>192</v>
      </c>
      <c r="D42" s="113" t="s">
        <v>328</v>
      </c>
      <c r="E42" s="9" t="s">
        <v>5</v>
      </c>
      <c r="F42" s="38">
        <f>IF(IF(F45=0,0,3),3,0)</f>
        <v>0</v>
      </c>
      <c r="G42" s="38">
        <f>IF(IF(G45=0,0,4),4,0)</f>
        <v>0</v>
      </c>
      <c r="H42" s="38">
        <f t="shared" ref="H42:M42" si="35">IF(IF(H45=0,0,3),3,0)</f>
        <v>3</v>
      </c>
      <c r="I42" s="38">
        <f t="shared" si="35"/>
        <v>0</v>
      </c>
      <c r="J42" s="38">
        <f t="shared" si="35"/>
        <v>3</v>
      </c>
      <c r="K42" s="38">
        <f t="shared" si="35"/>
        <v>0</v>
      </c>
      <c r="L42" s="38">
        <f t="shared" si="35"/>
        <v>3</v>
      </c>
      <c r="M42" s="38">
        <f t="shared" si="35"/>
        <v>3</v>
      </c>
      <c r="N42" s="38">
        <f>IF(IF(N45=0,0,4),4,0)</f>
        <v>0</v>
      </c>
      <c r="O42" s="38">
        <f t="shared" ref="O42:T42" si="36">IF(IF(O45=0,0,3),3,0)</f>
        <v>0</v>
      </c>
      <c r="P42" s="38">
        <f t="shared" si="36"/>
        <v>0</v>
      </c>
      <c r="Q42" s="38">
        <f t="shared" si="36"/>
        <v>0</v>
      </c>
      <c r="R42" s="38">
        <f t="shared" si="36"/>
        <v>0</v>
      </c>
      <c r="S42" s="38">
        <f t="shared" si="36"/>
        <v>0</v>
      </c>
      <c r="T42" s="38">
        <f t="shared" si="36"/>
        <v>0</v>
      </c>
      <c r="U42" s="38">
        <f>SUM(F42:T42)</f>
        <v>12</v>
      </c>
      <c r="V42" s="39"/>
      <c r="W42" s="112"/>
      <c r="X42" s="112"/>
      <c r="Y42" s="141"/>
    </row>
    <row r="43" spans="2:25" ht="19.5" thickTop="1" thickBot="1" x14ac:dyDescent="0.3">
      <c r="B43" s="158"/>
      <c r="C43" s="107"/>
      <c r="D43" s="101"/>
      <c r="E43" s="29" t="s">
        <v>216</v>
      </c>
      <c r="F43" s="41"/>
      <c r="G43" s="41"/>
      <c r="H43" s="41">
        <v>27</v>
      </c>
      <c r="I43" s="42"/>
      <c r="J43" s="42">
        <v>28</v>
      </c>
      <c r="K43" s="42"/>
      <c r="L43" s="42">
        <v>32</v>
      </c>
      <c r="M43" s="42">
        <v>28</v>
      </c>
      <c r="N43" s="41">
        <v>0</v>
      </c>
      <c r="O43" s="41">
        <v>0</v>
      </c>
      <c r="P43" s="41">
        <v>0</v>
      </c>
      <c r="Q43" s="42">
        <v>0</v>
      </c>
      <c r="R43" s="42">
        <v>0</v>
      </c>
      <c r="S43" s="88">
        <v>0</v>
      </c>
      <c r="T43" s="42">
        <v>0</v>
      </c>
      <c r="U43" s="42"/>
      <c r="V43" s="43"/>
      <c r="W43" s="101"/>
      <c r="X43" s="101"/>
      <c r="Y43" s="128"/>
    </row>
    <row r="44" spans="2:25" ht="19.5" thickTop="1" thickBot="1" x14ac:dyDescent="0.3">
      <c r="B44" s="158"/>
      <c r="C44" s="107"/>
      <c r="D44" s="101"/>
      <c r="E44" s="30" t="s">
        <v>3</v>
      </c>
      <c r="F44" s="45"/>
      <c r="G44" s="45"/>
      <c r="H44" s="45"/>
      <c r="I44" s="45"/>
      <c r="J44" s="45"/>
      <c r="K44" s="45"/>
      <c r="L44" s="45"/>
      <c r="M44" s="45"/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86">
        <v>0</v>
      </c>
      <c r="T44" s="45">
        <v>0</v>
      </c>
      <c r="U44" s="46"/>
      <c r="V44" s="47"/>
      <c r="W44" s="101"/>
      <c r="X44" s="101"/>
      <c r="Y44" s="128"/>
    </row>
    <row r="45" spans="2:25" ht="19.5" thickTop="1" thickBot="1" x14ac:dyDescent="0.3">
      <c r="B45" s="158"/>
      <c r="C45" s="107"/>
      <c r="D45" s="101"/>
      <c r="E45" s="31" t="s">
        <v>4</v>
      </c>
      <c r="F45" s="45">
        <f t="shared" ref="F45:T45" si="37">IF(F44&lt;30,F43,F43+F44)</f>
        <v>0</v>
      </c>
      <c r="G45" s="45">
        <f t="shared" si="37"/>
        <v>0</v>
      </c>
      <c r="H45" s="45">
        <f t="shared" si="37"/>
        <v>27</v>
      </c>
      <c r="I45" s="45">
        <f t="shared" si="37"/>
        <v>0</v>
      </c>
      <c r="J45" s="45">
        <f t="shared" si="37"/>
        <v>28</v>
      </c>
      <c r="K45" s="45">
        <f t="shared" si="37"/>
        <v>0</v>
      </c>
      <c r="L45" s="45">
        <f t="shared" si="37"/>
        <v>32</v>
      </c>
      <c r="M45" s="45">
        <f t="shared" si="37"/>
        <v>28</v>
      </c>
      <c r="N45" s="45">
        <f t="shared" si="37"/>
        <v>0</v>
      </c>
      <c r="O45" s="45">
        <f t="shared" si="37"/>
        <v>0</v>
      </c>
      <c r="P45" s="45">
        <f t="shared" si="37"/>
        <v>0</v>
      </c>
      <c r="Q45" s="45">
        <f t="shared" si="37"/>
        <v>0</v>
      </c>
      <c r="R45" s="45">
        <f t="shared" si="37"/>
        <v>0</v>
      </c>
      <c r="S45" s="86">
        <f t="shared" si="37"/>
        <v>0</v>
      </c>
      <c r="T45" s="45">
        <f t="shared" si="37"/>
        <v>0</v>
      </c>
      <c r="U45" s="46"/>
      <c r="V45" s="47"/>
      <c r="W45" s="101"/>
      <c r="X45" s="101"/>
      <c r="Y45" s="128"/>
    </row>
    <row r="46" spans="2:25" ht="37.5" thickTop="1" thickBot="1" x14ac:dyDescent="0.3">
      <c r="B46" s="159"/>
      <c r="C46" s="108"/>
      <c r="D46" s="102"/>
      <c r="E46" s="32" t="s">
        <v>6</v>
      </c>
      <c r="F46" s="36">
        <f t="shared" ref="F46:M46" si="38">SUM(F42*F45)</f>
        <v>0</v>
      </c>
      <c r="G46" s="36">
        <f t="shared" si="38"/>
        <v>0</v>
      </c>
      <c r="H46" s="36">
        <f t="shared" si="38"/>
        <v>81</v>
      </c>
      <c r="I46" s="36">
        <f t="shared" si="38"/>
        <v>0</v>
      </c>
      <c r="J46" s="36">
        <f t="shared" si="38"/>
        <v>84</v>
      </c>
      <c r="K46" s="36">
        <f t="shared" si="38"/>
        <v>0</v>
      </c>
      <c r="L46" s="36">
        <f t="shared" si="38"/>
        <v>96</v>
      </c>
      <c r="M46" s="36">
        <f t="shared" si="38"/>
        <v>84</v>
      </c>
      <c r="N46" s="36">
        <f t="shared" ref="N46:T46" si="39">SUM(N42*N45)</f>
        <v>0</v>
      </c>
      <c r="O46" s="36">
        <f t="shared" si="39"/>
        <v>0</v>
      </c>
      <c r="P46" s="36">
        <f t="shared" si="39"/>
        <v>0</v>
      </c>
      <c r="Q46" s="36">
        <f t="shared" si="39"/>
        <v>0</v>
      </c>
      <c r="R46" s="36">
        <f t="shared" si="39"/>
        <v>0</v>
      </c>
      <c r="S46" s="87">
        <f t="shared" si="39"/>
        <v>0</v>
      </c>
      <c r="T46" s="36">
        <f t="shared" si="39"/>
        <v>0</v>
      </c>
      <c r="U46" s="50">
        <f>SUM(F46:T46)</f>
        <v>345</v>
      </c>
      <c r="V46" s="51">
        <f>SUM(U46/U42)</f>
        <v>28.75</v>
      </c>
      <c r="W46" s="102"/>
      <c r="X46" s="102"/>
      <c r="Y46" s="128"/>
    </row>
    <row r="47" spans="2:25" ht="20.25" thickTop="1" thickBot="1" x14ac:dyDescent="0.35">
      <c r="B47" s="160">
        <v>-9</v>
      </c>
      <c r="C47" s="106" t="s">
        <v>193</v>
      </c>
      <c r="D47" s="101" t="s">
        <v>329</v>
      </c>
      <c r="E47" s="67" t="s">
        <v>5</v>
      </c>
      <c r="F47" s="38">
        <f>IF(IF(F50=0,0,3),3,0)</f>
        <v>0</v>
      </c>
      <c r="G47" s="38">
        <f>IF(IF(G50=0,0,4),4,0)</f>
        <v>0</v>
      </c>
      <c r="H47" s="38">
        <f t="shared" ref="H47:M47" si="40">IF(IF(H50=0,0,3),3,0)</f>
        <v>3</v>
      </c>
      <c r="I47" s="38">
        <f t="shared" si="40"/>
        <v>0</v>
      </c>
      <c r="J47" s="38">
        <f t="shared" si="40"/>
        <v>3</v>
      </c>
      <c r="K47" s="38">
        <f t="shared" si="40"/>
        <v>0</v>
      </c>
      <c r="L47" s="38">
        <f t="shared" si="40"/>
        <v>3</v>
      </c>
      <c r="M47" s="38">
        <f t="shared" si="40"/>
        <v>3</v>
      </c>
      <c r="N47" s="38">
        <f>IF(IF(N50=0,0,4),4,0)</f>
        <v>0</v>
      </c>
      <c r="O47" s="38">
        <f t="shared" ref="O47:T47" si="41">IF(IF(O50=0,0,3),3,0)</f>
        <v>0</v>
      </c>
      <c r="P47" s="38">
        <f t="shared" si="41"/>
        <v>0</v>
      </c>
      <c r="Q47" s="38">
        <f t="shared" si="41"/>
        <v>0</v>
      </c>
      <c r="R47" s="38">
        <f t="shared" si="41"/>
        <v>0</v>
      </c>
      <c r="S47" s="38">
        <f t="shared" si="41"/>
        <v>0</v>
      </c>
      <c r="T47" s="38">
        <f t="shared" si="41"/>
        <v>0</v>
      </c>
      <c r="U47" s="38">
        <f>SUM(F47:T47)</f>
        <v>12</v>
      </c>
      <c r="V47" s="39"/>
      <c r="W47" s="112"/>
      <c r="X47" s="112"/>
      <c r="Y47" s="128"/>
    </row>
    <row r="48" spans="2:25" ht="19.5" thickTop="1" thickBot="1" x14ac:dyDescent="0.3">
      <c r="B48" s="158"/>
      <c r="C48" s="107"/>
      <c r="D48" s="101"/>
      <c r="E48" s="29" t="s">
        <v>216</v>
      </c>
      <c r="F48" s="41"/>
      <c r="G48" s="41"/>
      <c r="H48" s="41">
        <v>32</v>
      </c>
      <c r="I48" s="42"/>
      <c r="J48" s="42">
        <v>22</v>
      </c>
      <c r="K48" s="42"/>
      <c r="L48" s="42">
        <v>32</v>
      </c>
      <c r="M48" s="42">
        <v>33</v>
      </c>
      <c r="N48" s="41">
        <v>0</v>
      </c>
      <c r="O48" s="41">
        <v>0</v>
      </c>
      <c r="P48" s="41">
        <v>0</v>
      </c>
      <c r="Q48" s="42">
        <v>0</v>
      </c>
      <c r="R48" s="42">
        <v>0</v>
      </c>
      <c r="S48" s="42">
        <v>0</v>
      </c>
      <c r="T48" s="42">
        <v>0</v>
      </c>
      <c r="U48" s="42"/>
      <c r="V48" s="43"/>
      <c r="W48" s="101"/>
      <c r="X48" s="101"/>
      <c r="Y48" s="128"/>
    </row>
    <row r="49" spans="2:25" ht="19.5" thickTop="1" thickBot="1" x14ac:dyDescent="0.3">
      <c r="B49" s="158"/>
      <c r="C49" s="107"/>
      <c r="D49" s="101"/>
      <c r="E49" s="30" t="s">
        <v>3</v>
      </c>
      <c r="F49" s="45"/>
      <c r="G49" s="45"/>
      <c r="H49" s="45"/>
      <c r="I49" s="45"/>
      <c r="J49" s="45"/>
      <c r="K49" s="45"/>
      <c r="L49" s="45"/>
      <c r="M49" s="45"/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6"/>
      <c r="V49" s="47"/>
      <c r="W49" s="101"/>
      <c r="X49" s="101"/>
      <c r="Y49" s="128"/>
    </row>
    <row r="50" spans="2:25" ht="19.5" thickTop="1" thickBot="1" x14ac:dyDescent="0.3">
      <c r="B50" s="158"/>
      <c r="C50" s="107"/>
      <c r="D50" s="101"/>
      <c r="E50" s="31" t="s">
        <v>4</v>
      </c>
      <c r="F50" s="45">
        <f t="shared" ref="F50:T50" si="42">IF(F49&lt;30,F48,F48+F49)</f>
        <v>0</v>
      </c>
      <c r="G50" s="45">
        <f t="shared" si="42"/>
        <v>0</v>
      </c>
      <c r="H50" s="45">
        <f t="shared" si="42"/>
        <v>32</v>
      </c>
      <c r="I50" s="45">
        <f t="shared" si="42"/>
        <v>0</v>
      </c>
      <c r="J50" s="45">
        <f t="shared" si="42"/>
        <v>22</v>
      </c>
      <c r="K50" s="45">
        <f t="shared" si="42"/>
        <v>0</v>
      </c>
      <c r="L50" s="45">
        <f t="shared" si="42"/>
        <v>32</v>
      </c>
      <c r="M50" s="45">
        <f t="shared" si="42"/>
        <v>33</v>
      </c>
      <c r="N50" s="45">
        <f t="shared" si="42"/>
        <v>0</v>
      </c>
      <c r="O50" s="45">
        <f t="shared" si="42"/>
        <v>0</v>
      </c>
      <c r="P50" s="45">
        <f t="shared" si="42"/>
        <v>0</v>
      </c>
      <c r="Q50" s="45">
        <f t="shared" si="42"/>
        <v>0</v>
      </c>
      <c r="R50" s="45">
        <f t="shared" si="42"/>
        <v>0</v>
      </c>
      <c r="S50" s="45">
        <f t="shared" si="42"/>
        <v>0</v>
      </c>
      <c r="T50" s="45">
        <f t="shared" si="42"/>
        <v>0</v>
      </c>
      <c r="U50" s="46"/>
      <c r="V50" s="47"/>
      <c r="W50" s="101"/>
      <c r="X50" s="101"/>
      <c r="Y50" s="128"/>
    </row>
    <row r="51" spans="2:25" ht="37.5" thickTop="1" thickBot="1" x14ac:dyDescent="0.3">
      <c r="B51" s="158"/>
      <c r="C51" s="107"/>
      <c r="D51" s="102"/>
      <c r="E51" s="32" t="s">
        <v>6</v>
      </c>
      <c r="F51" s="36">
        <f t="shared" ref="F51:M51" si="43">SUM(F47*F50)</f>
        <v>0</v>
      </c>
      <c r="G51" s="36">
        <f t="shared" si="43"/>
        <v>0</v>
      </c>
      <c r="H51" s="36">
        <f t="shared" si="43"/>
        <v>96</v>
      </c>
      <c r="I51" s="36">
        <f t="shared" si="43"/>
        <v>0</v>
      </c>
      <c r="J51" s="36">
        <f t="shared" si="43"/>
        <v>66</v>
      </c>
      <c r="K51" s="36">
        <f t="shared" si="43"/>
        <v>0</v>
      </c>
      <c r="L51" s="36">
        <f t="shared" si="43"/>
        <v>96</v>
      </c>
      <c r="M51" s="36">
        <f t="shared" si="43"/>
        <v>99</v>
      </c>
      <c r="N51" s="36">
        <f t="shared" ref="N51:T51" si="44">SUM(N47*N50)</f>
        <v>0</v>
      </c>
      <c r="O51" s="36">
        <f t="shared" si="44"/>
        <v>0</v>
      </c>
      <c r="P51" s="36">
        <f t="shared" si="44"/>
        <v>0</v>
      </c>
      <c r="Q51" s="36">
        <f t="shared" si="44"/>
        <v>0</v>
      </c>
      <c r="R51" s="36">
        <f t="shared" si="44"/>
        <v>0</v>
      </c>
      <c r="S51" s="36">
        <f t="shared" si="44"/>
        <v>0</v>
      </c>
      <c r="T51" s="36">
        <f t="shared" si="44"/>
        <v>0</v>
      </c>
      <c r="U51" s="50">
        <f>SUM(F51:T51)</f>
        <v>357</v>
      </c>
      <c r="V51" s="51">
        <f>SUM(U51/U47)</f>
        <v>29.75</v>
      </c>
      <c r="W51" s="102"/>
      <c r="X51" s="102"/>
      <c r="Y51" s="128"/>
    </row>
    <row r="52" spans="2:25" ht="20.25" thickTop="1" thickBot="1" x14ac:dyDescent="0.35">
      <c r="B52" s="158">
        <v>-10</v>
      </c>
      <c r="C52" s="107" t="s">
        <v>67</v>
      </c>
      <c r="D52" s="101" t="s">
        <v>330</v>
      </c>
      <c r="E52" s="10" t="s">
        <v>5</v>
      </c>
      <c r="F52" s="38">
        <f>IF(IF(F55=0,0,3),3,0)</f>
        <v>0</v>
      </c>
      <c r="G52" s="38">
        <f>IF(IF(G55=0,0,4),4,0)</f>
        <v>0</v>
      </c>
      <c r="H52" s="38">
        <f t="shared" ref="H52:M52" si="45">IF(IF(H55=0,0,3),3,0)</f>
        <v>3</v>
      </c>
      <c r="I52" s="38">
        <f t="shared" si="45"/>
        <v>0</v>
      </c>
      <c r="J52" s="38">
        <f t="shared" si="45"/>
        <v>3</v>
      </c>
      <c r="K52" s="38">
        <f t="shared" si="45"/>
        <v>0</v>
      </c>
      <c r="L52" s="38">
        <f t="shared" si="45"/>
        <v>3</v>
      </c>
      <c r="M52" s="38">
        <f t="shared" si="45"/>
        <v>3</v>
      </c>
      <c r="N52" s="38">
        <f>IF(IF(N55=0,0,4),4,0)</f>
        <v>0</v>
      </c>
      <c r="O52" s="38">
        <f t="shared" ref="O52:T52" si="46">IF(IF(O55=0,0,3),3,0)</f>
        <v>0</v>
      </c>
      <c r="P52" s="38">
        <f t="shared" si="46"/>
        <v>0</v>
      </c>
      <c r="Q52" s="38">
        <f t="shared" si="46"/>
        <v>0</v>
      </c>
      <c r="R52" s="38">
        <f t="shared" si="46"/>
        <v>0</v>
      </c>
      <c r="S52" s="38">
        <f t="shared" si="46"/>
        <v>0</v>
      </c>
      <c r="T52" s="38">
        <f t="shared" si="46"/>
        <v>0</v>
      </c>
      <c r="U52" s="38">
        <f>SUM(F52:T52)</f>
        <v>12</v>
      </c>
      <c r="V52" s="39"/>
      <c r="W52" s="112"/>
      <c r="X52" s="112"/>
      <c r="Y52" s="128"/>
    </row>
    <row r="53" spans="2:25" ht="19.5" thickTop="1" thickBot="1" x14ac:dyDescent="0.3">
      <c r="B53" s="158"/>
      <c r="C53" s="107"/>
      <c r="D53" s="101"/>
      <c r="E53" s="33" t="s">
        <v>216</v>
      </c>
      <c r="F53" s="41"/>
      <c r="G53" s="41"/>
      <c r="H53" s="41">
        <v>30</v>
      </c>
      <c r="I53" s="42"/>
      <c r="J53" s="42">
        <v>30</v>
      </c>
      <c r="K53" s="42"/>
      <c r="L53" s="42">
        <v>32</v>
      </c>
      <c r="M53" s="42">
        <v>31</v>
      </c>
      <c r="N53" s="41">
        <v>0</v>
      </c>
      <c r="O53" s="41">
        <v>0</v>
      </c>
      <c r="P53" s="41">
        <v>0</v>
      </c>
      <c r="Q53" s="88">
        <v>0</v>
      </c>
      <c r="R53" s="42">
        <v>0</v>
      </c>
      <c r="S53" s="42">
        <v>0</v>
      </c>
      <c r="T53" s="42">
        <v>0</v>
      </c>
      <c r="U53" s="42"/>
      <c r="V53" s="43"/>
      <c r="W53" s="101"/>
      <c r="X53" s="101"/>
      <c r="Y53" s="128"/>
    </row>
    <row r="54" spans="2:25" ht="19.5" thickTop="1" thickBot="1" x14ac:dyDescent="0.3">
      <c r="B54" s="158"/>
      <c r="C54" s="107"/>
      <c r="D54" s="101"/>
      <c r="E54" s="30" t="s">
        <v>3</v>
      </c>
      <c r="F54" s="45"/>
      <c r="G54" s="45"/>
      <c r="H54" s="45"/>
      <c r="I54" s="45"/>
      <c r="J54" s="45"/>
      <c r="K54" s="45"/>
      <c r="L54" s="45"/>
      <c r="M54" s="45"/>
      <c r="N54" s="45">
        <v>0</v>
      </c>
      <c r="O54" s="45">
        <v>0</v>
      </c>
      <c r="P54" s="45">
        <v>0</v>
      </c>
      <c r="Q54" s="86">
        <v>0</v>
      </c>
      <c r="R54" s="45">
        <v>0</v>
      </c>
      <c r="S54" s="45">
        <v>0</v>
      </c>
      <c r="T54" s="45">
        <v>0</v>
      </c>
      <c r="U54" s="46"/>
      <c r="V54" s="47"/>
      <c r="W54" s="101"/>
      <c r="X54" s="101"/>
      <c r="Y54" s="128"/>
    </row>
    <row r="55" spans="2:25" ht="19.5" thickTop="1" thickBot="1" x14ac:dyDescent="0.3">
      <c r="B55" s="158"/>
      <c r="C55" s="107"/>
      <c r="D55" s="101"/>
      <c r="E55" s="31" t="s">
        <v>4</v>
      </c>
      <c r="F55" s="45">
        <f t="shared" ref="F55:T55" si="47">IF(F54&lt;30,F53,F53+F54)</f>
        <v>0</v>
      </c>
      <c r="G55" s="45">
        <f t="shared" si="47"/>
        <v>0</v>
      </c>
      <c r="H55" s="45">
        <f t="shared" si="47"/>
        <v>30</v>
      </c>
      <c r="I55" s="45">
        <f t="shared" si="47"/>
        <v>0</v>
      </c>
      <c r="J55" s="45">
        <f t="shared" si="47"/>
        <v>30</v>
      </c>
      <c r="K55" s="45">
        <f t="shared" si="47"/>
        <v>0</v>
      </c>
      <c r="L55" s="45">
        <f t="shared" si="47"/>
        <v>32</v>
      </c>
      <c r="M55" s="45">
        <f t="shared" si="47"/>
        <v>31</v>
      </c>
      <c r="N55" s="45">
        <f t="shared" si="47"/>
        <v>0</v>
      </c>
      <c r="O55" s="45">
        <f t="shared" si="47"/>
        <v>0</v>
      </c>
      <c r="P55" s="45">
        <f t="shared" si="47"/>
        <v>0</v>
      </c>
      <c r="Q55" s="86">
        <f t="shared" si="47"/>
        <v>0</v>
      </c>
      <c r="R55" s="45">
        <f t="shared" si="47"/>
        <v>0</v>
      </c>
      <c r="S55" s="45">
        <f t="shared" si="47"/>
        <v>0</v>
      </c>
      <c r="T55" s="45">
        <f t="shared" si="47"/>
        <v>0</v>
      </c>
      <c r="U55" s="46"/>
      <c r="V55" s="47"/>
      <c r="W55" s="101"/>
      <c r="X55" s="101"/>
      <c r="Y55" s="128"/>
    </row>
    <row r="56" spans="2:25" ht="37.5" thickTop="1" thickBot="1" x14ac:dyDescent="0.3">
      <c r="B56" s="161"/>
      <c r="C56" s="163"/>
      <c r="D56" s="102"/>
      <c r="E56" s="35" t="s">
        <v>6</v>
      </c>
      <c r="F56" s="36">
        <f t="shared" ref="F56:M56" si="48">SUM(F52*F55)</f>
        <v>0</v>
      </c>
      <c r="G56" s="36">
        <f t="shared" si="48"/>
        <v>0</v>
      </c>
      <c r="H56" s="36">
        <f t="shared" si="48"/>
        <v>90</v>
      </c>
      <c r="I56" s="36">
        <f t="shared" si="48"/>
        <v>0</v>
      </c>
      <c r="J56" s="36">
        <f t="shared" si="48"/>
        <v>90</v>
      </c>
      <c r="K56" s="36">
        <f t="shared" si="48"/>
        <v>0</v>
      </c>
      <c r="L56" s="36">
        <f t="shared" si="48"/>
        <v>96</v>
      </c>
      <c r="M56" s="36">
        <f t="shared" si="48"/>
        <v>93</v>
      </c>
      <c r="N56" s="36">
        <f t="shared" ref="N56:T56" si="49">SUM(N52*N55)</f>
        <v>0</v>
      </c>
      <c r="O56" s="36">
        <f t="shared" si="49"/>
        <v>0</v>
      </c>
      <c r="P56" s="36">
        <f t="shared" si="49"/>
        <v>0</v>
      </c>
      <c r="Q56" s="87">
        <f t="shared" si="49"/>
        <v>0</v>
      </c>
      <c r="R56" s="36">
        <f t="shared" si="49"/>
        <v>0</v>
      </c>
      <c r="S56" s="36">
        <f t="shared" si="49"/>
        <v>0</v>
      </c>
      <c r="T56" s="36">
        <f t="shared" si="49"/>
        <v>0</v>
      </c>
      <c r="U56" s="50">
        <f>SUM(F56:T56)</f>
        <v>369</v>
      </c>
      <c r="V56" s="51">
        <f>SUM(U56/U52)</f>
        <v>30.75</v>
      </c>
      <c r="W56" s="102"/>
      <c r="X56" s="102"/>
      <c r="Y56" s="128"/>
    </row>
    <row r="57" spans="2:25" ht="20.25" thickTop="1" thickBot="1" x14ac:dyDescent="0.35">
      <c r="B57" s="162">
        <v>-11</v>
      </c>
      <c r="C57" s="164" t="s">
        <v>63</v>
      </c>
      <c r="D57" s="101" t="s">
        <v>331</v>
      </c>
      <c r="E57" s="10" t="s">
        <v>5</v>
      </c>
      <c r="F57" s="38">
        <f>IF(IF(F60=0,0,3),3,0)</f>
        <v>0</v>
      </c>
      <c r="G57" s="38">
        <f>IF(IF(G60=0,0,4),4,0)</f>
        <v>0</v>
      </c>
      <c r="H57" s="38">
        <f t="shared" ref="H57:M57" si="50">IF(IF(H60=0,0,3),3,0)</f>
        <v>3</v>
      </c>
      <c r="I57" s="38">
        <f t="shared" si="50"/>
        <v>0</v>
      </c>
      <c r="J57" s="38">
        <f t="shared" si="50"/>
        <v>3</v>
      </c>
      <c r="K57" s="38">
        <f t="shared" si="50"/>
        <v>0</v>
      </c>
      <c r="L57" s="38">
        <f t="shared" si="50"/>
        <v>3</v>
      </c>
      <c r="M57" s="38">
        <f t="shared" si="50"/>
        <v>3</v>
      </c>
      <c r="N57" s="38">
        <f>IF(IF(N60=0,0,4),4,0)</f>
        <v>0</v>
      </c>
      <c r="O57" s="38">
        <f t="shared" ref="O57:T57" si="51">IF(IF(O60=0,0,3),3,0)</f>
        <v>0</v>
      </c>
      <c r="P57" s="38">
        <f t="shared" si="51"/>
        <v>0</v>
      </c>
      <c r="Q57" s="38">
        <f t="shared" si="51"/>
        <v>0</v>
      </c>
      <c r="R57" s="38">
        <f t="shared" si="51"/>
        <v>0</v>
      </c>
      <c r="S57" s="38">
        <f t="shared" si="51"/>
        <v>0</v>
      </c>
      <c r="T57" s="38">
        <f t="shared" si="51"/>
        <v>0</v>
      </c>
      <c r="U57" s="38">
        <f>SUM(F57:T57)</f>
        <v>12</v>
      </c>
      <c r="V57" s="39"/>
      <c r="W57" s="112"/>
      <c r="X57" s="112"/>
      <c r="Y57" s="128"/>
    </row>
    <row r="58" spans="2:25" ht="19.5" thickTop="1" thickBot="1" x14ac:dyDescent="0.3">
      <c r="B58" s="158"/>
      <c r="C58" s="107"/>
      <c r="D58" s="101"/>
      <c r="E58" s="33" t="s">
        <v>216</v>
      </c>
      <c r="F58" s="41"/>
      <c r="G58" s="41"/>
      <c r="H58" s="41">
        <v>33</v>
      </c>
      <c r="I58" s="42"/>
      <c r="J58" s="42">
        <v>40</v>
      </c>
      <c r="K58" s="42"/>
      <c r="L58" s="42">
        <v>35</v>
      </c>
      <c r="M58" s="42">
        <v>34</v>
      </c>
      <c r="N58" s="41">
        <v>0</v>
      </c>
      <c r="O58" s="41">
        <v>0</v>
      </c>
      <c r="P58" s="41">
        <v>0</v>
      </c>
      <c r="Q58" s="42">
        <v>0</v>
      </c>
      <c r="R58" s="42">
        <v>0</v>
      </c>
      <c r="S58" s="42">
        <v>0</v>
      </c>
      <c r="T58" s="42">
        <v>0</v>
      </c>
      <c r="U58" s="42"/>
      <c r="V58" s="43"/>
      <c r="W58" s="101"/>
      <c r="X58" s="101"/>
      <c r="Y58" s="128"/>
    </row>
    <row r="59" spans="2:25" ht="19.5" thickTop="1" thickBot="1" x14ac:dyDescent="0.3">
      <c r="B59" s="158"/>
      <c r="C59" s="107"/>
      <c r="D59" s="101"/>
      <c r="E59" s="30" t="s">
        <v>3</v>
      </c>
      <c r="F59" s="45"/>
      <c r="G59" s="45"/>
      <c r="H59" s="45"/>
      <c r="I59" s="45"/>
      <c r="J59" s="45"/>
      <c r="K59" s="45"/>
      <c r="L59" s="45"/>
      <c r="M59" s="45"/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6"/>
      <c r="V59" s="47"/>
      <c r="W59" s="101"/>
      <c r="X59" s="101"/>
      <c r="Y59" s="128"/>
    </row>
    <row r="60" spans="2:25" ht="19.5" thickTop="1" thickBot="1" x14ac:dyDescent="0.3">
      <c r="B60" s="158"/>
      <c r="C60" s="107"/>
      <c r="D60" s="101"/>
      <c r="E60" s="31" t="s">
        <v>4</v>
      </c>
      <c r="F60" s="45">
        <f t="shared" ref="F60:T60" si="52">IF(F59&lt;30,F58,F58+F59)</f>
        <v>0</v>
      </c>
      <c r="G60" s="45">
        <f t="shared" si="52"/>
        <v>0</v>
      </c>
      <c r="H60" s="45">
        <f t="shared" si="52"/>
        <v>33</v>
      </c>
      <c r="I60" s="45">
        <f t="shared" si="52"/>
        <v>0</v>
      </c>
      <c r="J60" s="45">
        <f t="shared" si="52"/>
        <v>40</v>
      </c>
      <c r="K60" s="45">
        <f t="shared" si="52"/>
        <v>0</v>
      </c>
      <c r="L60" s="45">
        <f t="shared" si="52"/>
        <v>35</v>
      </c>
      <c r="M60" s="45">
        <f t="shared" si="52"/>
        <v>34</v>
      </c>
      <c r="N60" s="45">
        <f t="shared" si="52"/>
        <v>0</v>
      </c>
      <c r="O60" s="45">
        <f t="shared" si="52"/>
        <v>0</v>
      </c>
      <c r="P60" s="45">
        <f t="shared" si="52"/>
        <v>0</v>
      </c>
      <c r="Q60" s="45">
        <f t="shared" si="52"/>
        <v>0</v>
      </c>
      <c r="R60" s="45">
        <f t="shared" si="52"/>
        <v>0</v>
      </c>
      <c r="S60" s="45">
        <f t="shared" si="52"/>
        <v>0</v>
      </c>
      <c r="T60" s="45">
        <f t="shared" si="52"/>
        <v>0</v>
      </c>
      <c r="U60" s="46"/>
      <c r="V60" s="47"/>
      <c r="W60" s="101"/>
      <c r="X60" s="101"/>
      <c r="Y60" s="128"/>
    </row>
    <row r="61" spans="2:25" ht="37.5" thickTop="1" thickBot="1" x14ac:dyDescent="0.3">
      <c r="B61" s="161"/>
      <c r="C61" s="163"/>
      <c r="D61" s="102"/>
      <c r="E61" s="35" t="s">
        <v>6</v>
      </c>
      <c r="F61" s="36">
        <f t="shared" ref="F61:M61" si="53">SUM(F57*F60)</f>
        <v>0</v>
      </c>
      <c r="G61" s="36">
        <f t="shared" si="53"/>
        <v>0</v>
      </c>
      <c r="H61" s="36">
        <f t="shared" si="53"/>
        <v>99</v>
      </c>
      <c r="I61" s="36">
        <f t="shared" si="53"/>
        <v>0</v>
      </c>
      <c r="J61" s="36">
        <f t="shared" si="53"/>
        <v>120</v>
      </c>
      <c r="K61" s="36">
        <f t="shared" si="53"/>
        <v>0</v>
      </c>
      <c r="L61" s="36">
        <f t="shared" si="53"/>
        <v>105</v>
      </c>
      <c r="M61" s="36">
        <f t="shared" si="53"/>
        <v>102</v>
      </c>
      <c r="N61" s="36">
        <f t="shared" ref="N61:T61" si="54">SUM(N57*N60)</f>
        <v>0</v>
      </c>
      <c r="O61" s="36">
        <f t="shared" si="54"/>
        <v>0</v>
      </c>
      <c r="P61" s="36">
        <f t="shared" si="54"/>
        <v>0</v>
      </c>
      <c r="Q61" s="36">
        <f t="shared" si="54"/>
        <v>0</v>
      </c>
      <c r="R61" s="36">
        <f t="shared" si="54"/>
        <v>0</v>
      </c>
      <c r="S61" s="36">
        <f t="shared" si="54"/>
        <v>0</v>
      </c>
      <c r="T61" s="36">
        <f t="shared" si="54"/>
        <v>0</v>
      </c>
      <c r="U61" s="50">
        <f>SUM(F61:T61)</f>
        <v>426</v>
      </c>
      <c r="V61" s="51">
        <f>SUM(U61/U57)</f>
        <v>35.5</v>
      </c>
      <c r="W61" s="102"/>
      <c r="X61" s="102"/>
      <c r="Y61" s="128"/>
    </row>
    <row r="62" spans="2:25" ht="20.25" thickTop="1" thickBot="1" x14ac:dyDescent="0.35">
      <c r="B62" s="162">
        <v>-12</v>
      </c>
      <c r="C62" s="164" t="s">
        <v>194</v>
      </c>
      <c r="D62" s="112" t="s">
        <v>332</v>
      </c>
      <c r="E62" s="10" t="s">
        <v>5</v>
      </c>
      <c r="F62" s="38">
        <f>IF(IF(F65=0,0,3),3,0)</f>
        <v>0</v>
      </c>
      <c r="G62" s="38">
        <f>IF(IF(G65=0,0,4),4,0)</f>
        <v>0</v>
      </c>
      <c r="H62" s="38">
        <f t="shared" ref="H62:M62" si="55">IF(IF(H65=0,0,3),3,0)</f>
        <v>3</v>
      </c>
      <c r="I62" s="38">
        <f t="shared" si="55"/>
        <v>0</v>
      </c>
      <c r="J62" s="38">
        <f t="shared" si="55"/>
        <v>3</v>
      </c>
      <c r="K62" s="38">
        <f t="shared" si="55"/>
        <v>0</v>
      </c>
      <c r="L62" s="38">
        <f t="shared" si="55"/>
        <v>3</v>
      </c>
      <c r="M62" s="38">
        <f t="shared" si="55"/>
        <v>3</v>
      </c>
      <c r="N62" s="38">
        <f>IF(IF(N65=0,0,4),4,0)</f>
        <v>0</v>
      </c>
      <c r="O62" s="38">
        <f t="shared" ref="O62:T62" si="56">IF(IF(O65=0,0,3),3,0)</f>
        <v>0</v>
      </c>
      <c r="P62" s="38">
        <f t="shared" si="56"/>
        <v>0</v>
      </c>
      <c r="Q62" s="38">
        <f t="shared" si="56"/>
        <v>0</v>
      </c>
      <c r="R62" s="38">
        <f t="shared" si="56"/>
        <v>0</v>
      </c>
      <c r="S62" s="38">
        <f t="shared" si="56"/>
        <v>0</v>
      </c>
      <c r="T62" s="38">
        <f t="shared" si="56"/>
        <v>0</v>
      </c>
      <c r="U62" s="38">
        <f>SUM(F62:T62)</f>
        <v>12</v>
      </c>
      <c r="V62" s="39"/>
      <c r="W62" s="112"/>
      <c r="X62" s="112"/>
      <c r="Y62" s="128"/>
    </row>
    <row r="63" spans="2:25" ht="19.5" thickTop="1" thickBot="1" x14ac:dyDescent="0.3">
      <c r="B63" s="158"/>
      <c r="C63" s="107"/>
      <c r="D63" s="101"/>
      <c r="E63" s="33" t="s">
        <v>216</v>
      </c>
      <c r="F63" s="41"/>
      <c r="G63" s="41"/>
      <c r="H63" s="41">
        <v>35</v>
      </c>
      <c r="I63" s="42"/>
      <c r="J63" s="42">
        <v>38</v>
      </c>
      <c r="K63" s="42"/>
      <c r="L63" s="42">
        <v>36</v>
      </c>
      <c r="M63" s="42">
        <v>36</v>
      </c>
      <c r="N63" s="41">
        <v>0</v>
      </c>
      <c r="O63" s="41">
        <v>0</v>
      </c>
      <c r="P63" s="41">
        <v>0</v>
      </c>
      <c r="Q63" s="42">
        <v>0</v>
      </c>
      <c r="R63" s="42">
        <v>0</v>
      </c>
      <c r="S63" s="42">
        <v>0</v>
      </c>
      <c r="T63" s="42">
        <v>0</v>
      </c>
      <c r="U63" s="42"/>
      <c r="V63" s="43"/>
      <c r="W63" s="101"/>
      <c r="X63" s="101"/>
      <c r="Y63" s="128"/>
    </row>
    <row r="64" spans="2:25" ht="19.5" thickTop="1" thickBot="1" x14ac:dyDescent="0.3">
      <c r="B64" s="158"/>
      <c r="C64" s="107"/>
      <c r="D64" s="101"/>
      <c r="E64" s="30" t="s">
        <v>3</v>
      </c>
      <c r="F64" s="45"/>
      <c r="G64" s="45"/>
      <c r="H64" s="45"/>
      <c r="I64" s="45"/>
      <c r="J64" s="45"/>
      <c r="K64" s="45"/>
      <c r="L64" s="45"/>
      <c r="M64" s="45"/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5">
        <v>0</v>
      </c>
      <c r="U64" s="46"/>
      <c r="V64" s="47"/>
      <c r="W64" s="101"/>
      <c r="X64" s="101"/>
      <c r="Y64" s="128"/>
    </row>
    <row r="65" spans="2:25" ht="19.5" thickTop="1" thickBot="1" x14ac:dyDescent="0.3">
      <c r="B65" s="158"/>
      <c r="C65" s="107"/>
      <c r="D65" s="101"/>
      <c r="E65" s="31" t="s">
        <v>4</v>
      </c>
      <c r="F65" s="45">
        <f t="shared" ref="F65:T65" si="57">IF(F64&lt;30,F63,F63+F64)</f>
        <v>0</v>
      </c>
      <c r="G65" s="45">
        <f t="shared" si="57"/>
        <v>0</v>
      </c>
      <c r="H65" s="45">
        <f t="shared" si="57"/>
        <v>35</v>
      </c>
      <c r="I65" s="45">
        <f t="shared" si="57"/>
        <v>0</v>
      </c>
      <c r="J65" s="45">
        <f t="shared" si="57"/>
        <v>38</v>
      </c>
      <c r="K65" s="45">
        <f t="shared" si="57"/>
        <v>0</v>
      </c>
      <c r="L65" s="45">
        <f t="shared" si="57"/>
        <v>36</v>
      </c>
      <c r="M65" s="45">
        <f t="shared" si="57"/>
        <v>36</v>
      </c>
      <c r="N65" s="45">
        <f t="shared" si="57"/>
        <v>0</v>
      </c>
      <c r="O65" s="45">
        <f t="shared" si="57"/>
        <v>0</v>
      </c>
      <c r="P65" s="45">
        <f t="shared" si="57"/>
        <v>0</v>
      </c>
      <c r="Q65" s="45">
        <f t="shared" si="57"/>
        <v>0</v>
      </c>
      <c r="R65" s="45">
        <f t="shared" si="57"/>
        <v>0</v>
      </c>
      <c r="S65" s="45">
        <f t="shared" si="57"/>
        <v>0</v>
      </c>
      <c r="T65" s="45">
        <f t="shared" si="57"/>
        <v>0</v>
      </c>
      <c r="U65" s="46"/>
      <c r="V65" s="47"/>
      <c r="W65" s="101"/>
      <c r="X65" s="101"/>
      <c r="Y65" s="128"/>
    </row>
    <row r="66" spans="2:25" ht="37.5" thickTop="1" thickBot="1" x14ac:dyDescent="0.3">
      <c r="B66" s="159"/>
      <c r="C66" s="108"/>
      <c r="D66" s="102"/>
      <c r="E66" s="32" t="s">
        <v>6</v>
      </c>
      <c r="F66" s="36">
        <f t="shared" ref="F66:M66" si="58">SUM(F62*F65)</f>
        <v>0</v>
      </c>
      <c r="G66" s="36">
        <f t="shared" si="58"/>
        <v>0</v>
      </c>
      <c r="H66" s="36">
        <f t="shared" si="58"/>
        <v>105</v>
      </c>
      <c r="I66" s="36">
        <f t="shared" si="58"/>
        <v>0</v>
      </c>
      <c r="J66" s="36">
        <f t="shared" si="58"/>
        <v>114</v>
      </c>
      <c r="K66" s="36">
        <f t="shared" si="58"/>
        <v>0</v>
      </c>
      <c r="L66" s="36">
        <f t="shared" si="58"/>
        <v>108</v>
      </c>
      <c r="M66" s="36">
        <f t="shared" si="58"/>
        <v>108</v>
      </c>
      <c r="N66" s="36">
        <f t="shared" ref="N66:T66" si="59">SUM(N62*N65)</f>
        <v>0</v>
      </c>
      <c r="O66" s="36">
        <f t="shared" si="59"/>
        <v>0</v>
      </c>
      <c r="P66" s="36">
        <f t="shared" si="59"/>
        <v>0</v>
      </c>
      <c r="Q66" s="36">
        <f t="shared" si="59"/>
        <v>0</v>
      </c>
      <c r="R66" s="36">
        <f t="shared" si="59"/>
        <v>0</v>
      </c>
      <c r="S66" s="36">
        <f t="shared" si="59"/>
        <v>0</v>
      </c>
      <c r="T66" s="36">
        <f t="shared" si="59"/>
        <v>0</v>
      </c>
      <c r="U66" s="50">
        <f>SUM(F66:T66)</f>
        <v>435</v>
      </c>
      <c r="V66" s="51">
        <f>SUM(U66/U62)</f>
        <v>36.25</v>
      </c>
      <c r="W66" s="102"/>
      <c r="X66" s="102"/>
      <c r="Y66" s="128"/>
    </row>
    <row r="67" spans="2:25" ht="20.25" thickTop="1" thickBot="1" x14ac:dyDescent="0.35">
      <c r="B67" s="160">
        <v>-13</v>
      </c>
      <c r="C67" s="106" t="s">
        <v>195</v>
      </c>
      <c r="D67" s="112" t="s">
        <v>261</v>
      </c>
      <c r="E67" s="10" t="s">
        <v>5</v>
      </c>
      <c r="F67" s="38">
        <f>IF(IF(F70=0,0,3),3,0)</f>
        <v>0</v>
      </c>
      <c r="G67" s="38">
        <f>IF(IF(G70=0,0,4),4,0)</f>
        <v>0</v>
      </c>
      <c r="H67" s="38">
        <f t="shared" ref="H67:M67" si="60">IF(IF(H70=0,0,3),3,0)</f>
        <v>3</v>
      </c>
      <c r="I67" s="38">
        <f t="shared" si="60"/>
        <v>0</v>
      </c>
      <c r="J67" s="38">
        <f t="shared" si="60"/>
        <v>3</v>
      </c>
      <c r="K67" s="38">
        <f t="shared" si="60"/>
        <v>0</v>
      </c>
      <c r="L67" s="38">
        <f t="shared" si="60"/>
        <v>3</v>
      </c>
      <c r="M67" s="38">
        <f t="shared" si="60"/>
        <v>3</v>
      </c>
      <c r="N67" s="38">
        <f>IF(IF(N70=0,0,4),4,0)</f>
        <v>0</v>
      </c>
      <c r="O67" s="38">
        <f t="shared" ref="O67:T67" si="61">IF(IF(O70=0,0,3),3,0)</f>
        <v>0</v>
      </c>
      <c r="P67" s="38">
        <f t="shared" si="61"/>
        <v>0</v>
      </c>
      <c r="Q67" s="38">
        <f t="shared" si="61"/>
        <v>0</v>
      </c>
      <c r="R67" s="38">
        <f t="shared" si="61"/>
        <v>0</v>
      </c>
      <c r="S67" s="38">
        <f t="shared" si="61"/>
        <v>0</v>
      </c>
      <c r="T67" s="38">
        <f t="shared" si="61"/>
        <v>0</v>
      </c>
      <c r="U67" s="38">
        <f>SUM(F67:T67)</f>
        <v>12</v>
      </c>
      <c r="V67" s="39"/>
      <c r="W67" s="112"/>
      <c r="X67" s="112"/>
      <c r="Y67" s="128"/>
    </row>
    <row r="68" spans="2:25" ht="19.5" thickTop="1" thickBot="1" x14ac:dyDescent="0.3">
      <c r="B68" s="158"/>
      <c r="C68" s="107"/>
      <c r="D68" s="101"/>
      <c r="E68" s="33" t="s">
        <v>216</v>
      </c>
      <c r="F68" s="41"/>
      <c r="G68" s="41"/>
      <c r="H68" s="41">
        <v>26</v>
      </c>
      <c r="I68" s="42"/>
      <c r="J68" s="42">
        <v>26</v>
      </c>
      <c r="K68" s="42"/>
      <c r="L68" s="42">
        <v>27</v>
      </c>
      <c r="M68" s="42">
        <v>27</v>
      </c>
      <c r="N68" s="41">
        <v>0</v>
      </c>
      <c r="O68" s="41">
        <v>0</v>
      </c>
      <c r="P68" s="41">
        <v>0</v>
      </c>
      <c r="Q68" s="42">
        <v>0</v>
      </c>
      <c r="R68" s="42">
        <v>0</v>
      </c>
      <c r="S68" s="42">
        <v>0</v>
      </c>
      <c r="T68" s="42">
        <v>0</v>
      </c>
      <c r="U68" s="42"/>
      <c r="V68" s="43"/>
      <c r="W68" s="101"/>
      <c r="X68" s="101"/>
      <c r="Y68" s="128"/>
    </row>
    <row r="69" spans="2:25" ht="19.5" thickTop="1" thickBot="1" x14ac:dyDescent="0.3">
      <c r="B69" s="158"/>
      <c r="C69" s="107"/>
      <c r="D69" s="101"/>
      <c r="E69" s="30" t="s">
        <v>3</v>
      </c>
      <c r="F69" s="45"/>
      <c r="G69" s="45"/>
      <c r="H69" s="45"/>
      <c r="I69" s="45"/>
      <c r="J69" s="45"/>
      <c r="K69" s="45"/>
      <c r="L69" s="45"/>
      <c r="M69" s="45"/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6"/>
      <c r="V69" s="47"/>
      <c r="W69" s="101"/>
      <c r="X69" s="101"/>
      <c r="Y69" s="128"/>
    </row>
    <row r="70" spans="2:25" ht="19.5" thickTop="1" thickBot="1" x14ac:dyDescent="0.3">
      <c r="B70" s="158"/>
      <c r="C70" s="107"/>
      <c r="D70" s="101"/>
      <c r="E70" s="31" t="s">
        <v>4</v>
      </c>
      <c r="F70" s="45">
        <f t="shared" ref="F70:T70" si="62">IF(F69&lt;30,F68,F68+F69)</f>
        <v>0</v>
      </c>
      <c r="G70" s="45">
        <f t="shared" si="62"/>
        <v>0</v>
      </c>
      <c r="H70" s="45">
        <f t="shared" si="62"/>
        <v>26</v>
      </c>
      <c r="I70" s="45">
        <f t="shared" si="62"/>
        <v>0</v>
      </c>
      <c r="J70" s="45">
        <f t="shared" si="62"/>
        <v>26</v>
      </c>
      <c r="K70" s="45">
        <f t="shared" si="62"/>
        <v>0</v>
      </c>
      <c r="L70" s="45">
        <f t="shared" si="62"/>
        <v>27</v>
      </c>
      <c r="M70" s="45">
        <f t="shared" si="62"/>
        <v>27</v>
      </c>
      <c r="N70" s="45">
        <f t="shared" si="62"/>
        <v>0</v>
      </c>
      <c r="O70" s="45">
        <f t="shared" si="62"/>
        <v>0</v>
      </c>
      <c r="P70" s="45">
        <f t="shared" si="62"/>
        <v>0</v>
      </c>
      <c r="Q70" s="45">
        <f t="shared" si="62"/>
        <v>0</v>
      </c>
      <c r="R70" s="45">
        <f t="shared" si="62"/>
        <v>0</v>
      </c>
      <c r="S70" s="45">
        <f t="shared" si="62"/>
        <v>0</v>
      </c>
      <c r="T70" s="45">
        <f t="shared" si="62"/>
        <v>0</v>
      </c>
      <c r="U70" s="46"/>
      <c r="V70" s="47"/>
      <c r="W70" s="101"/>
      <c r="X70" s="101"/>
      <c r="Y70" s="128"/>
    </row>
    <row r="71" spans="2:25" ht="37.5" thickTop="1" thickBot="1" x14ac:dyDescent="0.3">
      <c r="B71" s="159"/>
      <c r="C71" s="108"/>
      <c r="D71" s="102"/>
      <c r="E71" s="32" t="s">
        <v>6</v>
      </c>
      <c r="F71" s="36">
        <f t="shared" ref="F71:M71" si="63">SUM(F67*F70)</f>
        <v>0</v>
      </c>
      <c r="G71" s="36">
        <f t="shared" si="63"/>
        <v>0</v>
      </c>
      <c r="H71" s="36">
        <f t="shared" si="63"/>
        <v>78</v>
      </c>
      <c r="I71" s="36">
        <f t="shared" si="63"/>
        <v>0</v>
      </c>
      <c r="J71" s="36">
        <f t="shared" si="63"/>
        <v>78</v>
      </c>
      <c r="K71" s="36">
        <f t="shared" si="63"/>
        <v>0</v>
      </c>
      <c r="L71" s="36">
        <f t="shared" si="63"/>
        <v>81</v>
      </c>
      <c r="M71" s="36">
        <f t="shared" si="63"/>
        <v>81</v>
      </c>
      <c r="N71" s="36">
        <f t="shared" ref="N71:T71" si="64">SUM(N67*N70)</f>
        <v>0</v>
      </c>
      <c r="O71" s="36">
        <f t="shared" si="64"/>
        <v>0</v>
      </c>
      <c r="P71" s="36">
        <f t="shared" si="64"/>
        <v>0</v>
      </c>
      <c r="Q71" s="36">
        <f t="shared" si="64"/>
        <v>0</v>
      </c>
      <c r="R71" s="36">
        <f t="shared" si="64"/>
        <v>0</v>
      </c>
      <c r="S71" s="36">
        <f t="shared" si="64"/>
        <v>0</v>
      </c>
      <c r="T71" s="36">
        <f t="shared" si="64"/>
        <v>0</v>
      </c>
      <c r="U71" s="50">
        <f>SUM(F71:T71)</f>
        <v>318</v>
      </c>
      <c r="V71" s="51">
        <f>SUM(U71/U67)</f>
        <v>26.5</v>
      </c>
      <c r="W71" s="102"/>
      <c r="X71" s="102"/>
      <c r="Y71" s="128"/>
    </row>
    <row r="72" spans="2:25" ht="20.25" thickTop="1" thickBot="1" x14ac:dyDescent="0.35">
      <c r="B72" s="160">
        <v>-14</v>
      </c>
      <c r="C72" s="106" t="s">
        <v>197</v>
      </c>
      <c r="D72" s="112" t="s">
        <v>333</v>
      </c>
      <c r="E72" s="10" t="s">
        <v>5</v>
      </c>
      <c r="F72" s="38">
        <f>IF(IF(F75=0,0,3),3,0)</f>
        <v>0</v>
      </c>
      <c r="G72" s="38">
        <f>IF(IF(G75=0,0,4),4,0)</f>
        <v>0</v>
      </c>
      <c r="H72" s="38">
        <f t="shared" ref="H72:M72" si="65">IF(IF(H75=0,0,3),3,0)</f>
        <v>3</v>
      </c>
      <c r="I72" s="38">
        <f t="shared" si="65"/>
        <v>0</v>
      </c>
      <c r="J72" s="38">
        <f t="shared" si="65"/>
        <v>3</v>
      </c>
      <c r="K72" s="38">
        <f t="shared" si="65"/>
        <v>0</v>
      </c>
      <c r="L72" s="38">
        <f t="shared" si="65"/>
        <v>3</v>
      </c>
      <c r="M72" s="38">
        <f t="shared" si="65"/>
        <v>3</v>
      </c>
      <c r="N72" s="38">
        <f>IF(IF(N75=0,0,4),4,0)</f>
        <v>0</v>
      </c>
      <c r="O72" s="38">
        <f t="shared" ref="O72:T72" si="66">IF(IF(O75=0,0,3),3,0)</f>
        <v>0</v>
      </c>
      <c r="P72" s="38">
        <f t="shared" si="66"/>
        <v>0</v>
      </c>
      <c r="Q72" s="38">
        <f t="shared" si="66"/>
        <v>0</v>
      </c>
      <c r="R72" s="38">
        <f t="shared" si="66"/>
        <v>0</v>
      </c>
      <c r="S72" s="38">
        <f t="shared" si="66"/>
        <v>0</v>
      </c>
      <c r="T72" s="38">
        <f t="shared" si="66"/>
        <v>0</v>
      </c>
      <c r="U72" s="38">
        <f>SUM(F72:T72)</f>
        <v>12</v>
      </c>
      <c r="V72" s="39"/>
      <c r="W72" s="112"/>
      <c r="X72" s="112"/>
      <c r="Y72" s="128"/>
    </row>
    <row r="73" spans="2:25" ht="19.5" thickTop="1" thickBot="1" x14ac:dyDescent="0.3">
      <c r="B73" s="158"/>
      <c r="C73" s="107"/>
      <c r="D73" s="101"/>
      <c r="E73" s="33" t="s">
        <v>216</v>
      </c>
      <c r="F73" s="41"/>
      <c r="G73" s="41"/>
      <c r="H73" s="41">
        <v>25</v>
      </c>
      <c r="I73" s="42"/>
      <c r="J73" s="42">
        <v>38</v>
      </c>
      <c r="K73" s="42"/>
      <c r="L73" s="42">
        <v>28</v>
      </c>
      <c r="M73" s="42">
        <v>27</v>
      </c>
      <c r="N73" s="41">
        <v>0</v>
      </c>
      <c r="O73" s="41">
        <v>0</v>
      </c>
      <c r="P73" s="41">
        <v>0</v>
      </c>
      <c r="Q73" s="42">
        <v>0</v>
      </c>
      <c r="R73" s="42">
        <v>0</v>
      </c>
      <c r="S73" s="42">
        <v>0</v>
      </c>
      <c r="T73" s="42">
        <v>0</v>
      </c>
      <c r="U73" s="42"/>
      <c r="V73" s="43"/>
      <c r="W73" s="101"/>
      <c r="X73" s="101"/>
      <c r="Y73" s="128"/>
    </row>
    <row r="74" spans="2:25" ht="19.5" thickTop="1" thickBot="1" x14ac:dyDescent="0.3">
      <c r="B74" s="158"/>
      <c r="C74" s="107"/>
      <c r="D74" s="101"/>
      <c r="E74" s="30" t="s">
        <v>3</v>
      </c>
      <c r="F74" s="45"/>
      <c r="G74" s="45"/>
      <c r="H74" s="45"/>
      <c r="I74" s="45"/>
      <c r="J74" s="45"/>
      <c r="K74" s="45"/>
      <c r="L74" s="45"/>
      <c r="M74" s="45"/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6"/>
      <c r="V74" s="47"/>
      <c r="W74" s="101"/>
      <c r="X74" s="101"/>
      <c r="Y74" s="128"/>
    </row>
    <row r="75" spans="2:25" ht="19.5" thickTop="1" thickBot="1" x14ac:dyDescent="0.3">
      <c r="B75" s="158"/>
      <c r="C75" s="107"/>
      <c r="D75" s="101"/>
      <c r="E75" s="31" t="s">
        <v>4</v>
      </c>
      <c r="F75" s="45">
        <f t="shared" ref="F75:T75" si="67">IF(F74&lt;30,F73,F73+F74)</f>
        <v>0</v>
      </c>
      <c r="G75" s="45">
        <f t="shared" si="67"/>
        <v>0</v>
      </c>
      <c r="H75" s="45">
        <f t="shared" si="67"/>
        <v>25</v>
      </c>
      <c r="I75" s="45">
        <f t="shared" si="67"/>
        <v>0</v>
      </c>
      <c r="J75" s="45">
        <f t="shared" si="67"/>
        <v>38</v>
      </c>
      <c r="K75" s="45">
        <f t="shared" si="67"/>
        <v>0</v>
      </c>
      <c r="L75" s="45">
        <f t="shared" si="67"/>
        <v>28</v>
      </c>
      <c r="M75" s="45">
        <f t="shared" si="67"/>
        <v>27</v>
      </c>
      <c r="N75" s="45">
        <f t="shared" si="67"/>
        <v>0</v>
      </c>
      <c r="O75" s="45">
        <f t="shared" si="67"/>
        <v>0</v>
      </c>
      <c r="P75" s="45">
        <f t="shared" si="67"/>
        <v>0</v>
      </c>
      <c r="Q75" s="45">
        <f t="shared" si="67"/>
        <v>0</v>
      </c>
      <c r="R75" s="45">
        <f t="shared" si="67"/>
        <v>0</v>
      </c>
      <c r="S75" s="45">
        <f t="shared" si="67"/>
        <v>0</v>
      </c>
      <c r="T75" s="45">
        <f t="shared" si="67"/>
        <v>0</v>
      </c>
      <c r="U75" s="46"/>
      <c r="V75" s="47"/>
      <c r="W75" s="101"/>
      <c r="X75" s="101"/>
      <c r="Y75" s="128"/>
    </row>
    <row r="76" spans="2:25" ht="37.5" thickTop="1" thickBot="1" x14ac:dyDescent="0.3">
      <c r="B76" s="166"/>
      <c r="C76" s="108"/>
      <c r="D76" s="102"/>
      <c r="E76" s="32" t="s">
        <v>6</v>
      </c>
      <c r="F76" s="53">
        <f t="shared" ref="F76:M76" si="68">SUM(F72*F75)</f>
        <v>0</v>
      </c>
      <c r="G76" s="53">
        <f t="shared" si="68"/>
        <v>0</v>
      </c>
      <c r="H76" s="53">
        <f t="shared" si="68"/>
        <v>75</v>
      </c>
      <c r="I76" s="53">
        <f t="shared" si="68"/>
        <v>0</v>
      </c>
      <c r="J76" s="53">
        <f t="shared" si="68"/>
        <v>114</v>
      </c>
      <c r="K76" s="53">
        <f t="shared" si="68"/>
        <v>0</v>
      </c>
      <c r="L76" s="53">
        <f t="shared" si="68"/>
        <v>84</v>
      </c>
      <c r="M76" s="53">
        <f t="shared" si="68"/>
        <v>81</v>
      </c>
      <c r="N76" s="53">
        <f t="shared" ref="N76:T76" si="69">SUM(N72*N75)</f>
        <v>0</v>
      </c>
      <c r="O76" s="53">
        <f t="shared" si="69"/>
        <v>0</v>
      </c>
      <c r="P76" s="53">
        <f t="shared" si="69"/>
        <v>0</v>
      </c>
      <c r="Q76" s="53">
        <f t="shared" si="69"/>
        <v>0</v>
      </c>
      <c r="R76" s="53">
        <f t="shared" si="69"/>
        <v>0</v>
      </c>
      <c r="S76" s="53">
        <f t="shared" si="69"/>
        <v>0</v>
      </c>
      <c r="T76" s="53">
        <f t="shared" si="69"/>
        <v>0</v>
      </c>
      <c r="U76" s="53">
        <f>SUM(F76:T76)</f>
        <v>354</v>
      </c>
      <c r="V76" s="51">
        <f>SUM(U76/U72)</f>
        <v>29.5</v>
      </c>
      <c r="W76" s="102"/>
      <c r="X76" s="102"/>
      <c r="Y76" s="129"/>
    </row>
    <row r="77" spans="2:25" ht="20.25" thickTop="1" thickBot="1" x14ac:dyDescent="0.35">
      <c r="B77" s="157">
        <v>-15</v>
      </c>
      <c r="C77" s="106" t="s">
        <v>196</v>
      </c>
      <c r="D77" s="112" t="s">
        <v>334</v>
      </c>
      <c r="E77" s="9" t="s">
        <v>5</v>
      </c>
      <c r="F77" s="38">
        <f>IF(IF(F80=0,0,3),3,0)</f>
        <v>0</v>
      </c>
      <c r="G77" s="38">
        <f>IF(IF(G80=0,0,4),4,0)</f>
        <v>0</v>
      </c>
      <c r="H77" s="38">
        <f t="shared" ref="H77:M77" si="70">IF(IF(H80=0,0,3),3,0)</f>
        <v>3</v>
      </c>
      <c r="I77" s="38">
        <f t="shared" si="70"/>
        <v>0</v>
      </c>
      <c r="J77" s="38">
        <f t="shared" si="70"/>
        <v>0</v>
      </c>
      <c r="K77" s="38">
        <f t="shared" si="70"/>
        <v>0</v>
      </c>
      <c r="L77" s="38">
        <f t="shared" si="70"/>
        <v>3</v>
      </c>
      <c r="M77" s="38">
        <f t="shared" si="70"/>
        <v>3</v>
      </c>
      <c r="N77" s="38">
        <f>IF(IF(N80=0,0,4),4,0)</f>
        <v>0</v>
      </c>
      <c r="O77" s="38">
        <f t="shared" ref="O77:T77" si="71">IF(IF(O80=0,0,3),3,0)</f>
        <v>0</v>
      </c>
      <c r="P77" s="38">
        <f t="shared" si="71"/>
        <v>0</v>
      </c>
      <c r="Q77" s="38">
        <f t="shared" si="71"/>
        <v>0</v>
      </c>
      <c r="R77" s="38">
        <f t="shared" si="71"/>
        <v>0</v>
      </c>
      <c r="S77" s="38">
        <f t="shared" si="71"/>
        <v>0</v>
      </c>
      <c r="T77" s="38">
        <f t="shared" si="71"/>
        <v>0</v>
      </c>
      <c r="U77" s="38">
        <f>SUM(F77:T77)</f>
        <v>9</v>
      </c>
      <c r="V77" s="39"/>
      <c r="W77" s="112"/>
      <c r="X77" s="112"/>
      <c r="Y77" s="141"/>
    </row>
    <row r="78" spans="2:25" ht="19.5" thickTop="1" thickBot="1" x14ac:dyDescent="0.3">
      <c r="B78" s="158"/>
      <c r="C78" s="107"/>
      <c r="D78" s="101"/>
      <c r="E78" s="29" t="s">
        <v>216</v>
      </c>
      <c r="F78" s="41"/>
      <c r="G78" s="41"/>
      <c r="H78" s="41">
        <v>30</v>
      </c>
      <c r="I78" s="42"/>
      <c r="J78" s="90"/>
      <c r="K78" s="42"/>
      <c r="L78" s="42">
        <v>31</v>
      </c>
      <c r="M78" s="42">
        <v>28</v>
      </c>
      <c r="N78" s="41">
        <v>0</v>
      </c>
      <c r="O78" s="41">
        <v>0</v>
      </c>
      <c r="P78" s="41">
        <v>0</v>
      </c>
      <c r="Q78" s="42">
        <v>0</v>
      </c>
      <c r="R78" s="42">
        <v>0</v>
      </c>
      <c r="S78" s="42">
        <v>0</v>
      </c>
      <c r="T78" s="42">
        <v>0</v>
      </c>
      <c r="U78" s="42"/>
      <c r="V78" s="43"/>
      <c r="W78" s="101"/>
      <c r="X78" s="101"/>
      <c r="Y78" s="128"/>
    </row>
    <row r="79" spans="2:25" ht="19.5" thickTop="1" thickBot="1" x14ac:dyDescent="0.3">
      <c r="B79" s="158"/>
      <c r="C79" s="107"/>
      <c r="D79" s="101"/>
      <c r="E79" s="30" t="s">
        <v>3</v>
      </c>
      <c r="F79" s="45"/>
      <c r="G79" s="45"/>
      <c r="H79" s="45"/>
      <c r="I79" s="45"/>
      <c r="J79" s="45"/>
      <c r="K79" s="45"/>
      <c r="L79" s="45"/>
      <c r="M79" s="45"/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6"/>
      <c r="V79" s="47"/>
      <c r="W79" s="101"/>
      <c r="X79" s="101"/>
      <c r="Y79" s="128"/>
    </row>
    <row r="80" spans="2:25" ht="19.5" thickTop="1" thickBot="1" x14ac:dyDescent="0.3">
      <c r="B80" s="158"/>
      <c r="C80" s="107"/>
      <c r="D80" s="101"/>
      <c r="E80" s="31" t="s">
        <v>4</v>
      </c>
      <c r="F80" s="45">
        <f t="shared" ref="F80:T80" si="72">IF(F79&lt;30,F78,F78+F79)</f>
        <v>0</v>
      </c>
      <c r="G80" s="45">
        <f t="shared" si="72"/>
        <v>0</v>
      </c>
      <c r="H80" s="45">
        <f t="shared" si="72"/>
        <v>30</v>
      </c>
      <c r="I80" s="45">
        <f t="shared" si="72"/>
        <v>0</v>
      </c>
      <c r="J80" s="45">
        <f t="shared" si="72"/>
        <v>0</v>
      </c>
      <c r="K80" s="45">
        <f t="shared" si="72"/>
        <v>0</v>
      </c>
      <c r="L80" s="45">
        <f t="shared" si="72"/>
        <v>31</v>
      </c>
      <c r="M80" s="45">
        <f t="shared" si="72"/>
        <v>28</v>
      </c>
      <c r="N80" s="45">
        <f t="shared" si="72"/>
        <v>0</v>
      </c>
      <c r="O80" s="45">
        <f t="shared" si="72"/>
        <v>0</v>
      </c>
      <c r="P80" s="45">
        <f t="shared" si="72"/>
        <v>0</v>
      </c>
      <c r="Q80" s="45">
        <f t="shared" si="72"/>
        <v>0</v>
      </c>
      <c r="R80" s="45">
        <f t="shared" si="72"/>
        <v>0</v>
      </c>
      <c r="S80" s="45">
        <f t="shared" si="72"/>
        <v>0</v>
      </c>
      <c r="T80" s="45">
        <f t="shared" si="72"/>
        <v>0</v>
      </c>
      <c r="U80" s="46"/>
      <c r="V80" s="47"/>
      <c r="W80" s="101"/>
      <c r="X80" s="101"/>
      <c r="Y80" s="128"/>
    </row>
    <row r="81" spans="2:25" ht="37.5" thickTop="1" thickBot="1" x14ac:dyDescent="0.3">
      <c r="B81" s="159"/>
      <c r="C81" s="108"/>
      <c r="D81" s="102"/>
      <c r="E81" s="32" t="s">
        <v>6</v>
      </c>
      <c r="F81" s="36">
        <f t="shared" ref="F81:M81" si="73">SUM(F77*F80)</f>
        <v>0</v>
      </c>
      <c r="G81" s="36">
        <f t="shared" si="73"/>
        <v>0</v>
      </c>
      <c r="H81" s="36">
        <f t="shared" si="73"/>
        <v>90</v>
      </c>
      <c r="I81" s="36">
        <f t="shared" si="73"/>
        <v>0</v>
      </c>
      <c r="J81" s="36">
        <f t="shared" si="73"/>
        <v>0</v>
      </c>
      <c r="K81" s="36">
        <f t="shared" si="73"/>
        <v>0</v>
      </c>
      <c r="L81" s="36">
        <f t="shared" si="73"/>
        <v>93</v>
      </c>
      <c r="M81" s="36">
        <f t="shared" si="73"/>
        <v>84</v>
      </c>
      <c r="N81" s="36">
        <f t="shared" ref="N81:T81" si="74">SUM(N77*N80)</f>
        <v>0</v>
      </c>
      <c r="O81" s="36">
        <f t="shared" si="74"/>
        <v>0</v>
      </c>
      <c r="P81" s="36">
        <f t="shared" si="74"/>
        <v>0</v>
      </c>
      <c r="Q81" s="36">
        <f t="shared" si="74"/>
        <v>0</v>
      </c>
      <c r="R81" s="36">
        <f t="shared" si="74"/>
        <v>0</v>
      </c>
      <c r="S81" s="36">
        <f t="shared" si="74"/>
        <v>0</v>
      </c>
      <c r="T81" s="36">
        <f t="shared" si="74"/>
        <v>0</v>
      </c>
      <c r="U81" s="50">
        <f>SUM(F81:T81)</f>
        <v>267</v>
      </c>
      <c r="V81" s="51">
        <f>SUM(U81/U77)</f>
        <v>29.666666666666668</v>
      </c>
      <c r="W81" s="102"/>
      <c r="X81" s="102"/>
      <c r="Y81" s="128"/>
    </row>
    <row r="82" spans="2:25" ht="20.25" thickTop="1" thickBot="1" x14ac:dyDescent="0.35">
      <c r="B82" s="160">
        <v>-16</v>
      </c>
      <c r="C82" s="106" t="s">
        <v>198</v>
      </c>
      <c r="D82" s="101" t="s">
        <v>335</v>
      </c>
      <c r="E82" s="67" t="s">
        <v>5</v>
      </c>
      <c r="F82" s="38">
        <f>IF(IF(F85=0,0,3),3,0)</f>
        <v>0</v>
      </c>
      <c r="G82" s="38">
        <f>IF(IF(G85=0,0,4),4,0)</f>
        <v>0</v>
      </c>
      <c r="H82" s="38">
        <f t="shared" ref="H82:M82" si="75">IF(IF(H85=0,0,3),3,0)</f>
        <v>3</v>
      </c>
      <c r="I82" s="38">
        <f t="shared" si="75"/>
        <v>0</v>
      </c>
      <c r="J82" s="38">
        <f t="shared" si="75"/>
        <v>3</v>
      </c>
      <c r="K82" s="38">
        <f t="shared" si="75"/>
        <v>0</v>
      </c>
      <c r="L82" s="38">
        <f t="shared" si="75"/>
        <v>3</v>
      </c>
      <c r="M82" s="38">
        <f t="shared" si="75"/>
        <v>3</v>
      </c>
      <c r="N82" s="38">
        <f>IF(IF(N85=0,0,4),4,0)</f>
        <v>0</v>
      </c>
      <c r="O82" s="38">
        <f t="shared" ref="O82:T82" si="76">IF(IF(O85=0,0,3),3,0)</f>
        <v>0</v>
      </c>
      <c r="P82" s="38">
        <f t="shared" si="76"/>
        <v>0</v>
      </c>
      <c r="Q82" s="38">
        <f t="shared" si="76"/>
        <v>0</v>
      </c>
      <c r="R82" s="38">
        <f t="shared" si="76"/>
        <v>0</v>
      </c>
      <c r="S82" s="38">
        <f t="shared" si="76"/>
        <v>0</v>
      </c>
      <c r="T82" s="38">
        <f t="shared" si="76"/>
        <v>0</v>
      </c>
      <c r="U82" s="38">
        <f>SUM(F82:T82)</f>
        <v>12</v>
      </c>
      <c r="V82" s="39"/>
      <c r="W82" s="112"/>
      <c r="X82" s="112"/>
      <c r="Y82" s="128"/>
    </row>
    <row r="83" spans="2:25" ht="19.5" thickTop="1" thickBot="1" x14ac:dyDescent="0.3">
      <c r="B83" s="158"/>
      <c r="C83" s="107"/>
      <c r="D83" s="101"/>
      <c r="E83" s="29" t="s">
        <v>216</v>
      </c>
      <c r="F83" s="41"/>
      <c r="G83" s="41"/>
      <c r="H83" s="41">
        <v>33</v>
      </c>
      <c r="I83" s="42"/>
      <c r="J83" s="42">
        <v>32</v>
      </c>
      <c r="K83" s="42"/>
      <c r="L83" s="42">
        <v>35</v>
      </c>
      <c r="M83" s="42">
        <v>27</v>
      </c>
      <c r="N83" s="41">
        <v>0</v>
      </c>
      <c r="O83" s="41">
        <v>0</v>
      </c>
      <c r="P83" s="41">
        <v>0</v>
      </c>
      <c r="Q83" s="42">
        <v>0</v>
      </c>
      <c r="R83" s="42">
        <v>0</v>
      </c>
      <c r="S83" s="42">
        <v>0</v>
      </c>
      <c r="T83" s="42">
        <v>0</v>
      </c>
      <c r="U83" s="42"/>
      <c r="V83" s="43"/>
      <c r="W83" s="101"/>
      <c r="X83" s="101"/>
      <c r="Y83" s="128"/>
    </row>
    <row r="84" spans="2:25" ht="19.5" thickTop="1" thickBot="1" x14ac:dyDescent="0.3">
      <c r="B84" s="158"/>
      <c r="C84" s="107"/>
      <c r="D84" s="101"/>
      <c r="E84" s="30" t="s">
        <v>3</v>
      </c>
      <c r="F84" s="45"/>
      <c r="G84" s="45"/>
      <c r="H84" s="45"/>
      <c r="I84" s="45"/>
      <c r="J84" s="45"/>
      <c r="K84" s="45"/>
      <c r="L84" s="45"/>
      <c r="M84" s="45"/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6"/>
      <c r="V84" s="47"/>
      <c r="W84" s="101"/>
      <c r="X84" s="101"/>
      <c r="Y84" s="128"/>
    </row>
    <row r="85" spans="2:25" ht="19.5" thickTop="1" thickBot="1" x14ac:dyDescent="0.3">
      <c r="B85" s="158"/>
      <c r="C85" s="107"/>
      <c r="D85" s="101"/>
      <c r="E85" s="31" t="s">
        <v>4</v>
      </c>
      <c r="F85" s="45">
        <f t="shared" ref="F85:T85" si="77">IF(F84&lt;30,F83,F83+F84)</f>
        <v>0</v>
      </c>
      <c r="G85" s="45">
        <f t="shared" si="77"/>
        <v>0</v>
      </c>
      <c r="H85" s="45">
        <f t="shared" si="77"/>
        <v>33</v>
      </c>
      <c r="I85" s="45">
        <f t="shared" si="77"/>
        <v>0</v>
      </c>
      <c r="J85" s="45">
        <f t="shared" si="77"/>
        <v>32</v>
      </c>
      <c r="K85" s="45">
        <f t="shared" si="77"/>
        <v>0</v>
      </c>
      <c r="L85" s="45">
        <f t="shared" si="77"/>
        <v>35</v>
      </c>
      <c r="M85" s="45">
        <f t="shared" si="77"/>
        <v>27</v>
      </c>
      <c r="N85" s="45">
        <f t="shared" si="77"/>
        <v>0</v>
      </c>
      <c r="O85" s="45">
        <f t="shared" si="77"/>
        <v>0</v>
      </c>
      <c r="P85" s="45">
        <f t="shared" si="77"/>
        <v>0</v>
      </c>
      <c r="Q85" s="45">
        <f t="shared" si="77"/>
        <v>0</v>
      </c>
      <c r="R85" s="45">
        <f t="shared" si="77"/>
        <v>0</v>
      </c>
      <c r="S85" s="45">
        <f t="shared" si="77"/>
        <v>0</v>
      </c>
      <c r="T85" s="45">
        <f t="shared" si="77"/>
        <v>0</v>
      </c>
      <c r="U85" s="46"/>
      <c r="V85" s="47"/>
      <c r="W85" s="101"/>
      <c r="X85" s="101"/>
      <c r="Y85" s="128"/>
    </row>
    <row r="86" spans="2:25" ht="37.5" thickTop="1" thickBot="1" x14ac:dyDescent="0.3">
      <c r="B86" s="158"/>
      <c r="C86" s="107"/>
      <c r="D86" s="102"/>
      <c r="E86" s="32" t="s">
        <v>6</v>
      </c>
      <c r="F86" s="36">
        <f t="shared" ref="F86:M86" si="78">SUM(F82*F85)</f>
        <v>0</v>
      </c>
      <c r="G86" s="36">
        <f t="shared" si="78"/>
        <v>0</v>
      </c>
      <c r="H86" s="36">
        <f t="shared" si="78"/>
        <v>99</v>
      </c>
      <c r="I86" s="36">
        <f t="shared" si="78"/>
        <v>0</v>
      </c>
      <c r="J86" s="36">
        <f t="shared" si="78"/>
        <v>96</v>
      </c>
      <c r="K86" s="36">
        <f t="shared" si="78"/>
        <v>0</v>
      </c>
      <c r="L86" s="36">
        <f t="shared" si="78"/>
        <v>105</v>
      </c>
      <c r="M86" s="36">
        <f t="shared" si="78"/>
        <v>81</v>
      </c>
      <c r="N86" s="36">
        <f t="shared" ref="N86:T86" si="79">SUM(N82*N85)</f>
        <v>0</v>
      </c>
      <c r="O86" s="36">
        <f t="shared" si="79"/>
        <v>0</v>
      </c>
      <c r="P86" s="36">
        <f t="shared" si="79"/>
        <v>0</v>
      </c>
      <c r="Q86" s="36">
        <f t="shared" si="79"/>
        <v>0</v>
      </c>
      <c r="R86" s="36">
        <f t="shared" si="79"/>
        <v>0</v>
      </c>
      <c r="S86" s="36">
        <f t="shared" si="79"/>
        <v>0</v>
      </c>
      <c r="T86" s="36">
        <f t="shared" si="79"/>
        <v>0</v>
      </c>
      <c r="U86" s="50">
        <f>SUM(F86:T86)</f>
        <v>381</v>
      </c>
      <c r="V86" s="51">
        <f>SUM(U86/U82)</f>
        <v>31.75</v>
      </c>
      <c r="W86" s="102"/>
      <c r="X86" s="102"/>
      <c r="Y86" s="128"/>
    </row>
    <row r="87" spans="2:25" ht="20.25" thickTop="1" thickBot="1" x14ac:dyDescent="0.35">
      <c r="B87" s="158">
        <v>-17</v>
      </c>
      <c r="C87" s="107" t="s">
        <v>61</v>
      </c>
      <c r="D87" s="101" t="s">
        <v>336</v>
      </c>
      <c r="E87" s="10" t="s">
        <v>5</v>
      </c>
      <c r="F87" s="38">
        <f>IF(IF(F90=0,0,3),3,0)</f>
        <v>0</v>
      </c>
      <c r="G87" s="38">
        <f>IF(IF(G90=0,0,4),4,0)</f>
        <v>0</v>
      </c>
      <c r="H87" s="38">
        <f t="shared" ref="H87:M87" si="80">IF(IF(H90=0,0,3),3,0)</f>
        <v>3</v>
      </c>
      <c r="I87" s="38">
        <f t="shared" si="80"/>
        <v>0</v>
      </c>
      <c r="J87" s="38">
        <f t="shared" si="80"/>
        <v>3</v>
      </c>
      <c r="K87" s="38">
        <f t="shared" si="80"/>
        <v>0</v>
      </c>
      <c r="L87" s="38">
        <f t="shared" si="80"/>
        <v>3</v>
      </c>
      <c r="M87" s="38">
        <f t="shared" si="80"/>
        <v>3</v>
      </c>
      <c r="N87" s="38">
        <f>IF(IF(N90=0,0,4),4,0)</f>
        <v>0</v>
      </c>
      <c r="O87" s="38">
        <f t="shared" ref="O87:T87" si="81">IF(IF(O90=0,0,3),3,0)</f>
        <v>0</v>
      </c>
      <c r="P87" s="38">
        <f t="shared" si="81"/>
        <v>0</v>
      </c>
      <c r="Q87" s="38">
        <f t="shared" si="81"/>
        <v>0</v>
      </c>
      <c r="R87" s="38">
        <f t="shared" si="81"/>
        <v>0</v>
      </c>
      <c r="S87" s="38">
        <f t="shared" si="81"/>
        <v>0</v>
      </c>
      <c r="T87" s="38">
        <f t="shared" si="81"/>
        <v>0</v>
      </c>
      <c r="U87" s="38">
        <f>SUM(F87:T87)</f>
        <v>12</v>
      </c>
      <c r="V87" s="39"/>
      <c r="W87" s="112"/>
      <c r="X87" s="112"/>
      <c r="Y87" s="128"/>
    </row>
    <row r="88" spans="2:25" ht="19.5" thickTop="1" thickBot="1" x14ac:dyDescent="0.3">
      <c r="B88" s="158"/>
      <c r="C88" s="107"/>
      <c r="D88" s="101"/>
      <c r="E88" s="33" t="s">
        <v>216</v>
      </c>
      <c r="F88" s="41"/>
      <c r="G88" s="41"/>
      <c r="H88" s="41">
        <v>20</v>
      </c>
      <c r="I88" s="42"/>
      <c r="J88" s="42">
        <v>18</v>
      </c>
      <c r="K88" s="42"/>
      <c r="L88" s="42">
        <v>25</v>
      </c>
      <c r="M88" s="42">
        <v>22</v>
      </c>
      <c r="N88" s="41">
        <v>0</v>
      </c>
      <c r="O88" s="41">
        <v>0</v>
      </c>
      <c r="P88" s="41">
        <v>0</v>
      </c>
      <c r="Q88" s="42">
        <v>0</v>
      </c>
      <c r="R88" s="42">
        <v>0</v>
      </c>
      <c r="S88" s="88">
        <v>0</v>
      </c>
      <c r="T88" s="42">
        <v>0</v>
      </c>
      <c r="U88" s="42"/>
      <c r="V88" s="43"/>
      <c r="W88" s="101"/>
      <c r="X88" s="101"/>
      <c r="Y88" s="128"/>
    </row>
    <row r="89" spans="2:25" ht="19.5" thickTop="1" thickBot="1" x14ac:dyDescent="0.3">
      <c r="B89" s="158"/>
      <c r="C89" s="107"/>
      <c r="D89" s="101"/>
      <c r="E89" s="30" t="s">
        <v>3</v>
      </c>
      <c r="F89" s="45"/>
      <c r="G89" s="45"/>
      <c r="H89" s="45"/>
      <c r="I89" s="45"/>
      <c r="J89" s="45"/>
      <c r="K89" s="45"/>
      <c r="L89" s="45"/>
      <c r="M89" s="45"/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86">
        <v>0</v>
      </c>
      <c r="T89" s="45">
        <v>0</v>
      </c>
      <c r="U89" s="46"/>
      <c r="V89" s="47"/>
      <c r="W89" s="101"/>
      <c r="X89" s="101"/>
      <c r="Y89" s="128"/>
    </row>
    <row r="90" spans="2:25" ht="19.5" thickTop="1" thickBot="1" x14ac:dyDescent="0.3">
      <c r="B90" s="158"/>
      <c r="C90" s="107"/>
      <c r="D90" s="101"/>
      <c r="E90" s="31" t="s">
        <v>4</v>
      </c>
      <c r="F90" s="45">
        <f t="shared" ref="F90:T90" si="82">IF(F89&lt;30,F88,F88+F89)</f>
        <v>0</v>
      </c>
      <c r="G90" s="45">
        <f t="shared" si="82"/>
        <v>0</v>
      </c>
      <c r="H90" s="45">
        <f t="shared" si="82"/>
        <v>20</v>
      </c>
      <c r="I90" s="45">
        <f t="shared" si="82"/>
        <v>0</v>
      </c>
      <c r="J90" s="45">
        <f t="shared" si="82"/>
        <v>18</v>
      </c>
      <c r="K90" s="45">
        <f t="shared" si="82"/>
        <v>0</v>
      </c>
      <c r="L90" s="45">
        <f t="shared" si="82"/>
        <v>25</v>
      </c>
      <c r="M90" s="45">
        <f t="shared" si="82"/>
        <v>22</v>
      </c>
      <c r="N90" s="45">
        <f t="shared" si="82"/>
        <v>0</v>
      </c>
      <c r="O90" s="45">
        <f t="shared" si="82"/>
        <v>0</v>
      </c>
      <c r="P90" s="45">
        <f t="shared" si="82"/>
        <v>0</v>
      </c>
      <c r="Q90" s="45">
        <f t="shared" si="82"/>
        <v>0</v>
      </c>
      <c r="R90" s="45">
        <f t="shared" si="82"/>
        <v>0</v>
      </c>
      <c r="S90" s="86">
        <f t="shared" si="82"/>
        <v>0</v>
      </c>
      <c r="T90" s="45">
        <f t="shared" si="82"/>
        <v>0</v>
      </c>
      <c r="U90" s="46"/>
      <c r="V90" s="47"/>
      <c r="W90" s="101"/>
      <c r="X90" s="101"/>
      <c r="Y90" s="128"/>
    </row>
    <row r="91" spans="2:25" ht="37.5" thickTop="1" thickBot="1" x14ac:dyDescent="0.3">
      <c r="B91" s="161"/>
      <c r="C91" s="163"/>
      <c r="D91" s="102"/>
      <c r="E91" s="35" t="s">
        <v>6</v>
      </c>
      <c r="F91" s="36">
        <f t="shared" ref="F91:M91" si="83">SUM(F87*F90)</f>
        <v>0</v>
      </c>
      <c r="G91" s="36">
        <f t="shared" si="83"/>
        <v>0</v>
      </c>
      <c r="H91" s="36">
        <f t="shared" si="83"/>
        <v>60</v>
      </c>
      <c r="I91" s="36">
        <f t="shared" si="83"/>
        <v>0</v>
      </c>
      <c r="J91" s="36">
        <f t="shared" si="83"/>
        <v>54</v>
      </c>
      <c r="K91" s="36">
        <f t="shared" si="83"/>
        <v>0</v>
      </c>
      <c r="L91" s="36">
        <f t="shared" si="83"/>
        <v>75</v>
      </c>
      <c r="M91" s="36">
        <f t="shared" si="83"/>
        <v>66</v>
      </c>
      <c r="N91" s="36">
        <f t="shared" ref="N91:T91" si="84">SUM(N87*N90)</f>
        <v>0</v>
      </c>
      <c r="O91" s="36">
        <f t="shared" si="84"/>
        <v>0</v>
      </c>
      <c r="P91" s="36">
        <f t="shared" si="84"/>
        <v>0</v>
      </c>
      <c r="Q91" s="36">
        <f t="shared" si="84"/>
        <v>0</v>
      </c>
      <c r="R91" s="36">
        <f t="shared" si="84"/>
        <v>0</v>
      </c>
      <c r="S91" s="87">
        <f t="shared" si="84"/>
        <v>0</v>
      </c>
      <c r="T91" s="36">
        <f t="shared" si="84"/>
        <v>0</v>
      </c>
      <c r="U91" s="50">
        <f>SUM(F91:T91)</f>
        <v>255</v>
      </c>
      <c r="V91" s="51">
        <f>SUM(U91/U87)</f>
        <v>21.25</v>
      </c>
      <c r="W91" s="102"/>
      <c r="X91" s="102"/>
      <c r="Y91" s="128"/>
    </row>
    <row r="92" spans="2:25" ht="20.25" thickTop="1" thickBot="1" x14ac:dyDescent="0.35">
      <c r="B92" s="162">
        <v>-18</v>
      </c>
      <c r="C92" s="164" t="s">
        <v>199</v>
      </c>
      <c r="D92" s="101" t="s">
        <v>337</v>
      </c>
      <c r="E92" s="10" t="s">
        <v>5</v>
      </c>
      <c r="F92" s="38">
        <f>IF(IF(F95=0,0,3),3,0)</f>
        <v>0</v>
      </c>
      <c r="G92" s="38">
        <f>IF(IF(G95=0,0,4),4,0)</f>
        <v>0</v>
      </c>
      <c r="H92" s="38">
        <f t="shared" ref="H92:M92" si="85">IF(IF(H95=0,0,3),3,0)</f>
        <v>3</v>
      </c>
      <c r="I92" s="38">
        <f t="shared" si="85"/>
        <v>0</v>
      </c>
      <c r="J92" s="38">
        <f t="shared" si="85"/>
        <v>3</v>
      </c>
      <c r="K92" s="38">
        <f t="shared" si="85"/>
        <v>0</v>
      </c>
      <c r="L92" s="38">
        <f t="shared" si="85"/>
        <v>3</v>
      </c>
      <c r="M92" s="38">
        <f t="shared" si="85"/>
        <v>3</v>
      </c>
      <c r="N92" s="38">
        <f>IF(IF(N95=0,0,4),4,0)</f>
        <v>0</v>
      </c>
      <c r="O92" s="38">
        <f t="shared" ref="O92:T92" si="86">IF(IF(O95=0,0,3),3,0)</f>
        <v>0</v>
      </c>
      <c r="P92" s="38">
        <f t="shared" si="86"/>
        <v>0</v>
      </c>
      <c r="Q92" s="38">
        <f t="shared" si="86"/>
        <v>0</v>
      </c>
      <c r="R92" s="38">
        <f t="shared" si="86"/>
        <v>0</v>
      </c>
      <c r="S92" s="38">
        <f t="shared" si="86"/>
        <v>0</v>
      </c>
      <c r="T92" s="38">
        <f t="shared" si="86"/>
        <v>0</v>
      </c>
      <c r="U92" s="38">
        <f>SUM(F92:T92)</f>
        <v>12</v>
      </c>
      <c r="V92" s="39"/>
      <c r="W92" s="112"/>
      <c r="X92" s="112"/>
      <c r="Y92" s="128"/>
    </row>
    <row r="93" spans="2:25" ht="19.5" thickTop="1" thickBot="1" x14ac:dyDescent="0.3">
      <c r="B93" s="158"/>
      <c r="C93" s="107"/>
      <c r="D93" s="101"/>
      <c r="E93" s="33" t="s">
        <v>216</v>
      </c>
      <c r="F93" s="41"/>
      <c r="G93" s="41"/>
      <c r="H93" s="41">
        <v>33</v>
      </c>
      <c r="I93" s="42"/>
      <c r="J93" s="42">
        <v>22</v>
      </c>
      <c r="K93" s="42"/>
      <c r="L93" s="42">
        <v>35</v>
      </c>
      <c r="M93" s="42">
        <v>34</v>
      </c>
      <c r="N93" s="41">
        <v>0</v>
      </c>
      <c r="O93" s="41">
        <v>0</v>
      </c>
      <c r="P93" s="41">
        <v>0</v>
      </c>
      <c r="Q93" s="42">
        <v>0</v>
      </c>
      <c r="R93" s="42">
        <v>0</v>
      </c>
      <c r="S93" s="42">
        <v>0</v>
      </c>
      <c r="T93" s="42">
        <v>0</v>
      </c>
      <c r="U93" s="42"/>
      <c r="V93" s="43"/>
      <c r="W93" s="101"/>
      <c r="X93" s="101"/>
      <c r="Y93" s="128"/>
    </row>
    <row r="94" spans="2:25" ht="19.5" thickTop="1" thickBot="1" x14ac:dyDescent="0.3">
      <c r="B94" s="158"/>
      <c r="C94" s="107"/>
      <c r="D94" s="101"/>
      <c r="E94" s="30" t="s">
        <v>3</v>
      </c>
      <c r="F94" s="45"/>
      <c r="G94" s="45"/>
      <c r="H94" s="45"/>
      <c r="I94" s="45"/>
      <c r="J94" s="45"/>
      <c r="K94" s="45"/>
      <c r="L94" s="45"/>
      <c r="M94" s="45"/>
      <c r="N94" s="45">
        <v>0</v>
      </c>
      <c r="O94" s="45">
        <v>0</v>
      </c>
      <c r="P94" s="45">
        <v>0</v>
      </c>
      <c r="Q94" s="45">
        <v>0</v>
      </c>
      <c r="R94" s="45">
        <v>0</v>
      </c>
      <c r="S94" s="45">
        <v>0</v>
      </c>
      <c r="T94" s="45">
        <v>0</v>
      </c>
      <c r="U94" s="46"/>
      <c r="V94" s="47"/>
      <c r="W94" s="101"/>
      <c r="X94" s="101"/>
      <c r="Y94" s="128"/>
    </row>
    <row r="95" spans="2:25" ht="19.5" thickTop="1" thickBot="1" x14ac:dyDescent="0.3">
      <c r="B95" s="158"/>
      <c r="C95" s="107"/>
      <c r="D95" s="101"/>
      <c r="E95" s="31" t="s">
        <v>4</v>
      </c>
      <c r="F95" s="45">
        <f t="shared" ref="F95:T95" si="87">IF(F94&lt;30,F93,F93+F94)</f>
        <v>0</v>
      </c>
      <c r="G95" s="45">
        <f t="shared" si="87"/>
        <v>0</v>
      </c>
      <c r="H95" s="45">
        <f t="shared" si="87"/>
        <v>33</v>
      </c>
      <c r="I95" s="45">
        <f t="shared" si="87"/>
        <v>0</v>
      </c>
      <c r="J95" s="45">
        <f t="shared" si="87"/>
        <v>22</v>
      </c>
      <c r="K95" s="45">
        <f t="shared" si="87"/>
        <v>0</v>
      </c>
      <c r="L95" s="45">
        <f t="shared" si="87"/>
        <v>35</v>
      </c>
      <c r="M95" s="45">
        <f t="shared" si="87"/>
        <v>34</v>
      </c>
      <c r="N95" s="45">
        <f t="shared" si="87"/>
        <v>0</v>
      </c>
      <c r="O95" s="45">
        <f t="shared" si="87"/>
        <v>0</v>
      </c>
      <c r="P95" s="45">
        <f t="shared" si="87"/>
        <v>0</v>
      </c>
      <c r="Q95" s="45">
        <f t="shared" si="87"/>
        <v>0</v>
      </c>
      <c r="R95" s="45">
        <f t="shared" si="87"/>
        <v>0</v>
      </c>
      <c r="S95" s="45">
        <f t="shared" si="87"/>
        <v>0</v>
      </c>
      <c r="T95" s="45">
        <f t="shared" si="87"/>
        <v>0</v>
      </c>
      <c r="U95" s="46"/>
      <c r="V95" s="47"/>
      <c r="W95" s="101"/>
      <c r="X95" s="101"/>
      <c r="Y95" s="128"/>
    </row>
    <row r="96" spans="2:25" ht="37.5" thickTop="1" thickBot="1" x14ac:dyDescent="0.3">
      <c r="B96" s="161"/>
      <c r="C96" s="163"/>
      <c r="D96" s="102"/>
      <c r="E96" s="35" t="s">
        <v>6</v>
      </c>
      <c r="F96" s="36">
        <f t="shared" ref="F96:M96" si="88">SUM(F92*F95)</f>
        <v>0</v>
      </c>
      <c r="G96" s="36">
        <f t="shared" si="88"/>
        <v>0</v>
      </c>
      <c r="H96" s="36">
        <f t="shared" si="88"/>
        <v>99</v>
      </c>
      <c r="I96" s="36">
        <f t="shared" si="88"/>
        <v>0</v>
      </c>
      <c r="J96" s="36">
        <f t="shared" si="88"/>
        <v>66</v>
      </c>
      <c r="K96" s="36">
        <f t="shared" si="88"/>
        <v>0</v>
      </c>
      <c r="L96" s="36">
        <f t="shared" si="88"/>
        <v>105</v>
      </c>
      <c r="M96" s="36">
        <f t="shared" si="88"/>
        <v>102</v>
      </c>
      <c r="N96" s="36">
        <f t="shared" ref="N96:T96" si="89">SUM(N92*N95)</f>
        <v>0</v>
      </c>
      <c r="O96" s="36">
        <f t="shared" si="89"/>
        <v>0</v>
      </c>
      <c r="P96" s="36">
        <f t="shared" si="89"/>
        <v>0</v>
      </c>
      <c r="Q96" s="36">
        <f t="shared" si="89"/>
        <v>0</v>
      </c>
      <c r="R96" s="36">
        <f t="shared" si="89"/>
        <v>0</v>
      </c>
      <c r="S96" s="36">
        <f t="shared" si="89"/>
        <v>0</v>
      </c>
      <c r="T96" s="36">
        <f t="shared" si="89"/>
        <v>0</v>
      </c>
      <c r="U96" s="50">
        <f>SUM(F96:T96)</f>
        <v>372</v>
      </c>
      <c r="V96" s="51">
        <f>SUM(U96/U92)</f>
        <v>31</v>
      </c>
      <c r="W96" s="102"/>
      <c r="X96" s="102"/>
      <c r="Y96" s="128"/>
    </row>
    <row r="97" spans="2:25" ht="20.25" thickTop="1" thickBot="1" x14ac:dyDescent="0.35">
      <c r="B97" s="162">
        <v>-19</v>
      </c>
      <c r="C97" s="164" t="s">
        <v>66</v>
      </c>
      <c r="D97" s="101" t="s">
        <v>338</v>
      </c>
      <c r="E97" s="10" t="s">
        <v>5</v>
      </c>
      <c r="F97" s="38">
        <f>IF(IF(F100=0,0,3),3,0)</f>
        <v>0</v>
      </c>
      <c r="G97" s="38">
        <f>IF(IF(G100=0,0,4),4,0)</f>
        <v>0</v>
      </c>
      <c r="H97" s="38">
        <f t="shared" ref="H97:M97" si="90">IF(IF(H100=0,0,3),3,0)</f>
        <v>3</v>
      </c>
      <c r="I97" s="38">
        <f t="shared" si="90"/>
        <v>0</v>
      </c>
      <c r="J97" s="38">
        <f t="shared" si="90"/>
        <v>3</v>
      </c>
      <c r="K97" s="38">
        <f t="shared" si="90"/>
        <v>0</v>
      </c>
      <c r="L97" s="38">
        <f t="shared" si="90"/>
        <v>3</v>
      </c>
      <c r="M97" s="38">
        <f t="shared" si="90"/>
        <v>3</v>
      </c>
      <c r="N97" s="38">
        <f>IF(IF(N100=0,0,4),4,0)</f>
        <v>0</v>
      </c>
      <c r="O97" s="38">
        <f t="shared" ref="O97:T97" si="91">IF(IF(O100=0,0,3),3,0)</f>
        <v>0</v>
      </c>
      <c r="P97" s="38">
        <f t="shared" si="91"/>
        <v>0</v>
      </c>
      <c r="Q97" s="38">
        <f t="shared" si="91"/>
        <v>0</v>
      </c>
      <c r="R97" s="38">
        <f t="shared" si="91"/>
        <v>0</v>
      </c>
      <c r="S97" s="38">
        <f t="shared" si="91"/>
        <v>0</v>
      </c>
      <c r="T97" s="38">
        <f t="shared" si="91"/>
        <v>0</v>
      </c>
      <c r="U97" s="38">
        <f>SUM(F97:T97)</f>
        <v>12</v>
      </c>
      <c r="V97" s="39"/>
      <c r="W97" s="112"/>
      <c r="X97" s="112"/>
      <c r="Y97" s="128"/>
    </row>
    <row r="98" spans="2:25" ht="19.5" thickTop="1" thickBot="1" x14ac:dyDescent="0.3">
      <c r="B98" s="158"/>
      <c r="C98" s="107"/>
      <c r="D98" s="101"/>
      <c r="E98" s="33" t="s">
        <v>216</v>
      </c>
      <c r="F98" s="41"/>
      <c r="G98" s="41"/>
      <c r="H98" s="41">
        <v>28</v>
      </c>
      <c r="I98" s="42"/>
      <c r="J98" s="42">
        <v>12</v>
      </c>
      <c r="K98" s="42"/>
      <c r="L98" s="42">
        <v>30</v>
      </c>
      <c r="M98" s="42">
        <v>28</v>
      </c>
      <c r="N98" s="41">
        <v>0</v>
      </c>
      <c r="O98" s="41">
        <v>0</v>
      </c>
      <c r="P98" s="41">
        <v>0</v>
      </c>
      <c r="Q98" s="88">
        <v>0</v>
      </c>
      <c r="R98" s="42">
        <v>0</v>
      </c>
      <c r="S98" s="42">
        <v>0</v>
      </c>
      <c r="T98" s="42">
        <v>0</v>
      </c>
      <c r="U98" s="42"/>
      <c r="V98" s="43"/>
      <c r="W98" s="101"/>
      <c r="X98" s="101"/>
      <c r="Y98" s="128"/>
    </row>
    <row r="99" spans="2:25" ht="19.5" thickTop="1" thickBot="1" x14ac:dyDescent="0.3">
      <c r="B99" s="158"/>
      <c r="C99" s="107"/>
      <c r="D99" s="101"/>
      <c r="E99" s="30" t="s">
        <v>3</v>
      </c>
      <c r="F99" s="45"/>
      <c r="G99" s="45"/>
      <c r="H99" s="45"/>
      <c r="I99" s="45"/>
      <c r="J99" s="45"/>
      <c r="K99" s="45"/>
      <c r="L99" s="45"/>
      <c r="M99" s="45"/>
      <c r="N99" s="45">
        <v>0</v>
      </c>
      <c r="O99" s="45">
        <v>0</v>
      </c>
      <c r="P99" s="45">
        <v>0</v>
      </c>
      <c r="Q99" s="86">
        <v>0</v>
      </c>
      <c r="R99" s="45">
        <v>0</v>
      </c>
      <c r="S99" s="45">
        <v>0</v>
      </c>
      <c r="T99" s="45">
        <v>0</v>
      </c>
      <c r="U99" s="46"/>
      <c r="V99" s="47"/>
      <c r="W99" s="101"/>
      <c r="X99" s="101"/>
      <c r="Y99" s="128"/>
    </row>
    <row r="100" spans="2:25" ht="19.5" thickTop="1" thickBot="1" x14ac:dyDescent="0.3">
      <c r="B100" s="158"/>
      <c r="C100" s="107"/>
      <c r="D100" s="101"/>
      <c r="E100" s="31" t="s">
        <v>4</v>
      </c>
      <c r="F100" s="45">
        <f t="shared" ref="F100:T100" si="92">IF(F99&lt;30,F98,F98+F99)</f>
        <v>0</v>
      </c>
      <c r="G100" s="45">
        <f t="shared" si="92"/>
        <v>0</v>
      </c>
      <c r="H100" s="45">
        <f t="shared" si="92"/>
        <v>28</v>
      </c>
      <c r="I100" s="45">
        <f t="shared" si="92"/>
        <v>0</v>
      </c>
      <c r="J100" s="45">
        <f t="shared" si="92"/>
        <v>12</v>
      </c>
      <c r="K100" s="45">
        <f t="shared" si="92"/>
        <v>0</v>
      </c>
      <c r="L100" s="45">
        <f t="shared" si="92"/>
        <v>30</v>
      </c>
      <c r="M100" s="45">
        <f t="shared" si="92"/>
        <v>28</v>
      </c>
      <c r="N100" s="45">
        <f t="shared" si="92"/>
        <v>0</v>
      </c>
      <c r="O100" s="45">
        <f t="shared" si="92"/>
        <v>0</v>
      </c>
      <c r="P100" s="45">
        <f t="shared" si="92"/>
        <v>0</v>
      </c>
      <c r="Q100" s="86">
        <f t="shared" si="92"/>
        <v>0</v>
      </c>
      <c r="R100" s="45">
        <f t="shared" si="92"/>
        <v>0</v>
      </c>
      <c r="S100" s="45">
        <f t="shared" si="92"/>
        <v>0</v>
      </c>
      <c r="T100" s="45">
        <f t="shared" si="92"/>
        <v>0</v>
      </c>
      <c r="U100" s="46"/>
      <c r="V100" s="47"/>
      <c r="W100" s="101"/>
      <c r="X100" s="101"/>
      <c r="Y100" s="128"/>
    </row>
    <row r="101" spans="2:25" ht="37.5" thickTop="1" thickBot="1" x14ac:dyDescent="0.3">
      <c r="B101" s="159"/>
      <c r="C101" s="163"/>
      <c r="D101" s="102"/>
      <c r="E101" s="32" t="s">
        <v>6</v>
      </c>
      <c r="F101" s="36">
        <f t="shared" ref="F101:M101" si="93">SUM(F97*F100)</f>
        <v>0</v>
      </c>
      <c r="G101" s="36">
        <f t="shared" si="93"/>
        <v>0</v>
      </c>
      <c r="H101" s="36">
        <f t="shared" si="93"/>
        <v>84</v>
      </c>
      <c r="I101" s="36">
        <f t="shared" si="93"/>
        <v>0</v>
      </c>
      <c r="J101" s="36">
        <f t="shared" si="93"/>
        <v>36</v>
      </c>
      <c r="K101" s="36">
        <f t="shared" si="93"/>
        <v>0</v>
      </c>
      <c r="L101" s="36">
        <f t="shared" si="93"/>
        <v>90</v>
      </c>
      <c r="M101" s="36">
        <f t="shared" si="93"/>
        <v>84</v>
      </c>
      <c r="N101" s="36">
        <f t="shared" ref="N101:T101" si="94">SUM(N97*N100)</f>
        <v>0</v>
      </c>
      <c r="O101" s="36">
        <f t="shared" si="94"/>
        <v>0</v>
      </c>
      <c r="P101" s="36">
        <f t="shared" si="94"/>
        <v>0</v>
      </c>
      <c r="Q101" s="87">
        <f t="shared" si="94"/>
        <v>0</v>
      </c>
      <c r="R101" s="36">
        <f t="shared" si="94"/>
        <v>0</v>
      </c>
      <c r="S101" s="36">
        <f t="shared" si="94"/>
        <v>0</v>
      </c>
      <c r="T101" s="36">
        <f t="shared" si="94"/>
        <v>0</v>
      </c>
      <c r="U101" s="50">
        <f>SUM(F101:T101)</f>
        <v>294</v>
      </c>
      <c r="V101" s="51">
        <f>SUM(U101/U97)</f>
        <v>24.5</v>
      </c>
      <c r="W101" s="102"/>
      <c r="X101" s="102"/>
      <c r="Y101" s="128"/>
    </row>
    <row r="102" spans="2:25" ht="20.25" thickTop="1" thickBot="1" x14ac:dyDescent="0.35">
      <c r="B102" s="160">
        <v>-20</v>
      </c>
      <c r="C102" s="164" t="s">
        <v>65</v>
      </c>
      <c r="D102" s="101" t="s">
        <v>339</v>
      </c>
      <c r="E102" s="10" t="s">
        <v>5</v>
      </c>
      <c r="F102" s="38">
        <f>IF(IF(F105=0,0,3),3,0)</f>
        <v>0</v>
      </c>
      <c r="G102" s="38">
        <f>IF(IF(G105=0,0,4),4,0)</f>
        <v>0</v>
      </c>
      <c r="H102" s="38">
        <f t="shared" ref="H102:M102" si="95">IF(IF(H105=0,0,3),3,0)</f>
        <v>3</v>
      </c>
      <c r="I102" s="38">
        <f t="shared" si="95"/>
        <v>0</v>
      </c>
      <c r="J102" s="38">
        <f t="shared" si="95"/>
        <v>3</v>
      </c>
      <c r="K102" s="38">
        <f t="shared" si="95"/>
        <v>0</v>
      </c>
      <c r="L102" s="38">
        <f t="shared" si="95"/>
        <v>3</v>
      </c>
      <c r="M102" s="38">
        <f t="shared" si="95"/>
        <v>3</v>
      </c>
      <c r="N102" s="38">
        <f>IF(IF(N105=0,0,4),4,0)</f>
        <v>0</v>
      </c>
      <c r="O102" s="38">
        <f t="shared" ref="O102:T102" si="96">IF(IF(O105=0,0,3),3,0)</f>
        <v>0</v>
      </c>
      <c r="P102" s="38">
        <f t="shared" si="96"/>
        <v>0</v>
      </c>
      <c r="Q102" s="38">
        <f t="shared" si="96"/>
        <v>0</v>
      </c>
      <c r="R102" s="38">
        <f t="shared" si="96"/>
        <v>0</v>
      </c>
      <c r="S102" s="38">
        <f t="shared" si="96"/>
        <v>0</v>
      </c>
      <c r="T102" s="38">
        <f t="shared" si="96"/>
        <v>0</v>
      </c>
      <c r="U102" s="38">
        <f>SUM(F102:T102)</f>
        <v>12</v>
      </c>
      <c r="V102" s="39"/>
      <c r="W102" s="112"/>
      <c r="X102" s="112"/>
      <c r="Y102" s="128"/>
    </row>
    <row r="103" spans="2:25" ht="19.5" thickTop="1" thickBot="1" x14ac:dyDescent="0.3">
      <c r="B103" s="158"/>
      <c r="C103" s="107"/>
      <c r="D103" s="101"/>
      <c r="E103" s="33" t="s">
        <v>216</v>
      </c>
      <c r="F103" s="41"/>
      <c r="G103" s="41"/>
      <c r="H103" s="41">
        <v>20</v>
      </c>
      <c r="I103" s="42"/>
      <c r="J103" s="42">
        <v>22</v>
      </c>
      <c r="K103" s="42"/>
      <c r="L103" s="42">
        <v>21</v>
      </c>
      <c r="M103" s="42">
        <v>20</v>
      </c>
      <c r="N103" s="41">
        <v>0</v>
      </c>
      <c r="O103" s="41">
        <v>0</v>
      </c>
      <c r="P103" s="41">
        <v>0</v>
      </c>
      <c r="Q103" s="42">
        <v>0</v>
      </c>
      <c r="R103" s="42">
        <v>0</v>
      </c>
      <c r="S103" s="42">
        <v>0</v>
      </c>
      <c r="T103" s="42">
        <v>0</v>
      </c>
      <c r="U103" s="42"/>
      <c r="V103" s="43"/>
      <c r="W103" s="101"/>
      <c r="X103" s="101"/>
      <c r="Y103" s="128"/>
    </row>
    <row r="104" spans="2:25" ht="19.5" thickTop="1" thickBot="1" x14ac:dyDescent="0.3">
      <c r="B104" s="158"/>
      <c r="C104" s="107"/>
      <c r="D104" s="101"/>
      <c r="E104" s="30" t="s">
        <v>3</v>
      </c>
      <c r="F104" s="45"/>
      <c r="G104" s="45"/>
      <c r="H104" s="45"/>
      <c r="I104" s="45"/>
      <c r="J104" s="45"/>
      <c r="K104" s="45"/>
      <c r="L104" s="45"/>
      <c r="M104" s="45"/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6"/>
      <c r="V104" s="47"/>
      <c r="W104" s="101"/>
      <c r="X104" s="101"/>
      <c r="Y104" s="128"/>
    </row>
    <row r="105" spans="2:25" ht="19.5" thickTop="1" thickBot="1" x14ac:dyDescent="0.3">
      <c r="B105" s="158"/>
      <c r="C105" s="107"/>
      <c r="D105" s="101"/>
      <c r="E105" s="31" t="s">
        <v>4</v>
      </c>
      <c r="F105" s="45">
        <f t="shared" ref="F105:T105" si="97">IF(F104&lt;30,F103,F103+F104)</f>
        <v>0</v>
      </c>
      <c r="G105" s="45">
        <f t="shared" si="97"/>
        <v>0</v>
      </c>
      <c r="H105" s="45">
        <f t="shared" si="97"/>
        <v>20</v>
      </c>
      <c r="I105" s="45">
        <f t="shared" si="97"/>
        <v>0</v>
      </c>
      <c r="J105" s="45">
        <f t="shared" si="97"/>
        <v>22</v>
      </c>
      <c r="K105" s="45">
        <f t="shared" si="97"/>
        <v>0</v>
      </c>
      <c r="L105" s="45">
        <f t="shared" si="97"/>
        <v>21</v>
      </c>
      <c r="M105" s="45">
        <f t="shared" si="97"/>
        <v>20</v>
      </c>
      <c r="N105" s="45">
        <f t="shared" si="97"/>
        <v>0</v>
      </c>
      <c r="O105" s="45">
        <f t="shared" si="97"/>
        <v>0</v>
      </c>
      <c r="P105" s="45">
        <f t="shared" si="97"/>
        <v>0</v>
      </c>
      <c r="Q105" s="45">
        <f t="shared" si="97"/>
        <v>0</v>
      </c>
      <c r="R105" s="45">
        <f t="shared" si="97"/>
        <v>0</v>
      </c>
      <c r="S105" s="45">
        <f t="shared" si="97"/>
        <v>0</v>
      </c>
      <c r="T105" s="45">
        <f t="shared" si="97"/>
        <v>0</v>
      </c>
      <c r="U105" s="46"/>
      <c r="V105" s="47"/>
      <c r="W105" s="101"/>
      <c r="X105" s="101"/>
      <c r="Y105" s="128"/>
    </row>
    <row r="106" spans="2:25" ht="37.5" thickTop="1" thickBot="1" x14ac:dyDescent="0.3">
      <c r="B106" s="159"/>
      <c r="C106" s="163"/>
      <c r="D106" s="102"/>
      <c r="E106" s="32" t="s">
        <v>6</v>
      </c>
      <c r="F106" s="36">
        <f t="shared" ref="F106:M106" si="98">SUM(F102*F105)</f>
        <v>0</v>
      </c>
      <c r="G106" s="36">
        <f t="shared" si="98"/>
        <v>0</v>
      </c>
      <c r="H106" s="36">
        <f t="shared" si="98"/>
        <v>60</v>
      </c>
      <c r="I106" s="36">
        <f t="shared" si="98"/>
        <v>0</v>
      </c>
      <c r="J106" s="36">
        <f t="shared" si="98"/>
        <v>66</v>
      </c>
      <c r="K106" s="36">
        <f t="shared" si="98"/>
        <v>0</v>
      </c>
      <c r="L106" s="36">
        <f t="shared" si="98"/>
        <v>63</v>
      </c>
      <c r="M106" s="36">
        <f t="shared" si="98"/>
        <v>60</v>
      </c>
      <c r="N106" s="36">
        <f t="shared" ref="N106:T106" si="99">SUM(N102*N105)</f>
        <v>0</v>
      </c>
      <c r="O106" s="36">
        <f t="shared" si="99"/>
        <v>0</v>
      </c>
      <c r="P106" s="36">
        <f t="shared" si="99"/>
        <v>0</v>
      </c>
      <c r="Q106" s="36">
        <f t="shared" si="99"/>
        <v>0</v>
      </c>
      <c r="R106" s="36">
        <f t="shared" si="99"/>
        <v>0</v>
      </c>
      <c r="S106" s="36">
        <f t="shared" si="99"/>
        <v>0</v>
      </c>
      <c r="T106" s="36">
        <f t="shared" si="99"/>
        <v>0</v>
      </c>
      <c r="U106" s="50">
        <f>SUM(F106:T106)</f>
        <v>249</v>
      </c>
      <c r="V106" s="51">
        <f>SUM(U106/U102)</f>
        <v>20.75</v>
      </c>
      <c r="W106" s="102"/>
      <c r="X106" s="102"/>
      <c r="Y106" s="128"/>
    </row>
    <row r="107" spans="2:25" ht="20.25" thickTop="1" thickBot="1" x14ac:dyDescent="0.35">
      <c r="B107" s="160">
        <v>-21</v>
      </c>
      <c r="C107" s="164" t="s">
        <v>62</v>
      </c>
      <c r="D107" s="101" t="s">
        <v>340</v>
      </c>
      <c r="E107" s="10" t="s">
        <v>5</v>
      </c>
      <c r="F107" s="38">
        <f>IF(IF(F110=0,0,3),3,0)</f>
        <v>0</v>
      </c>
      <c r="G107" s="38">
        <f>IF(IF(G110=0,0,4),4,0)</f>
        <v>0</v>
      </c>
      <c r="H107" s="38">
        <f t="shared" ref="H107:M107" si="100">IF(IF(H110=0,0,3),3,0)</f>
        <v>3</v>
      </c>
      <c r="I107" s="38">
        <f t="shared" si="100"/>
        <v>0</v>
      </c>
      <c r="J107" s="38">
        <f t="shared" si="100"/>
        <v>3</v>
      </c>
      <c r="K107" s="38">
        <f t="shared" si="100"/>
        <v>0</v>
      </c>
      <c r="L107" s="38">
        <f t="shared" si="100"/>
        <v>3</v>
      </c>
      <c r="M107" s="38">
        <f t="shared" si="100"/>
        <v>3</v>
      </c>
      <c r="N107" s="38">
        <f>IF(IF(N110=0,0,4),4,0)</f>
        <v>0</v>
      </c>
      <c r="O107" s="38">
        <f t="shared" ref="O107:T107" si="101">IF(IF(O110=0,0,3),3,0)</f>
        <v>0</v>
      </c>
      <c r="P107" s="38">
        <f t="shared" si="101"/>
        <v>0</v>
      </c>
      <c r="Q107" s="38">
        <f t="shared" si="101"/>
        <v>0</v>
      </c>
      <c r="R107" s="38">
        <f t="shared" si="101"/>
        <v>0</v>
      </c>
      <c r="S107" s="38">
        <f t="shared" si="101"/>
        <v>0</v>
      </c>
      <c r="T107" s="38">
        <f t="shared" si="101"/>
        <v>0</v>
      </c>
      <c r="U107" s="38">
        <f>SUM(F107:T107)</f>
        <v>12</v>
      </c>
      <c r="V107" s="39"/>
      <c r="W107" s="103"/>
      <c r="X107" s="103"/>
      <c r="Y107" s="128"/>
    </row>
    <row r="108" spans="2:25" ht="19.5" thickTop="1" thickBot="1" x14ac:dyDescent="0.3">
      <c r="B108" s="158"/>
      <c r="C108" s="107"/>
      <c r="D108" s="101"/>
      <c r="E108" s="33" t="s">
        <v>216</v>
      </c>
      <c r="F108" s="41"/>
      <c r="G108" s="41"/>
      <c r="H108" s="41">
        <v>35</v>
      </c>
      <c r="I108" s="42"/>
      <c r="J108" s="42">
        <v>22</v>
      </c>
      <c r="K108" s="42"/>
      <c r="L108" s="42">
        <v>35</v>
      </c>
      <c r="M108" s="42">
        <v>36</v>
      </c>
      <c r="N108" s="41">
        <v>0</v>
      </c>
      <c r="O108" s="41">
        <v>0</v>
      </c>
      <c r="P108" s="41">
        <v>0</v>
      </c>
      <c r="Q108" s="42">
        <v>0</v>
      </c>
      <c r="R108" s="42">
        <v>0</v>
      </c>
      <c r="S108" s="42">
        <v>0</v>
      </c>
      <c r="T108" s="42">
        <v>0</v>
      </c>
      <c r="U108" s="42"/>
      <c r="V108" s="43"/>
      <c r="W108" s="104"/>
      <c r="X108" s="104"/>
      <c r="Y108" s="128"/>
    </row>
    <row r="109" spans="2:25" ht="19.5" thickTop="1" thickBot="1" x14ac:dyDescent="0.3">
      <c r="B109" s="158"/>
      <c r="C109" s="107"/>
      <c r="D109" s="101"/>
      <c r="E109" s="30" t="s">
        <v>3</v>
      </c>
      <c r="F109" s="45"/>
      <c r="G109" s="45"/>
      <c r="H109" s="45"/>
      <c r="I109" s="45"/>
      <c r="J109" s="45"/>
      <c r="K109" s="45"/>
      <c r="L109" s="45"/>
      <c r="M109" s="45"/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0</v>
      </c>
      <c r="U109" s="46"/>
      <c r="V109" s="47"/>
      <c r="W109" s="104"/>
      <c r="X109" s="104"/>
      <c r="Y109" s="128"/>
    </row>
    <row r="110" spans="2:25" ht="19.5" thickTop="1" thickBot="1" x14ac:dyDescent="0.3">
      <c r="B110" s="158"/>
      <c r="C110" s="107"/>
      <c r="D110" s="101"/>
      <c r="E110" s="31" t="s">
        <v>4</v>
      </c>
      <c r="F110" s="45">
        <f t="shared" ref="F110:T110" si="102">IF(F109&lt;30,F108,F108+F109)</f>
        <v>0</v>
      </c>
      <c r="G110" s="45">
        <f t="shared" si="102"/>
        <v>0</v>
      </c>
      <c r="H110" s="45">
        <f t="shared" si="102"/>
        <v>35</v>
      </c>
      <c r="I110" s="45">
        <f t="shared" si="102"/>
        <v>0</v>
      </c>
      <c r="J110" s="45">
        <f t="shared" si="102"/>
        <v>22</v>
      </c>
      <c r="K110" s="45">
        <f t="shared" si="102"/>
        <v>0</v>
      </c>
      <c r="L110" s="45">
        <f t="shared" si="102"/>
        <v>35</v>
      </c>
      <c r="M110" s="45">
        <f t="shared" si="102"/>
        <v>36</v>
      </c>
      <c r="N110" s="45">
        <f t="shared" si="102"/>
        <v>0</v>
      </c>
      <c r="O110" s="45">
        <f t="shared" si="102"/>
        <v>0</v>
      </c>
      <c r="P110" s="45">
        <f t="shared" si="102"/>
        <v>0</v>
      </c>
      <c r="Q110" s="45">
        <f t="shared" si="102"/>
        <v>0</v>
      </c>
      <c r="R110" s="45">
        <f t="shared" si="102"/>
        <v>0</v>
      </c>
      <c r="S110" s="45">
        <f t="shared" si="102"/>
        <v>0</v>
      </c>
      <c r="T110" s="45">
        <f t="shared" si="102"/>
        <v>0</v>
      </c>
      <c r="U110" s="46"/>
      <c r="V110" s="47"/>
      <c r="W110" s="104"/>
      <c r="X110" s="104"/>
      <c r="Y110" s="128"/>
    </row>
    <row r="111" spans="2:25" ht="37.5" thickTop="1" thickBot="1" x14ac:dyDescent="0.3">
      <c r="B111" s="159"/>
      <c r="C111" s="108"/>
      <c r="D111" s="102"/>
      <c r="E111" s="32" t="s">
        <v>6</v>
      </c>
      <c r="F111" s="53">
        <f t="shared" ref="F111:M111" si="103">SUM(F107*F110)</f>
        <v>0</v>
      </c>
      <c r="G111" s="53">
        <f t="shared" si="103"/>
        <v>0</v>
      </c>
      <c r="H111" s="53">
        <f t="shared" si="103"/>
        <v>105</v>
      </c>
      <c r="I111" s="53">
        <f t="shared" si="103"/>
        <v>0</v>
      </c>
      <c r="J111" s="53">
        <f t="shared" si="103"/>
        <v>66</v>
      </c>
      <c r="K111" s="53">
        <f t="shared" si="103"/>
        <v>0</v>
      </c>
      <c r="L111" s="53">
        <f t="shared" si="103"/>
        <v>105</v>
      </c>
      <c r="M111" s="53">
        <f t="shared" si="103"/>
        <v>108</v>
      </c>
      <c r="N111" s="53">
        <f t="shared" ref="N111:T111" si="104">SUM(N107*N110)</f>
        <v>0</v>
      </c>
      <c r="O111" s="53">
        <f t="shared" si="104"/>
        <v>0</v>
      </c>
      <c r="P111" s="53">
        <f t="shared" si="104"/>
        <v>0</v>
      </c>
      <c r="Q111" s="53">
        <f t="shared" si="104"/>
        <v>0</v>
      </c>
      <c r="R111" s="53">
        <f t="shared" si="104"/>
        <v>0</v>
      </c>
      <c r="S111" s="53">
        <f t="shared" si="104"/>
        <v>0</v>
      </c>
      <c r="T111" s="53">
        <f t="shared" si="104"/>
        <v>0</v>
      </c>
      <c r="U111" s="54">
        <f>SUM(F111:T111)</f>
        <v>384</v>
      </c>
      <c r="V111" s="53">
        <f>SUM(U111/U107)</f>
        <v>32</v>
      </c>
      <c r="W111" s="105"/>
      <c r="X111" s="105"/>
      <c r="Y111" s="129"/>
    </row>
    <row r="112" spans="2:25" ht="13.5" thickTop="1" x14ac:dyDescent="0.2"/>
  </sheetData>
  <mergeCells count="135">
    <mergeCell ref="B107:B111"/>
    <mergeCell ref="C107:C111"/>
    <mergeCell ref="D107:D111"/>
    <mergeCell ref="W107:W111"/>
    <mergeCell ref="X107:X111"/>
    <mergeCell ref="Y107:Y111"/>
    <mergeCell ref="B102:B106"/>
    <mergeCell ref="C102:C106"/>
    <mergeCell ref="D102:D106"/>
    <mergeCell ref="W102:W106"/>
    <mergeCell ref="X102:X106"/>
    <mergeCell ref="Y102:Y106"/>
    <mergeCell ref="B97:B101"/>
    <mergeCell ref="C97:C101"/>
    <mergeCell ref="D97:D101"/>
    <mergeCell ref="W97:W101"/>
    <mergeCell ref="X97:X101"/>
    <mergeCell ref="Y97:Y101"/>
    <mergeCell ref="B92:B96"/>
    <mergeCell ref="C92:C96"/>
    <mergeCell ref="D92:D96"/>
    <mergeCell ref="W92:W96"/>
    <mergeCell ref="X92:X96"/>
    <mergeCell ref="Y92:Y96"/>
    <mergeCell ref="B87:B91"/>
    <mergeCell ref="C87:C91"/>
    <mergeCell ref="D87:D91"/>
    <mergeCell ref="W87:W91"/>
    <mergeCell ref="X87:X91"/>
    <mergeCell ref="Y87:Y91"/>
    <mergeCell ref="B82:B86"/>
    <mergeCell ref="C82:C86"/>
    <mergeCell ref="D82:D86"/>
    <mergeCell ref="W82:W86"/>
    <mergeCell ref="X82:X86"/>
    <mergeCell ref="Y82:Y86"/>
    <mergeCell ref="B77:B81"/>
    <mergeCell ref="C77:C81"/>
    <mergeCell ref="D77:D81"/>
    <mergeCell ref="W77:W81"/>
    <mergeCell ref="X77:X81"/>
    <mergeCell ref="Y77:Y81"/>
    <mergeCell ref="B72:B76"/>
    <mergeCell ref="C72:C76"/>
    <mergeCell ref="D72:D76"/>
    <mergeCell ref="W72:W76"/>
    <mergeCell ref="X72:X76"/>
    <mergeCell ref="Y72:Y76"/>
    <mergeCell ref="B67:B71"/>
    <mergeCell ref="C67:C71"/>
    <mergeCell ref="D67:D71"/>
    <mergeCell ref="W67:W71"/>
    <mergeCell ref="X67:X71"/>
    <mergeCell ref="Y67:Y71"/>
    <mergeCell ref="B62:B66"/>
    <mergeCell ref="C62:C66"/>
    <mergeCell ref="D62:D66"/>
    <mergeCell ref="W62:W66"/>
    <mergeCell ref="X62:X66"/>
    <mergeCell ref="Y62:Y66"/>
    <mergeCell ref="B57:B61"/>
    <mergeCell ref="C57:C61"/>
    <mergeCell ref="D57:D61"/>
    <mergeCell ref="W57:W61"/>
    <mergeCell ref="X57:X61"/>
    <mergeCell ref="Y57:Y61"/>
    <mergeCell ref="B52:B56"/>
    <mergeCell ref="C52:C56"/>
    <mergeCell ref="D52:D56"/>
    <mergeCell ref="W52:W56"/>
    <mergeCell ref="X52:X56"/>
    <mergeCell ref="Y52:Y56"/>
    <mergeCell ref="B47:B51"/>
    <mergeCell ref="C47:C51"/>
    <mergeCell ref="D47:D51"/>
    <mergeCell ref="W47:W51"/>
    <mergeCell ref="X47:X51"/>
    <mergeCell ref="Y47:Y51"/>
    <mergeCell ref="B42:B46"/>
    <mergeCell ref="C42:C46"/>
    <mergeCell ref="D42:D46"/>
    <mergeCell ref="W42:W46"/>
    <mergeCell ref="X42:X46"/>
    <mergeCell ref="Y42:Y46"/>
    <mergeCell ref="B37:B41"/>
    <mergeCell ref="C37:C41"/>
    <mergeCell ref="D37:D41"/>
    <mergeCell ref="W37:W41"/>
    <mergeCell ref="X37:X41"/>
    <mergeCell ref="Y37:Y41"/>
    <mergeCell ref="B32:B36"/>
    <mergeCell ref="C32:C36"/>
    <mergeCell ref="D32:D36"/>
    <mergeCell ref="W32:W36"/>
    <mergeCell ref="X32:X36"/>
    <mergeCell ref="Y32:Y36"/>
    <mergeCell ref="B27:B31"/>
    <mergeCell ref="C27:C31"/>
    <mergeCell ref="D27:D31"/>
    <mergeCell ref="W27:W31"/>
    <mergeCell ref="X27:X31"/>
    <mergeCell ref="Y27:Y31"/>
    <mergeCell ref="B22:B26"/>
    <mergeCell ref="C22:C26"/>
    <mergeCell ref="D22:D26"/>
    <mergeCell ref="W22:W26"/>
    <mergeCell ref="X22:X26"/>
    <mergeCell ref="Y22:Y26"/>
    <mergeCell ref="B17:B21"/>
    <mergeCell ref="C17:C21"/>
    <mergeCell ref="D17:D21"/>
    <mergeCell ref="W17:W21"/>
    <mergeCell ref="X17:X21"/>
    <mergeCell ref="Y17:Y21"/>
    <mergeCell ref="Y7:Y11"/>
    <mergeCell ref="B12:B16"/>
    <mergeCell ref="C12:C16"/>
    <mergeCell ref="D12:D16"/>
    <mergeCell ref="W12:W16"/>
    <mergeCell ref="X12:X16"/>
    <mergeCell ref="Y12:Y16"/>
    <mergeCell ref="U5:U6"/>
    <mergeCell ref="V5:V6"/>
    <mergeCell ref="X5:X6"/>
    <mergeCell ref="B7:B11"/>
    <mergeCell ref="C7:C11"/>
    <mergeCell ref="D7:D11"/>
    <mergeCell ref="W7:W11"/>
    <mergeCell ref="X7:X11"/>
    <mergeCell ref="B5:B6"/>
    <mergeCell ref="C5:C6"/>
    <mergeCell ref="D5:D6"/>
    <mergeCell ref="E5:E6"/>
    <mergeCell ref="F5:M5"/>
    <mergeCell ref="N5:T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18A-F4AB-4D93-BB4B-9DD1BB544B96}">
  <dimension ref="B4:Z72"/>
  <sheetViews>
    <sheetView rightToLeft="1" tabSelected="1" workbookViewId="0">
      <selection activeCell="C17" sqref="C17:C21"/>
    </sheetView>
  </sheetViews>
  <sheetFormatPr defaultRowHeight="12.75" x14ac:dyDescent="0.2"/>
  <cols>
    <col min="3" max="3" width="26.28515625" customWidth="1"/>
    <col min="5" max="5" width="19.28515625" customWidth="1"/>
    <col min="26" max="26" width="16.140625" customWidth="1"/>
  </cols>
  <sheetData>
    <row r="4" spans="2:26" ht="13.5" thickBot="1" x14ac:dyDescent="0.25"/>
    <row r="5" spans="2:26" ht="16.5" thickTop="1" thickBot="1" x14ac:dyDescent="0.25">
      <c r="B5" s="143" t="s">
        <v>0</v>
      </c>
      <c r="C5" s="148" t="s">
        <v>7</v>
      </c>
      <c r="D5" s="150" t="s">
        <v>1</v>
      </c>
      <c r="E5" s="148" t="s">
        <v>2</v>
      </c>
      <c r="F5" s="145" t="s">
        <v>22</v>
      </c>
      <c r="G5" s="146"/>
      <c r="H5" s="146"/>
      <c r="I5" s="146"/>
      <c r="J5" s="146"/>
      <c r="K5" s="146"/>
      <c r="L5" s="146"/>
      <c r="M5" s="147"/>
      <c r="N5" s="154" t="s">
        <v>13</v>
      </c>
      <c r="O5" s="155"/>
      <c r="P5" s="155"/>
      <c r="Q5" s="155"/>
      <c r="R5" s="155"/>
      <c r="S5" s="155"/>
      <c r="T5" s="155"/>
      <c r="U5" s="155"/>
      <c r="V5" s="150" t="s">
        <v>4</v>
      </c>
      <c r="W5" s="150" t="s">
        <v>8</v>
      </c>
      <c r="X5" s="23"/>
      <c r="Y5" s="150" t="s">
        <v>16</v>
      </c>
      <c r="Z5" s="24"/>
    </row>
    <row r="6" spans="2:26" ht="108.75" thickTop="1" thickBot="1" x14ac:dyDescent="0.25">
      <c r="B6" s="144"/>
      <c r="C6" s="152"/>
      <c r="D6" s="151"/>
      <c r="E6" s="149"/>
      <c r="F6" s="21" t="s">
        <v>50</v>
      </c>
      <c r="G6" s="21" t="s">
        <v>51</v>
      </c>
      <c r="H6" s="21" t="s">
        <v>52</v>
      </c>
      <c r="I6" s="21" t="s">
        <v>53</v>
      </c>
      <c r="J6" s="21" t="s">
        <v>54</v>
      </c>
      <c r="K6" s="21" t="s">
        <v>55</v>
      </c>
      <c r="L6" s="21" t="s">
        <v>56</v>
      </c>
      <c r="M6" s="21" t="s">
        <v>57</v>
      </c>
      <c r="N6" s="21" t="s">
        <v>43</v>
      </c>
      <c r="O6" s="21" t="s">
        <v>42</v>
      </c>
      <c r="P6" s="21" t="s">
        <v>44</v>
      </c>
      <c r="Q6" s="21" t="s">
        <v>45</v>
      </c>
      <c r="R6" s="21" t="s">
        <v>46</v>
      </c>
      <c r="S6" s="21" t="s">
        <v>47</v>
      </c>
      <c r="T6" s="21" t="s">
        <v>48</v>
      </c>
      <c r="U6" s="21" t="s">
        <v>49</v>
      </c>
      <c r="V6" s="153"/>
      <c r="W6" s="153"/>
      <c r="X6" s="21" t="s">
        <v>15</v>
      </c>
      <c r="Y6" s="153"/>
      <c r="Z6" s="22" t="s">
        <v>17</v>
      </c>
    </row>
    <row r="7" spans="2:26" ht="20.25" thickTop="1" thickBot="1" x14ac:dyDescent="0.35">
      <c r="B7" s="157">
        <v>-1</v>
      </c>
      <c r="C7" s="138" t="s">
        <v>200</v>
      </c>
      <c r="D7" s="113" t="s">
        <v>353</v>
      </c>
      <c r="E7" s="9" t="s">
        <v>5</v>
      </c>
      <c r="F7" s="38">
        <f t="shared" ref="F7:M7" si="0">IF(IF(F10=0,0,3),3,0)</f>
        <v>0</v>
      </c>
      <c r="G7" s="38">
        <f t="shared" si="0"/>
        <v>0</v>
      </c>
      <c r="H7" s="38">
        <f t="shared" si="0"/>
        <v>0</v>
      </c>
      <c r="I7" s="38">
        <f t="shared" si="0"/>
        <v>3</v>
      </c>
      <c r="J7" s="38">
        <f t="shared" si="0"/>
        <v>3</v>
      </c>
      <c r="K7" s="38">
        <f t="shared" si="0"/>
        <v>3</v>
      </c>
      <c r="L7" s="38">
        <f t="shared" si="0"/>
        <v>0</v>
      </c>
      <c r="M7" s="38">
        <f t="shared" si="0"/>
        <v>0</v>
      </c>
      <c r="N7" s="38">
        <f>IF(IF(N10=0,0,3),3,0)</f>
        <v>0</v>
      </c>
      <c r="O7" s="38">
        <f>IF(IF(O10=0,0,4),4,0)</f>
        <v>0</v>
      </c>
      <c r="P7" s="38">
        <f t="shared" ref="P7:U7" si="1">IF(IF(P10=0,0,3),3,0)</f>
        <v>0</v>
      </c>
      <c r="Q7" s="38">
        <f t="shared" si="1"/>
        <v>0</v>
      </c>
      <c r="R7" s="38">
        <f t="shared" si="1"/>
        <v>0</v>
      </c>
      <c r="S7" s="38">
        <f t="shared" si="1"/>
        <v>0</v>
      </c>
      <c r="T7" s="38">
        <f t="shared" si="1"/>
        <v>0</v>
      </c>
      <c r="U7" s="38">
        <f t="shared" si="1"/>
        <v>0</v>
      </c>
      <c r="V7" s="38">
        <f>SUM(F7:U7)</f>
        <v>9</v>
      </c>
      <c r="W7" s="39"/>
      <c r="X7" s="112"/>
      <c r="Y7" s="112"/>
      <c r="Z7" s="127"/>
    </row>
    <row r="8" spans="2:26" ht="19.5" thickTop="1" thickBot="1" x14ac:dyDescent="0.3">
      <c r="B8" s="158"/>
      <c r="C8" s="107"/>
      <c r="D8" s="101"/>
      <c r="E8" s="29" t="s">
        <v>216</v>
      </c>
      <c r="F8" s="75"/>
      <c r="G8" s="75"/>
      <c r="H8" s="75"/>
      <c r="I8" s="79">
        <v>33</v>
      </c>
      <c r="J8" s="79">
        <v>38</v>
      </c>
      <c r="K8" s="79">
        <v>30</v>
      </c>
      <c r="L8" s="79"/>
      <c r="M8" s="79"/>
      <c r="N8" s="41">
        <v>0</v>
      </c>
      <c r="O8" s="41">
        <v>0</v>
      </c>
      <c r="P8" s="41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/>
      <c r="W8" s="43"/>
      <c r="X8" s="101"/>
      <c r="Y8" s="101"/>
      <c r="Z8" s="128"/>
    </row>
    <row r="9" spans="2:26" ht="19.5" thickTop="1" thickBot="1" x14ac:dyDescent="0.3">
      <c r="B9" s="158"/>
      <c r="C9" s="107"/>
      <c r="D9" s="101"/>
      <c r="E9" s="30" t="s">
        <v>3</v>
      </c>
      <c r="F9" s="74"/>
      <c r="G9" s="74"/>
      <c r="H9" s="74"/>
      <c r="I9" s="74"/>
      <c r="J9" s="74"/>
      <c r="K9" s="74"/>
      <c r="L9" s="74"/>
      <c r="M9" s="74"/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6"/>
      <c r="W9" s="47"/>
      <c r="X9" s="101"/>
      <c r="Y9" s="101"/>
      <c r="Z9" s="128"/>
    </row>
    <row r="10" spans="2:26" ht="19.5" thickTop="1" thickBot="1" x14ac:dyDescent="0.3">
      <c r="B10" s="158"/>
      <c r="C10" s="107"/>
      <c r="D10" s="101"/>
      <c r="E10" s="31" t="s">
        <v>4</v>
      </c>
      <c r="F10" s="45">
        <f t="shared" ref="F10:U10" si="2">IF(F9&lt;30,F8,F8+F9)</f>
        <v>0</v>
      </c>
      <c r="G10" s="45">
        <f t="shared" si="2"/>
        <v>0</v>
      </c>
      <c r="H10" s="45">
        <f t="shared" si="2"/>
        <v>0</v>
      </c>
      <c r="I10" s="45">
        <f t="shared" si="2"/>
        <v>33</v>
      </c>
      <c r="J10" s="45">
        <f t="shared" si="2"/>
        <v>38</v>
      </c>
      <c r="K10" s="45">
        <f t="shared" si="2"/>
        <v>30</v>
      </c>
      <c r="L10" s="45">
        <f t="shared" si="2"/>
        <v>0</v>
      </c>
      <c r="M10" s="45">
        <f t="shared" si="2"/>
        <v>0</v>
      </c>
      <c r="N10" s="45">
        <f t="shared" si="2"/>
        <v>0</v>
      </c>
      <c r="O10" s="45">
        <f t="shared" si="2"/>
        <v>0</v>
      </c>
      <c r="P10" s="45">
        <f t="shared" si="2"/>
        <v>0</v>
      </c>
      <c r="Q10" s="45">
        <f t="shared" si="2"/>
        <v>0</v>
      </c>
      <c r="R10" s="45">
        <f t="shared" si="2"/>
        <v>0</v>
      </c>
      <c r="S10" s="45">
        <f t="shared" si="2"/>
        <v>0</v>
      </c>
      <c r="T10" s="45">
        <f t="shared" si="2"/>
        <v>0</v>
      </c>
      <c r="U10" s="45">
        <f t="shared" si="2"/>
        <v>0</v>
      </c>
      <c r="V10" s="46"/>
      <c r="W10" s="47"/>
      <c r="X10" s="101"/>
      <c r="Y10" s="101"/>
      <c r="Z10" s="128"/>
    </row>
    <row r="11" spans="2:26" ht="37.5" thickTop="1" thickBot="1" x14ac:dyDescent="0.3">
      <c r="B11" s="159"/>
      <c r="C11" s="108"/>
      <c r="D11" s="102"/>
      <c r="E11" s="32" t="s">
        <v>6</v>
      </c>
      <c r="F11" s="36">
        <f t="shared" ref="F11:M11" si="3">SUM(F7*F10)</f>
        <v>0</v>
      </c>
      <c r="G11" s="36">
        <f t="shared" si="3"/>
        <v>0</v>
      </c>
      <c r="H11" s="36">
        <f t="shared" si="3"/>
        <v>0</v>
      </c>
      <c r="I11" s="36">
        <f t="shared" si="3"/>
        <v>99</v>
      </c>
      <c r="J11" s="36">
        <f t="shared" si="3"/>
        <v>114</v>
      </c>
      <c r="K11" s="36">
        <f t="shared" si="3"/>
        <v>90</v>
      </c>
      <c r="L11" s="36">
        <f t="shared" si="3"/>
        <v>0</v>
      </c>
      <c r="M11" s="36">
        <f t="shared" si="3"/>
        <v>0</v>
      </c>
      <c r="N11" s="36">
        <f t="shared" ref="N11:U11" si="4">SUM(N7*N10)</f>
        <v>0</v>
      </c>
      <c r="O11" s="36">
        <f t="shared" si="4"/>
        <v>0</v>
      </c>
      <c r="P11" s="36">
        <f t="shared" si="4"/>
        <v>0</v>
      </c>
      <c r="Q11" s="36">
        <f t="shared" si="4"/>
        <v>0</v>
      </c>
      <c r="R11" s="36">
        <f t="shared" si="4"/>
        <v>0</v>
      </c>
      <c r="S11" s="36">
        <f t="shared" si="4"/>
        <v>0</v>
      </c>
      <c r="T11" s="36">
        <f t="shared" si="4"/>
        <v>0</v>
      </c>
      <c r="U11" s="36">
        <f t="shared" si="4"/>
        <v>0</v>
      </c>
      <c r="V11" s="50">
        <f>SUM(F11:U11)</f>
        <v>303</v>
      </c>
      <c r="W11" s="51">
        <f>SUM(V11/V7)</f>
        <v>33.666666666666664</v>
      </c>
      <c r="X11" s="102"/>
      <c r="Y11" s="102"/>
      <c r="Z11" s="129"/>
    </row>
    <row r="12" spans="2:26" ht="20.25" thickTop="1" thickBot="1" x14ac:dyDescent="0.35">
      <c r="B12" s="160">
        <v>-2</v>
      </c>
      <c r="C12" s="106" t="s">
        <v>201</v>
      </c>
      <c r="D12" s="101" t="s">
        <v>352</v>
      </c>
      <c r="E12" s="9" t="s">
        <v>5</v>
      </c>
      <c r="F12" s="38">
        <f t="shared" ref="F12:M12" si="5">IF(IF(F15=0,0,3),3,0)</f>
        <v>0</v>
      </c>
      <c r="G12" s="38">
        <f t="shared" si="5"/>
        <v>0</v>
      </c>
      <c r="H12" s="38">
        <f t="shared" si="5"/>
        <v>0</v>
      </c>
      <c r="I12" s="38">
        <f t="shared" si="5"/>
        <v>3</v>
      </c>
      <c r="J12" s="38">
        <f t="shared" si="5"/>
        <v>3</v>
      </c>
      <c r="K12" s="38">
        <f t="shared" si="5"/>
        <v>3</v>
      </c>
      <c r="L12" s="38">
        <f t="shared" si="5"/>
        <v>0</v>
      </c>
      <c r="M12" s="38">
        <f t="shared" si="5"/>
        <v>0</v>
      </c>
      <c r="N12" s="38">
        <f>IF(IF(N15=0,0,3),3,0)</f>
        <v>0</v>
      </c>
      <c r="O12" s="38">
        <f>IF(IF(O15=0,0,4),4,0)</f>
        <v>0</v>
      </c>
      <c r="P12" s="38">
        <f t="shared" ref="P12:U12" si="6">IF(IF(P15=0,0,3),3,0)</f>
        <v>0</v>
      </c>
      <c r="Q12" s="38">
        <f t="shared" si="6"/>
        <v>0</v>
      </c>
      <c r="R12" s="38">
        <f t="shared" si="6"/>
        <v>0</v>
      </c>
      <c r="S12" s="38">
        <f t="shared" si="6"/>
        <v>0</v>
      </c>
      <c r="T12" s="38">
        <f t="shared" si="6"/>
        <v>0</v>
      </c>
      <c r="U12" s="38">
        <f t="shared" si="6"/>
        <v>0</v>
      </c>
      <c r="V12" s="38">
        <f>SUM(F12:U12)</f>
        <v>9</v>
      </c>
      <c r="W12" s="39"/>
      <c r="X12" s="112"/>
      <c r="Y12" s="112"/>
      <c r="Z12" s="127"/>
    </row>
    <row r="13" spans="2:26" ht="19.5" thickTop="1" thickBot="1" x14ac:dyDescent="0.3">
      <c r="B13" s="158"/>
      <c r="C13" s="107"/>
      <c r="D13" s="101"/>
      <c r="E13" s="29" t="s">
        <v>216</v>
      </c>
      <c r="F13" s="75"/>
      <c r="G13" s="75"/>
      <c r="H13" s="75"/>
      <c r="I13" s="79">
        <v>38</v>
      </c>
      <c r="J13" s="79">
        <v>40</v>
      </c>
      <c r="K13" s="79">
        <v>30</v>
      </c>
      <c r="L13" s="79"/>
      <c r="M13" s="79"/>
      <c r="N13" s="85">
        <v>0</v>
      </c>
      <c r="O13" s="41">
        <v>0</v>
      </c>
      <c r="P13" s="41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/>
      <c r="W13" s="43"/>
      <c r="X13" s="101"/>
      <c r="Y13" s="101"/>
      <c r="Z13" s="128"/>
    </row>
    <row r="14" spans="2:26" ht="19.5" thickTop="1" thickBot="1" x14ac:dyDescent="0.3">
      <c r="B14" s="158"/>
      <c r="C14" s="107"/>
      <c r="D14" s="101"/>
      <c r="E14" s="30" t="s">
        <v>3</v>
      </c>
      <c r="F14" s="74"/>
      <c r="G14" s="74"/>
      <c r="H14" s="74"/>
      <c r="I14" s="74"/>
      <c r="J14" s="74"/>
      <c r="K14" s="74"/>
      <c r="L14" s="74"/>
      <c r="M14" s="74"/>
      <c r="N14" s="86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6"/>
      <c r="W14" s="47"/>
      <c r="X14" s="101"/>
      <c r="Y14" s="101"/>
      <c r="Z14" s="128"/>
    </row>
    <row r="15" spans="2:26" ht="19.5" thickTop="1" thickBot="1" x14ac:dyDescent="0.3">
      <c r="B15" s="158"/>
      <c r="C15" s="107"/>
      <c r="D15" s="101"/>
      <c r="E15" s="31" t="s">
        <v>4</v>
      </c>
      <c r="F15" s="45">
        <f t="shared" ref="F15:U15" si="7">IF(F14&lt;30,F13,F13+F14)</f>
        <v>0</v>
      </c>
      <c r="G15" s="45">
        <f t="shared" si="7"/>
        <v>0</v>
      </c>
      <c r="H15" s="45">
        <f t="shared" si="7"/>
        <v>0</v>
      </c>
      <c r="I15" s="45">
        <f t="shared" si="7"/>
        <v>38</v>
      </c>
      <c r="J15" s="45">
        <f t="shared" si="7"/>
        <v>40</v>
      </c>
      <c r="K15" s="45">
        <f t="shared" si="7"/>
        <v>30</v>
      </c>
      <c r="L15" s="45">
        <f t="shared" si="7"/>
        <v>0</v>
      </c>
      <c r="M15" s="45">
        <f t="shared" si="7"/>
        <v>0</v>
      </c>
      <c r="N15" s="86">
        <f t="shared" si="7"/>
        <v>0</v>
      </c>
      <c r="O15" s="45">
        <f t="shared" si="7"/>
        <v>0</v>
      </c>
      <c r="P15" s="45">
        <f t="shared" si="7"/>
        <v>0</v>
      </c>
      <c r="Q15" s="45">
        <f t="shared" si="7"/>
        <v>0</v>
      </c>
      <c r="R15" s="45">
        <f t="shared" si="7"/>
        <v>0</v>
      </c>
      <c r="S15" s="45">
        <f t="shared" si="7"/>
        <v>0</v>
      </c>
      <c r="T15" s="45">
        <f t="shared" si="7"/>
        <v>0</v>
      </c>
      <c r="U15" s="45">
        <f t="shared" si="7"/>
        <v>0</v>
      </c>
      <c r="V15" s="46"/>
      <c r="W15" s="47"/>
      <c r="X15" s="101"/>
      <c r="Y15" s="101"/>
      <c r="Z15" s="128"/>
    </row>
    <row r="16" spans="2:26" ht="37.5" thickTop="1" thickBot="1" x14ac:dyDescent="0.3">
      <c r="B16" s="166"/>
      <c r="C16" s="163"/>
      <c r="D16" s="102"/>
      <c r="E16" s="32" t="s">
        <v>6</v>
      </c>
      <c r="F16" s="36">
        <f t="shared" ref="F16:M16" si="8">SUM(F12*F15)</f>
        <v>0</v>
      </c>
      <c r="G16" s="36">
        <f t="shared" si="8"/>
        <v>0</v>
      </c>
      <c r="H16" s="36">
        <f t="shared" si="8"/>
        <v>0</v>
      </c>
      <c r="I16" s="36">
        <f t="shared" si="8"/>
        <v>114</v>
      </c>
      <c r="J16" s="36">
        <f t="shared" si="8"/>
        <v>120</v>
      </c>
      <c r="K16" s="36">
        <f t="shared" si="8"/>
        <v>90</v>
      </c>
      <c r="L16" s="36">
        <f t="shared" si="8"/>
        <v>0</v>
      </c>
      <c r="M16" s="36">
        <f t="shared" si="8"/>
        <v>0</v>
      </c>
      <c r="N16" s="87">
        <f t="shared" ref="N16:U16" si="9">SUM(N12*N15)</f>
        <v>0</v>
      </c>
      <c r="O16" s="36">
        <f t="shared" si="9"/>
        <v>0</v>
      </c>
      <c r="P16" s="36">
        <f t="shared" si="9"/>
        <v>0</v>
      </c>
      <c r="Q16" s="36">
        <f t="shared" si="9"/>
        <v>0</v>
      </c>
      <c r="R16" s="36">
        <f t="shared" si="9"/>
        <v>0</v>
      </c>
      <c r="S16" s="36">
        <f t="shared" si="9"/>
        <v>0</v>
      </c>
      <c r="T16" s="36">
        <f t="shared" si="9"/>
        <v>0</v>
      </c>
      <c r="U16" s="36">
        <f t="shared" si="9"/>
        <v>0</v>
      </c>
      <c r="V16" s="50">
        <f>SUM(F16:U16)</f>
        <v>324</v>
      </c>
      <c r="W16" s="51">
        <f>SUM(V16/V12)</f>
        <v>36</v>
      </c>
      <c r="X16" s="102"/>
      <c r="Y16" s="102"/>
      <c r="Z16" s="129"/>
    </row>
    <row r="17" spans="2:26" ht="20.25" thickTop="1" thickBot="1" x14ac:dyDescent="0.35">
      <c r="B17" s="158">
        <v>-3</v>
      </c>
      <c r="C17" s="164" t="s">
        <v>202</v>
      </c>
      <c r="D17" s="112" t="s">
        <v>351</v>
      </c>
      <c r="E17" s="10" t="s">
        <v>5</v>
      </c>
      <c r="F17" s="38">
        <f t="shared" ref="F17:M17" si="10">IF(IF(F20=0,0,3),3,0)</f>
        <v>0</v>
      </c>
      <c r="G17" s="38">
        <f t="shared" si="10"/>
        <v>0</v>
      </c>
      <c r="H17" s="38">
        <f t="shared" si="10"/>
        <v>0</v>
      </c>
      <c r="I17" s="38">
        <f t="shared" si="10"/>
        <v>3</v>
      </c>
      <c r="J17" s="38">
        <f t="shared" si="10"/>
        <v>3</v>
      </c>
      <c r="K17" s="38">
        <f t="shared" si="10"/>
        <v>3</v>
      </c>
      <c r="L17" s="38">
        <f t="shared" si="10"/>
        <v>0</v>
      </c>
      <c r="M17" s="38">
        <f t="shared" si="10"/>
        <v>0</v>
      </c>
      <c r="N17" s="38">
        <f>IF(IF(N20=0,0,3),3,0)</f>
        <v>0</v>
      </c>
      <c r="O17" s="38">
        <f>IF(IF(O20=0,0,4),4,0)</f>
        <v>0</v>
      </c>
      <c r="P17" s="38">
        <f t="shared" ref="P17:U17" si="11">IF(IF(P20=0,0,3),3,0)</f>
        <v>0</v>
      </c>
      <c r="Q17" s="38">
        <f t="shared" si="11"/>
        <v>0</v>
      </c>
      <c r="R17" s="38">
        <f t="shared" si="11"/>
        <v>0</v>
      </c>
      <c r="S17" s="38">
        <f t="shared" si="11"/>
        <v>0</v>
      </c>
      <c r="T17" s="38">
        <f t="shared" si="11"/>
        <v>0</v>
      </c>
      <c r="U17" s="38">
        <f t="shared" si="11"/>
        <v>0</v>
      </c>
      <c r="V17" s="38">
        <f>SUM(F17:U17)</f>
        <v>9</v>
      </c>
      <c r="W17" s="39"/>
      <c r="X17" s="112"/>
      <c r="Y17" s="112"/>
      <c r="Z17" s="127"/>
    </row>
    <row r="18" spans="2:26" ht="19.5" thickTop="1" thickBot="1" x14ac:dyDescent="0.3">
      <c r="B18" s="158"/>
      <c r="C18" s="107"/>
      <c r="D18" s="101"/>
      <c r="E18" s="33" t="s">
        <v>216</v>
      </c>
      <c r="F18" s="75"/>
      <c r="G18" s="75"/>
      <c r="H18" s="75"/>
      <c r="I18" s="79">
        <v>40</v>
      </c>
      <c r="J18" s="79">
        <v>40</v>
      </c>
      <c r="K18" s="79">
        <v>39</v>
      </c>
      <c r="L18" s="79"/>
      <c r="M18" s="79"/>
      <c r="N18" s="41">
        <v>0</v>
      </c>
      <c r="O18" s="41">
        <v>0</v>
      </c>
      <c r="P18" s="41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/>
      <c r="W18" s="43"/>
      <c r="X18" s="101"/>
      <c r="Y18" s="101"/>
      <c r="Z18" s="128"/>
    </row>
    <row r="19" spans="2:26" ht="19.5" thickTop="1" thickBot="1" x14ac:dyDescent="0.3">
      <c r="B19" s="158"/>
      <c r="C19" s="107"/>
      <c r="D19" s="101"/>
      <c r="E19" s="30" t="s">
        <v>3</v>
      </c>
      <c r="F19" s="74"/>
      <c r="G19" s="74"/>
      <c r="H19" s="74"/>
      <c r="I19" s="74"/>
      <c r="J19" s="74"/>
      <c r="K19" s="74"/>
      <c r="L19" s="74"/>
      <c r="M19" s="74"/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6"/>
      <c r="W19" s="47"/>
      <c r="X19" s="101"/>
      <c r="Y19" s="101"/>
      <c r="Z19" s="128"/>
    </row>
    <row r="20" spans="2:26" ht="19.5" thickTop="1" thickBot="1" x14ac:dyDescent="0.3">
      <c r="B20" s="158"/>
      <c r="C20" s="107"/>
      <c r="D20" s="101"/>
      <c r="E20" s="31" t="s">
        <v>4</v>
      </c>
      <c r="F20" s="45">
        <f t="shared" ref="F20:U20" si="12">IF(F19&lt;30,F18,F18+F19)</f>
        <v>0</v>
      </c>
      <c r="G20" s="45">
        <f t="shared" si="12"/>
        <v>0</v>
      </c>
      <c r="H20" s="45">
        <f t="shared" si="12"/>
        <v>0</v>
      </c>
      <c r="I20" s="45">
        <f t="shared" si="12"/>
        <v>40</v>
      </c>
      <c r="J20" s="45">
        <f t="shared" si="12"/>
        <v>40</v>
      </c>
      <c r="K20" s="45">
        <f t="shared" si="12"/>
        <v>39</v>
      </c>
      <c r="L20" s="45">
        <f t="shared" si="12"/>
        <v>0</v>
      </c>
      <c r="M20" s="45">
        <f t="shared" si="12"/>
        <v>0</v>
      </c>
      <c r="N20" s="45">
        <f t="shared" si="12"/>
        <v>0</v>
      </c>
      <c r="O20" s="45">
        <f t="shared" si="12"/>
        <v>0</v>
      </c>
      <c r="P20" s="45">
        <f t="shared" si="12"/>
        <v>0</v>
      </c>
      <c r="Q20" s="45">
        <f t="shared" si="12"/>
        <v>0</v>
      </c>
      <c r="R20" s="45">
        <f t="shared" si="12"/>
        <v>0</v>
      </c>
      <c r="S20" s="45">
        <f t="shared" si="12"/>
        <v>0</v>
      </c>
      <c r="T20" s="45">
        <f t="shared" si="12"/>
        <v>0</v>
      </c>
      <c r="U20" s="45">
        <f t="shared" si="12"/>
        <v>0</v>
      </c>
      <c r="V20" s="46"/>
      <c r="W20" s="47"/>
      <c r="X20" s="101"/>
      <c r="Y20" s="101"/>
      <c r="Z20" s="128"/>
    </row>
    <row r="21" spans="2:26" ht="37.5" thickTop="1" thickBot="1" x14ac:dyDescent="0.3">
      <c r="B21" s="161"/>
      <c r="C21" s="108"/>
      <c r="D21" s="102"/>
      <c r="E21" s="35" t="s">
        <v>6</v>
      </c>
      <c r="F21" s="36">
        <f t="shared" ref="F21:M21" si="13">SUM(F17*F20)</f>
        <v>0</v>
      </c>
      <c r="G21" s="36">
        <f t="shared" si="13"/>
        <v>0</v>
      </c>
      <c r="H21" s="36">
        <f t="shared" si="13"/>
        <v>0</v>
      </c>
      <c r="I21" s="36">
        <f t="shared" si="13"/>
        <v>120</v>
      </c>
      <c r="J21" s="36">
        <f t="shared" si="13"/>
        <v>120</v>
      </c>
      <c r="K21" s="36">
        <f t="shared" si="13"/>
        <v>117</v>
      </c>
      <c r="L21" s="36">
        <f t="shared" si="13"/>
        <v>0</v>
      </c>
      <c r="M21" s="36">
        <f t="shared" si="13"/>
        <v>0</v>
      </c>
      <c r="N21" s="36">
        <f t="shared" ref="N21:U21" si="14">SUM(N17*N20)</f>
        <v>0</v>
      </c>
      <c r="O21" s="36">
        <f t="shared" si="14"/>
        <v>0</v>
      </c>
      <c r="P21" s="36">
        <f t="shared" si="14"/>
        <v>0</v>
      </c>
      <c r="Q21" s="36">
        <f t="shared" si="14"/>
        <v>0</v>
      </c>
      <c r="R21" s="36">
        <f t="shared" si="14"/>
        <v>0</v>
      </c>
      <c r="S21" s="36">
        <f t="shared" si="14"/>
        <v>0</v>
      </c>
      <c r="T21" s="36">
        <f t="shared" si="14"/>
        <v>0</v>
      </c>
      <c r="U21" s="36">
        <f t="shared" si="14"/>
        <v>0</v>
      </c>
      <c r="V21" s="50">
        <f>SUM(F21:U21)</f>
        <v>357</v>
      </c>
      <c r="W21" s="51">
        <f>SUM(V21/V17)</f>
        <v>39.666666666666664</v>
      </c>
      <c r="X21" s="102"/>
      <c r="Y21" s="102"/>
      <c r="Z21" s="129"/>
    </row>
    <row r="22" spans="2:26" ht="20.25" thickTop="1" thickBot="1" x14ac:dyDescent="0.35">
      <c r="B22" s="162">
        <v>-4</v>
      </c>
      <c r="C22" s="106" t="s">
        <v>203</v>
      </c>
      <c r="D22" s="112" t="s">
        <v>350</v>
      </c>
      <c r="E22" s="10" t="s">
        <v>5</v>
      </c>
      <c r="F22" s="38">
        <f t="shared" ref="F22:M22" si="15">IF(IF(F25=0,0,3),3,0)</f>
        <v>0</v>
      </c>
      <c r="G22" s="38">
        <f t="shared" si="15"/>
        <v>0</v>
      </c>
      <c r="H22" s="38">
        <f t="shared" si="15"/>
        <v>0</v>
      </c>
      <c r="I22" s="38">
        <f t="shared" si="15"/>
        <v>3</v>
      </c>
      <c r="J22" s="38">
        <f t="shared" si="15"/>
        <v>3</v>
      </c>
      <c r="K22" s="38">
        <f t="shared" si="15"/>
        <v>3</v>
      </c>
      <c r="L22" s="38">
        <f t="shared" si="15"/>
        <v>0</v>
      </c>
      <c r="M22" s="38">
        <f t="shared" si="15"/>
        <v>0</v>
      </c>
      <c r="N22" s="38">
        <f>IF(IF(N25=0,0,3),3,0)</f>
        <v>0</v>
      </c>
      <c r="O22" s="38">
        <f>IF(IF(O25=0,0,4),4,0)</f>
        <v>0</v>
      </c>
      <c r="P22" s="38">
        <f t="shared" ref="P22:U22" si="16">IF(IF(P25=0,0,3),3,0)</f>
        <v>0</v>
      </c>
      <c r="Q22" s="38">
        <f t="shared" si="16"/>
        <v>0</v>
      </c>
      <c r="R22" s="38">
        <f t="shared" si="16"/>
        <v>0</v>
      </c>
      <c r="S22" s="38">
        <f t="shared" si="16"/>
        <v>0</v>
      </c>
      <c r="T22" s="38">
        <f t="shared" si="16"/>
        <v>0</v>
      </c>
      <c r="U22" s="38">
        <f t="shared" si="16"/>
        <v>0</v>
      </c>
      <c r="V22" s="38">
        <f>SUM(F22:U22)</f>
        <v>9</v>
      </c>
      <c r="W22" s="39"/>
      <c r="X22" s="112"/>
      <c r="Y22" s="112"/>
      <c r="Z22" s="127"/>
    </row>
    <row r="23" spans="2:26" ht="19.5" thickTop="1" thickBot="1" x14ac:dyDescent="0.3">
      <c r="B23" s="158"/>
      <c r="C23" s="107"/>
      <c r="D23" s="101"/>
      <c r="E23" s="33" t="s">
        <v>216</v>
      </c>
      <c r="F23" s="75"/>
      <c r="G23" s="75"/>
      <c r="H23" s="75"/>
      <c r="I23" s="79">
        <v>38</v>
      </c>
      <c r="J23" s="79">
        <v>36</v>
      </c>
      <c r="K23" s="79">
        <v>38</v>
      </c>
      <c r="L23" s="79"/>
      <c r="M23" s="79"/>
      <c r="N23" s="41">
        <v>0</v>
      </c>
      <c r="O23" s="41">
        <v>0</v>
      </c>
      <c r="P23" s="41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/>
      <c r="W23" s="43"/>
      <c r="X23" s="101"/>
      <c r="Y23" s="101"/>
      <c r="Z23" s="128"/>
    </row>
    <row r="24" spans="2:26" ht="19.5" thickTop="1" thickBot="1" x14ac:dyDescent="0.3">
      <c r="B24" s="158"/>
      <c r="C24" s="107"/>
      <c r="D24" s="101"/>
      <c r="E24" s="30" t="s">
        <v>3</v>
      </c>
      <c r="F24" s="74"/>
      <c r="G24" s="74"/>
      <c r="H24" s="74"/>
      <c r="I24" s="74"/>
      <c r="J24" s="74"/>
      <c r="K24" s="74"/>
      <c r="L24" s="74"/>
      <c r="M24" s="74"/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6"/>
      <c r="W24" s="47"/>
      <c r="X24" s="101"/>
      <c r="Y24" s="101"/>
      <c r="Z24" s="128"/>
    </row>
    <row r="25" spans="2:26" ht="19.5" thickTop="1" thickBot="1" x14ac:dyDescent="0.3">
      <c r="B25" s="158"/>
      <c r="C25" s="107"/>
      <c r="D25" s="101"/>
      <c r="E25" s="31" t="s">
        <v>4</v>
      </c>
      <c r="F25" s="45">
        <f t="shared" ref="F25:U25" si="17">IF(F24&lt;30,F23,F23+F24)</f>
        <v>0</v>
      </c>
      <c r="G25" s="45">
        <f t="shared" si="17"/>
        <v>0</v>
      </c>
      <c r="H25" s="45">
        <f t="shared" si="17"/>
        <v>0</v>
      </c>
      <c r="I25" s="45">
        <f t="shared" si="17"/>
        <v>38</v>
      </c>
      <c r="J25" s="45">
        <f t="shared" si="17"/>
        <v>36</v>
      </c>
      <c r="K25" s="45">
        <f t="shared" si="17"/>
        <v>38</v>
      </c>
      <c r="L25" s="45">
        <f t="shared" si="17"/>
        <v>0</v>
      </c>
      <c r="M25" s="45">
        <f t="shared" si="17"/>
        <v>0</v>
      </c>
      <c r="N25" s="45">
        <f t="shared" si="17"/>
        <v>0</v>
      </c>
      <c r="O25" s="45">
        <f t="shared" si="17"/>
        <v>0</v>
      </c>
      <c r="P25" s="45">
        <f t="shared" si="17"/>
        <v>0</v>
      </c>
      <c r="Q25" s="45">
        <f t="shared" si="17"/>
        <v>0</v>
      </c>
      <c r="R25" s="45">
        <f t="shared" si="17"/>
        <v>0</v>
      </c>
      <c r="S25" s="45">
        <f t="shared" si="17"/>
        <v>0</v>
      </c>
      <c r="T25" s="45">
        <f t="shared" si="17"/>
        <v>0</v>
      </c>
      <c r="U25" s="45">
        <f t="shared" si="17"/>
        <v>0</v>
      </c>
      <c r="V25" s="46"/>
      <c r="W25" s="47"/>
      <c r="X25" s="101"/>
      <c r="Y25" s="101"/>
      <c r="Z25" s="128"/>
    </row>
    <row r="26" spans="2:26" ht="37.5" thickTop="1" thickBot="1" x14ac:dyDescent="0.3">
      <c r="B26" s="161"/>
      <c r="C26" s="108"/>
      <c r="D26" s="102"/>
      <c r="E26" s="35" t="s">
        <v>6</v>
      </c>
      <c r="F26" s="36">
        <f t="shared" ref="F26:M26" si="18">SUM(F22*F25)</f>
        <v>0</v>
      </c>
      <c r="G26" s="36">
        <f t="shared" si="18"/>
        <v>0</v>
      </c>
      <c r="H26" s="36">
        <f t="shared" si="18"/>
        <v>0</v>
      </c>
      <c r="I26" s="36">
        <f t="shared" si="18"/>
        <v>114</v>
      </c>
      <c r="J26" s="36">
        <f t="shared" si="18"/>
        <v>108</v>
      </c>
      <c r="K26" s="36">
        <f t="shared" si="18"/>
        <v>114</v>
      </c>
      <c r="L26" s="36">
        <f t="shared" si="18"/>
        <v>0</v>
      </c>
      <c r="M26" s="36">
        <f t="shared" si="18"/>
        <v>0</v>
      </c>
      <c r="N26" s="36">
        <f t="shared" ref="N26:U26" si="19">SUM(N22*N25)</f>
        <v>0</v>
      </c>
      <c r="O26" s="36">
        <f t="shared" si="19"/>
        <v>0</v>
      </c>
      <c r="P26" s="36">
        <f t="shared" si="19"/>
        <v>0</v>
      </c>
      <c r="Q26" s="36">
        <f t="shared" si="19"/>
        <v>0</v>
      </c>
      <c r="R26" s="36">
        <f t="shared" si="19"/>
        <v>0</v>
      </c>
      <c r="S26" s="36">
        <f t="shared" si="19"/>
        <v>0</v>
      </c>
      <c r="T26" s="36">
        <f t="shared" si="19"/>
        <v>0</v>
      </c>
      <c r="U26" s="36">
        <f t="shared" si="19"/>
        <v>0</v>
      </c>
      <c r="V26" s="50">
        <f>SUM(F26:U26)</f>
        <v>336</v>
      </c>
      <c r="W26" s="51">
        <f>SUM(V26/V22)</f>
        <v>37.333333333333336</v>
      </c>
      <c r="X26" s="102"/>
      <c r="Y26" s="102"/>
      <c r="Z26" s="129"/>
    </row>
    <row r="27" spans="2:26" ht="20.25" thickTop="1" thickBot="1" x14ac:dyDescent="0.35">
      <c r="B27" s="162">
        <v>-5</v>
      </c>
      <c r="C27" s="106" t="s">
        <v>204</v>
      </c>
      <c r="D27" s="112" t="s">
        <v>349</v>
      </c>
      <c r="E27" s="10" t="s">
        <v>5</v>
      </c>
      <c r="F27" s="38">
        <f t="shared" ref="F27:M27" si="20">IF(IF(F30=0,0,3),3,0)</f>
        <v>0</v>
      </c>
      <c r="G27" s="38">
        <f t="shared" si="20"/>
        <v>0</v>
      </c>
      <c r="H27" s="38">
        <f t="shared" si="20"/>
        <v>0</v>
      </c>
      <c r="I27" s="38">
        <f t="shared" si="20"/>
        <v>3</v>
      </c>
      <c r="J27" s="38">
        <f t="shared" si="20"/>
        <v>3</v>
      </c>
      <c r="K27" s="38">
        <f t="shared" si="20"/>
        <v>3</v>
      </c>
      <c r="L27" s="38">
        <f t="shared" si="20"/>
        <v>0</v>
      </c>
      <c r="M27" s="38">
        <f t="shared" si="20"/>
        <v>0</v>
      </c>
      <c r="N27" s="38">
        <f>IF(IF(N30=0,0,3),3,0)</f>
        <v>0</v>
      </c>
      <c r="O27" s="38">
        <f>IF(IF(O30=0,0,4),4,0)</f>
        <v>0</v>
      </c>
      <c r="P27" s="38">
        <f t="shared" ref="P27:U27" si="21">IF(IF(P30=0,0,3),3,0)</f>
        <v>0</v>
      </c>
      <c r="Q27" s="38">
        <f t="shared" si="21"/>
        <v>0</v>
      </c>
      <c r="R27" s="38">
        <f t="shared" si="21"/>
        <v>0</v>
      </c>
      <c r="S27" s="38">
        <f t="shared" si="21"/>
        <v>0</v>
      </c>
      <c r="T27" s="38">
        <f t="shared" si="21"/>
        <v>0</v>
      </c>
      <c r="U27" s="38">
        <f t="shared" si="21"/>
        <v>0</v>
      </c>
      <c r="V27" s="38">
        <f>SUM(F27:U27)</f>
        <v>9</v>
      </c>
      <c r="W27" s="39"/>
      <c r="X27" s="112"/>
      <c r="Y27" s="112"/>
      <c r="Z27" s="127"/>
    </row>
    <row r="28" spans="2:26" ht="19.5" thickTop="1" thickBot="1" x14ac:dyDescent="0.3">
      <c r="B28" s="158"/>
      <c r="C28" s="107"/>
      <c r="D28" s="101"/>
      <c r="E28" s="33" t="s">
        <v>216</v>
      </c>
      <c r="F28" s="75"/>
      <c r="G28" s="75"/>
      <c r="H28" s="75"/>
      <c r="I28" s="79">
        <v>36</v>
      </c>
      <c r="J28" s="79">
        <v>35</v>
      </c>
      <c r="K28" s="79">
        <v>35</v>
      </c>
      <c r="L28" s="79"/>
      <c r="M28" s="79"/>
      <c r="N28" s="41">
        <v>0</v>
      </c>
      <c r="O28" s="85">
        <v>0</v>
      </c>
      <c r="P28" s="41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/>
      <c r="W28" s="43"/>
      <c r="X28" s="101"/>
      <c r="Y28" s="101"/>
      <c r="Z28" s="128"/>
    </row>
    <row r="29" spans="2:26" ht="19.5" thickTop="1" thickBot="1" x14ac:dyDescent="0.3">
      <c r="B29" s="158"/>
      <c r="C29" s="107"/>
      <c r="D29" s="101"/>
      <c r="E29" s="30" t="s">
        <v>3</v>
      </c>
      <c r="F29" s="74"/>
      <c r="G29" s="74"/>
      <c r="H29" s="74"/>
      <c r="I29" s="74"/>
      <c r="J29" s="74"/>
      <c r="K29" s="74"/>
      <c r="L29" s="74"/>
      <c r="M29" s="74"/>
      <c r="N29" s="45">
        <v>0</v>
      </c>
      <c r="O29" s="86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6"/>
      <c r="W29" s="47"/>
      <c r="X29" s="101"/>
      <c r="Y29" s="101"/>
      <c r="Z29" s="128"/>
    </row>
    <row r="30" spans="2:26" ht="19.5" thickTop="1" thickBot="1" x14ac:dyDescent="0.3">
      <c r="B30" s="158"/>
      <c r="C30" s="107"/>
      <c r="D30" s="101"/>
      <c r="E30" s="31" t="s">
        <v>4</v>
      </c>
      <c r="F30" s="45">
        <f t="shared" ref="F30:U30" si="22">IF(F29&lt;30,F28,F28+F29)</f>
        <v>0</v>
      </c>
      <c r="G30" s="45">
        <f t="shared" si="22"/>
        <v>0</v>
      </c>
      <c r="H30" s="45">
        <f t="shared" si="22"/>
        <v>0</v>
      </c>
      <c r="I30" s="45">
        <f t="shared" si="22"/>
        <v>36</v>
      </c>
      <c r="J30" s="45">
        <f t="shared" si="22"/>
        <v>35</v>
      </c>
      <c r="K30" s="45">
        <f t="shared" si="22"/>
        <v>35</v>
      </c>
      <c r="L30" s="45">
        <f t="shared" si="22"/>
        <v>0</v>
      </c>
      <c r="M30" s="45">
        <f t="shared" si="22"/>
        <v>0</v>
      </c>
      <c r="N30" s="45">
        <f t="shared" si="22"/>
        <v>0</v>
      </c>
      <c r="O30" s="86">
        <f t="shared" si="22"/>
        <v>0</v>
      </c>
      <c r="P30" s="45">
        <f t="shared" si="22"/>
        <v>0</v>
      </c>
      <c r="Q30" s="45">
        <f t="shared" si="22"/>
        <v>0</v>
      </c>
      <c r="R30" s="45">
        <f t="shared" si="22"/>
        <v>0</v>
      </c>
      <c r="S30" s="45">
        <f t="shared" si="22"/>
        <v>0</v>
      </c>
      <c r="T30" s="45">
        <f t="shared" si="22"/>
        <v>0</v>
      </c>
      <c r="U30" s="45">
        <f t="shared" si="22"/>
        <v>0</v>
      </c>
      <c r="V30" s="46"/>
      <c r="W30" s="47"/>
      <c r="X30" s="101"/>
      <c r="Y30" s="101"/>
      <c r="Z30" s="128"/>
    </row>
    <row r="31" spans="2:26" ht="37.5" thickTop="1" thickBot="1" x14ac:dyDescent="0.3">
      <c r="B31" s="159"/>
      <c r="C31" s="165"/>
      <c r="D31" s="102"/>
      <c r="E31" s="32" t="s">
        <v>6</v>
      </c>
      <c r="F31" s="36">
        <f t="shared" ref="F31:M31" si="23">SUM(F27*F30)</f>
        <v>0</v>
      </c>
      <c r="G31" s="36">
        <f t="shared" si="23"/>
        <v>0</v>
      </c>
      <c r="H31" s="36">
        <f t="shared" si="23"/>
        <v>0</v>
      </c>
      <c r="I31" s="36">
        <f t="shared" si="23"/>
        <v>108</v>
      </c>
      <c r="J31" s="36">
        <f t="shared" si="23"/>
        <v>105</v>
      </c>
      <c r="K31" s="36">
        <f t="shared" si="23"/>
        <v>105</v>
      </c>
      <c r="L31" s="36">
        <f t="shared" si="23"/>
        <v>0</v>
      </c>
      <c r="M31" s="36">
        <f t="shared" si="23"/>
        <v>0</v>
      </c>
      <c r="N31" s="36">
        <f t="shared" ref="N31:U31" si="24">SUM(N27*N30)</f>
        <v>0</v>
      </c>
      <c r="O31" s="87">
        <f t="shared" si="24"/>
        <v>0</v>
      </c>
      <c r="P31" s="36">
        <f t="shared" si="24"/>
        <v>0</v>
      </c>
      <c r="Q31" s="36">
        <f t="shared" si="24"/>
        <v>0</v>
      </c>
      <c r="R31" s="36">
        <f t="shared" si="24"/>
        <v>0</v>
      </c>
      <c r="S31" s="36">
        <f t="shared" si="24"/>
        <v>0</v>
      </c>
      <c r="T31" s="36">
        <f t="shared" si="24"/>
        <v>0</v>
      </c>
      <c r="U31" s="36">
        <f t="shared" si="24"/>
        <v>0</v>
      </c>
      <c r="V31" s="50">
        <f>SUM(F31:U31)</f>
        <v>318</v>
      </c>
      <c r="W31" s="51">
        <f>SUM(V31/V27)</f>
        <v>35.333333333333336</v>
      </c>
      <c r="X31" s="102"/>
      <c r="Y31" s="102"/>
      <c r="Z31" s="129"/>
    </row>
    <row r="32" spans="2:26" ht="20.25" thickTop="1" thickBot="1" x14ac:dyDescent="0.35">
      <c r="B32" s="160">
        <v>-6</v>
      </c>
      <c r="C32" s="138" t="s">
        <v>205</v>
      </c>
      <c r="D32" s="113" t="s">
        <v>348</v>
      </c>
      <c r="E32" s="10" t="s">
        <v>5</v>
      </c>
      <c r="F32" s="38">
        <f t="shared" ref="F32:M32" si="25">IF(IF(F35=0,0,3),3,0)</f>
        <v>0</v>
      </c>
      <c r="G32" s="38">
        <f t="shared" si="25"/>
        <v>0</v>
      </c>
      <c r="H32" s="38">
        <f t="shared" si="25"/>
        <v>0</v>
      </c>
      <c r="I32" s="38">
        <f t="shared" si="25"/>
        <v>3</v>
      </c>
      <c r="J32" s="38">
        <f t="shared" si="25"/>
        <v>3</v>
      </c>
      <c r="K32" s="38">
        <f t="shared" si="25"/>
        <v>3</v>
      </c>
      <c r="L32" s="38">
        <f t="shared" si="25"/>
        <v>0</v>
      </c>
      <c r="M32" s="38">
        <f t="shared" si="25"/>
        <v>0</v>
      </c>
      <c r="N32" s="38">
        <f>IF(IF(N35=0,0,3),3,0)</f>
        <v>0</v>
      </c>
      <c r="O32" s="38">
        <f>IF(IF(O35=0,0,4),4,0)</f>
        <v>0</v>
      </c>
      <c r="P32" s="38">
        <f t="shared" ref="P32:U32" si="26">IF(IF(P35=0,0,3),3,0)</f>
        <v>0</v>
      </c>
      <c r="Q32" s="38">
        <f t="shared" si="26"/>
        <v>0</v>
      </c>
      <c r="R32" s="38">
        <f t="shared" si="26"/>
        <v>0</v>
      </c>
      <c r="S32" s="38">
        <f t="shared" si="26"/>
        <v>0</v>
      </c>
      <c r="T32" s="38">
        <f t="shared" si="26"/>
        <v>0</v>
      </c>
      <c r="U32" s="38">
        <f t="shared" si="26"/>
        <v>0</v>
      </c>
      <c r="V32" s="38">
        <f>SUM(F32:U32)</f>
        <v>9</v>
      </c>
      <c r="W32" s="39"/>
      <c r="X32" s="112"/>
      <c r="Y32" s="112"/>
      <c r="Z32" s="127"/>
    </row>
    <row r="33" spans="2:26" ht="19.5" thickTop="1" thickBot="1" x14ac:dyDescent="0.3">
      <c r="B33" s="158"/>
      <c r="C33" s="107"/>
      <c r="D33" s="101"/>
      <c r="E33" s="33" t="s">
        <v>216</v>
      </c>
      <c r="F33" s="75"/>
      <c r="G33" s="75"/>
      <c r="H33" s="75"/>
      <c r="I33" s="79">
        <v>40</v>
      </c>
      <c r="J33" s="79">
        <v>39</v>
      </c>
      <c r="K33" s="79">
        <v>40</v>
      </c>
      <c r="L33" s="79"/>
      <c r="M33" s="79"/>
      <c r="N33" s="41">
        <v>0</v>
      </c>
      <c r="O33" s="41">
        <v>0</v>
      </c>
      <c r="P33" s="41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/>
      <c r="W33" s="43"/>
      <c r="X33" s="101"/>
      <c r="Y33" s="101"/>
      <c r="Z33" s="128"/>
    </row>
    <row r="34" spans="2:26" ht="19.5" thickTop="1" thickBot="1" x14ac:dyDescent="0.3">
      <c r="B34" s="158"/>
      <c r="C34" s="107"/>
      <c r="D34" s="101"/>
      <c r="E34" s="30" t="s">
        <v>3</v>
      </c>
      <c r="F34" s="74"/>
      <c r="G34" s="74"/>
      <c r="H34" s="74"/>
      <c r="I34" s="74"/>
      <c r="J34" s="74"/>
      <c r="K34" s="74"/>
      <c r="L34" s="74"/>
      <c r="M34" s="74"/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6"/>
      <c r="W34" s="47"/>
      <c r="X34" s="101"/>
      <c r="Y34" s="101"/>
      <c r="Z34" s="128"/>
    </row>
    <row r="35" spans="2:26" ht="19.5" thickTop="1" thickBot="1" x14ac:dyDescent="0.3">
      <c r="B35" s="158"/>
      <c r="C35" s="107"/>
      <c r="D35" s="101"/>
      <c r="E35" s="31" t="s">
        <v>4</v>
      </c>
      <c r="F35" s="45">
        <f t="shared" ref="F35:U35" si="27">IF(F34&lt;30,F33,F33+F34)</f>
        <v>0</v>
      </c>
      <c r="G35" s="45">
        <f t="shared" si="27"/>
        <v>0</v>
      </c>
      <c r="H35" s="45">
        <f t="shared" si="27"/>
        <v>0</v>
      </c>
      <c r="I35" s="45">
        <f t="shared" si="27"/>
        <v>40</v>
      </c>
      <c r="J35" s="45">
        <f t="shared" si="27"/>
        <v>39</v>
      </c>
      <c r="K35" s="45">
        <f t="shared" si="27"/>
        <v>40</v>
      </c>
      <c r="L35" s="45">
        <f t="shared" si="27"/>
        <v>0</v>
      </c>
      <c r="M35" s="45">
        <f t="shared" si="27"/>
        <v>0</v>
      </c>
      <c r="N35" s="45">
        <f t="shared" si="27"/>
        <v>0</v>
      </c>
      <c r="O35" s="45">
        <f t="shared" si="27"/>
        <v>0</v>
      </c>
      <c r="P35" s="45">
        <f t="shared" si="27"/>
        <v>0</v>
      </c>
      <c r="Q35" s="45">
        <f t="shared" si="27"/>
        <v>0</v>
      </c>
      <c r="R35" s="45">
        <f t="shared" si="27"/>
        <v>0</v>
      </c>
      <c r="S35" s="45">
        <f t="shared" si="27"/>
        <v>0</v>
      </c>
      <c r="T35" s="45">
        <f t="shared" si="27"/>
        <v>0</v>
      </c>
      <c r="U35" s="45">
        <f t="shared" si="27"/>
        <v>0</v>
      </c>
      <c r="V35" s="46"/>
      <c r="W35" s="47"/>
      <c r="X35" s="101"/>
      <c r="Y35" s="101"/>
      <c r="Z35" s="128"/>
    </row>
    <row r="36" spans="2:26" ht="37.5" thickTop="1" thickBot="1" x14ac:dyDescent="0.3">
      <c r="B36" s="159"/>
      <c r="C36" s="108"/>
      <c r="D36" s="102"/>
      <c r="E36" s="32" t="s">
        <v>6</v>
      </c>
      <c r="F36" s="36">
        <f t="shared" ref="F36:M36" si="28">SUM(F32*F35)</f>
        <v>0</v>
      </c>
      <c r="G36" s="36">
        <f t="shared" si="28"/>
        <v>0</v>
      </c>
      <c r="H36" s="36">
        <f t="shared" si="28"/>
        <v>0</v>
      </c>
      <c r="I36" s="36">
        <f t="shared" si="28"/>
        <v>120</v>
      </c>
      <c r="J36" s="36">
        <f t="shared" si="28"/>
        <v>117</v>
      </c>
      <c r="K36" s="36">
        <f t="shared" si="28"/>
        <v>120</v>
      </c>
      <c r="L36" s="36">
        <f t="shared" si="28"/>
        <v>0</v>
      </c>
      <c r="M36" s="36">
        <f t="shared" si="28"/>
        <v>0</v>
      </c>
      <c r="N36" s="36">
        <f t="shared" ref="N36:U36" si="29">SUM(N32*N35)</f>
        <v>0</v>
      </c>
      <c r="O36" s="36">
        <f t="shared" si="29"/>
        <v>0</v>
      </c>
      <c r="P36" s="36">
        <f t="shared" si="29"/>
        <v>0</v>
      </c>
      <c r="Q36" s="36">
        <f t="shared" si="29"/>
        <v>0</v>
      </c>
      <c r="R36" s="36">
        <f t="shared" si="29"/>
        <v>0</v>
      </c>
      <c r="S36" s="36">
        <f t="shared" si="29"/>
        <v>0</v>
      </c>
      <c r="T36" s="36">
        <f t="shared" si="29"/>
        <v>0</v>
      </c>
      <c r="U36" s="36">
        <f t="shared" si="29"/>
        <v>0</v>
      </c>
      <c r="V36" s="50">
        <f>SUM(F36:U36)</f>
        <v>357</v>
      </c>
      <c r="W36" s="51">
        <f>SUM(V36/V32)</f>
        <v>39.666666666666664</v>
      </c>
      <c r="X36" s="102"/>
      <c r="Y36" s="102"/>
      <c r="Z36" s="129"/>
    </row>
    <row r="37" spans="2:26" ht="20.25" thickTop="1" thickBot="1" x14ac:dyDescent="0.35">
      <c r="B37" s="160">
        <v>-7</v>
      </c>
      <c r="C37" s="106" t="s">
        <v>206</v>
      </c>
      <c r="D37" s="112" t="s">
        <v>347</v>
      </c>
      <c r="E37" s="10" t="s">
        <v>5</v>
      </c>
      <c r="F37" s="38">
        <f t="shared" ref="F37:M37" si="30">IF(IF(F40=0,0,3),3,0)</f>
        <v>0</v>
      </c>
      <c r="G37" s="38">
        <f t="shared" si="30"/>
        <v>0</v>
      </c>
      <c r="H37" s="38">
        <f t="shared" si="30"/>
        <v>0</v>
      </c>
      <c r="I37" s="38">
        <f t="shared" si="30"/>
        <v>3</v>
      </c>
      <c r="J37" s="38">
        <f t="shared" si="30"/>
        <v>3</v>
      </c>
      <c r="K37" s="38">
        <f t="shared" si="30"/>
        <v>3</v>
      </c>
      <c r="L37" s="38">
        <f t="shared" si="30"/>
        <v>0</v>
      </c>
      <c r="M37" s="38">
        <f t="shared" si="30"/>
        <v>0</v>
      </c>
      <c r="N37" s="38">
        <f>IF(IF(N40=0,0,3),3,0)</f>
        <v>0</v>
      </c>
      <c r="O37" s="38">
        <f>IF(IF(O40=0,0,4),4,0)</f>
        <v>0</v>
      </c>
      <c r="P37" s="38">
        <f t="shared" ref="P37:U37" si="31">IF(IF(P40=0,0,3),3,0)</f>
        <v>0</v>
      </c>
      <c r="Q37" s="38">
        <f t="shared" si="31"/>
        <v>0</v>
      </c>
      <c r="R37" s="38">
        <f t="shared" si="31"/>
        <v>0</v>
      </c>
      <c r="S37" s="38">
        <f t="shared" si="31"/>
        <v>0</v>
      </c>
      <c r="T37" s="38">
        <f t="shared" si="31"/>
        <v>0</v>
      </c>
      <c r="U37" s="38">
        <f t="shared" si="31"/>
        <v>0</v>
      </c>
      <c r="V37" s="38">
        <f>SUM(F37:U37)</f>
        <v>9</v>
      </c>
      <c r="W37" s="39"/>
      <c r="X37" s="103"/>
      <c r="Y37" s="103"/>
      <c r="Z37" s="127"/>
    </row>
    <row r="38" spans="2:26" ht="19.5" thickTop="1" thickBot="1" x14ac:dyDescent="0.3">
      <c r="B38" s="158"/>
      <c r="C38" s="107"/>
      <c r="D38" s="101"/>
      <c r="E38" s="33" t="s">
        <v>216</v>
      </c>
      <c r="F38" s="41"/>
      <c r="G38" s="41"/>
      <c r="H38" s="41"/>
      <c r="I38" s="42">
        <v>38</v>
      </c>
      <c r="J38" s="42">
        <v>35</v>
      </c>
      <c r="K38" s="42">
        <v>40</v>
      </c>
      <c r="L38" s="42"/>
      <c r="M38" s="42"/>
      <c r="N38" s="41">
        <v>0</v>
      </c>
      <c r="O38" s="41">
        <v>0</v>
      </c>
      <c r="P38" s="41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/>
      <c r="W38" s="43"/>
      <c r="X38" s="104"/>
      <c r="Y38" s="104"/>
      <c r="Z38" s="128"/>
    </row>
    <row r="39" spans="2:26" ht="19.5" thickTop="1" thickBot="1" x14ac:dyDescent="0.3">
      <c r="B39" s="158"/>
      <c r="C39" s="107"/>
      <c r="D39" s="101"/>
      <c r="E39" s="30" t="s">
        <v>3</v>
      </c>
      <c r="F39" s="45"/>
      <c r="G39" s="45"/>
      <c r="H39" s="45"/>
      <c r="I39" s="45"/>
      <c r="J39" s="45"/>
      <c r="K39" s="45"/>
      <c r="L39" s="45"/>
      <c r="M39" s="45"/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6"/>
      <c r="W39" s="47"/>
      <c r="X39" s="104"/>
      <c r="Y39" s="104"/>
      <c r="Z39" s="128"/>
    </row>
    <row r="40" spans="2:26" ht="19.5" thickTop="1" thickBot="1" x14ac:dyDescent="0.3">
      <c r="B40" s="158"/>
      <c r="C40" s="107"/>
      <c r="D40" s="101"/>
      <c r="E40" s="31" t="s">
        <v>4</v>
      </c>
      <c r="F40" s="45">
        <f t="shared" ref="F40:U40" si="32">IF(F39&lt;30,F38,F38+F39)</f>
        <v>0</v>
      </c>
      <c r="G40" s="45">
        <f t="shared" si="32"/>
        <v>0</v>
      </c>
      <c r="H40" s="45">
        <f t="shared" si="32"/>
        <v>0</v>
      </c>
      <c r="I40" s="45">
        <f t="shared" si="32"/>
        <v>38</v>
      </c>
      <c r="J40" s="45">
        <f t="shared" si="32"/>
        <v>35</v>
      </c>
      <c r="K40" s="45">
        <f t="shared" si="32"/>
        <v>40</v>
      </c>
      <c r="L40" s="45">
        <f t="shared" si="32"/>
        <v>0</v>
      </c>
      <c r="M40" s="45">
        <f t="shared" si="32"/>
        <v>0</v>
      </c>
      <c r="N40" s="45">
        <f t="shared" si="32"/>
        <v>0</v>
      </c>
      <c r="O40" s="45">
        <f t="shared" si="32"/>
        <v>0</v>
      </c>
      <c r="P40" s="45">
        <f t="shared" si="32"/>
        <v>0</v>
      </c>
      <c r="Q40" s="45">
        <f t="shared" si="32"/>
        <v>0</v>
      </c>
      <c r="R40" s="45">
        <f t="shared" si="32"/>
        <v>0</v>
      </c>
      <c r="S40" s="45">
        <f t="shared" si="32"/>
        <v>0</v>
      </c>
      <c r="T40" s="45">
        <f t="shared" si="32"/>
        <v>0</v>
      </c>
      <c r="U40" s="45">
        <f t="shared" si="32"/>
        <v>0</v>
      </c>
      <c r="V40" s="46"/>
      <c r="W40" s="47"/>
      <c r="X40" s="104"/>
      <c r="Y40" s="104"/>
      <c r="Z40" s="128"/>
    </row>
    <row r="41" spans="2:26" ht="37.5" thickTop="1" thickBot="1" x14ac:dyDescent="0.3">
      <c r="B41" s="166"/>
      <c r="C41" s="108"/>
      <c r="D41" s="102"/>
      <c r="E41" s="32" t="s">
        <v>6</v>
      </c>
      <c r="F41" s="53">
        <f t="shared" ref="F41:M41" si="33">SUM(F37*F40)</f>
        <v>0</v>
      </c>
      <c r="G41" s="53">
        <f t="shared" si="33"/>
        <v>0</v>
      </c>
      <c r="H41" s="53">
        <f t="shared" si="33"/>
        <v>0</v>
      </c>
      <c r="I41" s="53">
        <f t="shared" si="33"/>
        <v>114</v>
      </c>
      <c r="J41" s="53">
        <f t="shared" si="33"/>
        <v>105</v>
      </c>
      <c r="K41" s="53">
        <f t="shared" si="33"/>
        <v>120</v>
      </c>
      <c r="L41" s="53">
        <f t="shared" si="33"/>
        <v>0</v>
      </c>
      <c r="M41" s="53">
        <f t="shared" si="33"/>
        <v>0</v>
      </c>
      <c r="N41" s="53">
        <f t="shared" ref="N41:U41" si="34">SUM(N37*N40)</f>
        <v>0</v>
      </c>
      <c r="O41" s="53">
        <f t="shared" si="34"/>
        <v>0</v>
      </c>
      <c r="P41" s="53">
        <f t="shared" si="34"/>
        <v>0</v>
      </c>
      <c r="Q41" s="53">
        <f t="shared" si="34"/>
        <v>0</v>
      </c>
      <c r="R41" s="53">
        <f t="shared" si="34"/>
        <v>0</v>
      </c>
      <c r="S41" s="53">
        <f t="shared" si="34"/>
        <v>0</v>
      </c>
      <c r="T41" s="53">
        <f t="shared" si="34"/>
        <v>0</v>
      </c>
      <c r="U41" s="53">
        <f t="shared" si="34"/>
        <v>0</v>
      </c>
      <c r="V41" s="54">
        <f>SUM(F41:U41)</f>
        <v>339</v>
      </c>
      <c r="W41" s="53">
        <f>SUM(V41/V37)</f>
        <v>37.666666666666664</v>
      </c>
      <c r="X41" s="105"/>
      <c r="Y41" s="105"/>
      <c r="Z41" s="129"/>
    </row>
    <row r="42" spans="2:26" ht="20.25" thickTop="1" thickBot="1" x14ac:dyDescent="0.35">
      <c r="B42" s="157">
        <v>-8</v>
      </c>
      <c r="C42" s="106" t="s">
        <v>207</v>
      </c>
      <c r="D42" s="101" t="s">
        <v>346</v>
      </c>
      <c r="E42" s="9" t="s">
        <v>5</v>
      </c>
      <c r="F42" s="38">
        <f t="shared" ref="F42:M42" si="35">IF(IF(F45=0,0,3),3,0)</f>
        <v>0</v>
      </c>
      <c r="G42" s="38">
        <f t="shared" si="35"/>
        <v>0</v>
      </c>
      <c r="H42" s="38">
        <f t="shared" si="35"/>
        <v>0</v>
      </c>
      <c r="I42" s="38">
        <f t="shared" si="35"/>
        <v>3</v>
      </c>
      <c r="J42" s="38">
        <f t="shared" si="35"/>
        <v>3</v>
      </c>
      <c r="K42" s="38">
        <f t="shared" si="35"/>
        <v>3</v>
      </c>
      <c r="L42" s="38">
        <f t="shared" si="35"/>
        <v>0</v>
      </c>
      <c r="M42" s="38">
        <f t="shared" si="35"/>
        <v>0</v>
      </c>
      <c r="N42" s="38">
        <f>IF(IF(N45=0,0,3),3,0)</f>
        <v>0</v>
      </c>
      <c r="O42" s="38">
        <f>IF(IF(O45=0,0,4),4,0)</f>
        <v>0</v>
      </c>
      <c r="P42" s="38">
        <f t="shared" ref="P42:U42" si="36">IF(IF(P45=0,0,3),3,0)</f>
        <v>0</v>
      </c>
      <c r="Q42" s="38">
        <f t="shared" si="36"/>
        <v>0</v>
      </c>
      <c r="R42" s="38">
        <f t="shared" si="36"/>
        <v>0</v>
      </c>
      <c r="S42" s="38">
        <f t="shared" si="36"/>
        <v>0</v>
      </c>
      <c r="T42" s="38">
        <f t="shared" si="36"/>
        <v>0</v>
      </c>
      <c r="U42" s="38">
        <f t="shared" si="36"/>
        <v>0</v>
      </c>
      <c r="V42" s="38">
        <f>SUM(F42:U42)</f>
        <v>9</v>
      </c>
      <c r="W42" s="39"/>
      <c r="X42" s="112"/>
      <c r="Y42" s="112"/>
      <c r="Z42" s="127"/>
    </row>
    <row r="43" spans="2:26" ht="19.5" thickTop="1" thickBot="1" x14ac:dyDescent="0.3">
      <c r="B43" s="158"/>
      <c r="C43" s="107"/>
      <c r="D43" s="101"/>
      <c r="E43" s="29" t="s">
        <v>216</v>
      </c>
      <c r="F43" s="75"/>
      <c r="G43" s="75"/>
      <c r="H43" s="75"/>
      <c r="I43" s="79">
        <v>40</v>
      </c>
      <c r="J43" s="79">
        <v>40</v>
      </c>
      <c r="K43" s="79">
        <v>40</v>
      </c>
      <c r="L43" s="79"/>
      <c r="M43" s="79"/>
      <c r="N43" s="41">
        <v>0</v>
      </c>
      <c r="O43" s="41">
        <v>0</v>
      </c>
      <c r="P43" s="41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/>
      <c r="W43" s="43"/>
      <c r="X43" s="101"/>
      <c r="Y43" s="101"/>
      <c r="Z43" s="128"/>
    </row>
    <row r="44" spans="2:26" ht="19.5" thickTop="1" thickBot="1" x14ac:dyDescent="0.3">
      <c r="B44" s="158"/>
      <c r="C44" s="107"/>
      <c r="D44" s="101"/>
      <c r="E44" s="30" t="s">
        <v>3</v>
      </c>
      <c r="F44" s="74"/>
      <c r="G44" s="74"/>
      <c r="H44" s="74"/>
      <c r="I44" s="74"/>
      <c r="J44" s="74"/>
      <c r="K44" s="74"/>
      <c r="L44" s="74"/>
      <c r="M44" s="74"/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6"/>
      <c r="W44" s="47"/>
      <c r="X44" s="101"/>
      <c r="Y44" s="101"/>
      <c r="Z44" s="128"/>
    </row>
    <row r="45" spans="2:26" ht="19.5" thickTop="1" thickBot="1" x14ac:dyDescent="0.3">
      <c r="B45" s="158"/>
      <c r="C45" s="107"/>
      <c r="D45" s="101"/>
      <c r="E45" s="31" t="s">
        <v>4</v>
      </c>
      <c r="F45" s="45">
        <f t="shared" ref="F45:U45" si="37">IF(F44&lt;30,F43,F43+F44)</f>
        <v>0</v>
      </c>
      <c r="G45" s="45">
        <f t="shared" si="37"/>
        <v>0</v>
      </c>
      <c r="H45" s="45">
        <f t="shared" si="37"/>
        <v>0</v>
      </c>
      <c r="I45" s="45">
        <f t="shared" si="37"/>
        <v>40</v>
      </c>
      <c r="J45" s="45">
        <f t="shared" si="37"/>
        <v>40</v>
      </c>
      <c r="K45" s="45">
        <f t="shared" si="37"/>
        <v>40</v>
      </c>
      <c r="L45" s="45">
        <f t="shared" si="37"/>
        <v>0</v>
      </c>
      <c r="M45" s="45">
        <f t="shared" si="37"/>
        <v>0</v>
      </c>
      <c r="N45" s="45">
        <f t="shared" si="37"/>
        <v>0</v>
      </c>
      <c r="O45" s="45">
        <f t="shared" si="37"/>
        <v>0</v>
      </c>
      <c r="P45" s="45">
        <f t="shared" si="37"/>
        <v>0</v>
      </c>
      <c r="Q45" s="45">
        <f t="shared" si="37"/>
        <v>0</v>
      </c>
      <c r="R45" s="45">
        <f t="shared" si="37"/>
        <v>0</v>
      </c>
      <c r="S45" s="45">
        <f t="shared" si="37"/>
        <v>0</v>
      </c>
      <c r="T45" s="45">
        <f t="shared" si="37"/>
        <v>0</v>
      </c>
      <c r="U45" s="45">
        <f t="shared" si="37"/>
        <v>0</v>
      </c>
      <c r="V45" s="46"/>
      <c r="W45" s="47"/>
      <c r="X45" s="101"/>
      <c r="Y45" s="101"/>
      <c r="Z45" s="128"/>
    </row>
    <row r="46" spans="2:26" ht="37.5" thickTop="1" thickBot="1" x14ac:dyDescent="0.3">
      <c r="B46" s="159"/>
      <c r="C46" s="165"/>
      <c r="D46" s="102"/>
      <c r="E46" s="32" t="s">
        <v>6</v>
      </c>
      <c r="F46" s="36">
        <f t="shared" ref="F46:M46" si="38">SUM(F42*F45)</f>
        <v>0</v>
      </c>
      <c r="G46" s="36">
        <f t="shared" si="38"/>
        <v>0</v>
      </c>
      <c r="H46" s="36">
        <f t="shared" si="38"/>
        <v>0</v>
      </c>
      <c r="I46" s="36">
        <f t="shared" si="38"/>
        <v>120</v>
      </c>
      <c r="J46" s="36">
        <f t="shared" si="38"/>
        <v>120</v>
      </c>
      <c r="K46" s="36">
        <f t="shared" si="38"/>
        <v>120</v>
      </c>
      <c r="L46" s="36">
        <f t="shared" si="38"/>
        <v>0</v>
      </c>
      <c r="M46" s="36">
        <f t="shared" si="38"/>
        <v>0</v>
      </c>
      <c r="N46" s="36">
        <f t="shared" ref="N46:U46" si="39">SUM(N42*N45)</f>
        <v>0</v>
      </c>
      <c r="O46" s="36">
        <f t="shared" si="39"/>
        <v>0</v>
      </c>
      <c r="P46" s="36">
        <f t="shared" si="39"/>
        <v>0</v>
      </c>
      <c r="Q46" s="36">
        <f t="shared" si="39"/>
        <v>0</v>
      </c>
      <c r="R46" s="36">
        <f t="shared" si="39"/>
        <v>0</v>
      </c>
      <c r="S46" s="36">
        <f t="shared" si="39"/>
        <v>0</v>
      </c>
      <c r="T46" s="36">
        <f t="shared" si="39"/>
        <v>0</v>
      </c>
      <c r="U46" s="36">
        <f t="shared" si="39"/>
        <v>0</v>
      </c>
      <c r="V46" s="50">
        <f>SUM(F46:U46)</f>
        <v>360</v>
      </c>
      <c r="W46" s="51">
        <f>SUM(V46/V42)</f>
        <v>40</v>
      </c>
      <c r="X46" s="102"/>
      <c r="Y46" s="102"/>
      <c r="Z46" s="129"/>
    </row>
    <row r="47" spans="2:26" ht="20.25" thickTop="1" thickBot="1" x14ac:dyDescent="0.35">
      <c r="B47" s="160">
        <v>-9</v>
      </c>
      <c r="C47" s="107" t="s">
        <v>208</v>
      </c>
      <c r="D47" s="101" t="s">
        <v>345</v>
      </c>
      <c r="E47" s="9" t="s">
        <v>5</v>
      </c>
      <c r="F47" s="38">
        <f t="shared" ref="F47:M47" si="40">IF(IF(F50=0,0,3),3,0)</f>
        <v>0</v>
      </c>
      <c r="G47" s="38">
        <f t="shared" si="40"/>
        <v>0</v>
      </c>
      <c r="H47" s="38">
        <f t="shared" si="40"/>
        <v>0</v>
      </c>
      <c r="I47" s="38">
        <f t="shared" si="40"/>
        <v>3</v>
      </c>
      <c r="J47" s="38">
        <f t="shared" si="40"/>
        <v>3</v>
      </c>
      <c r="K47" s="38">
        <f t="shared" si="40"/>
        <v>3</v>
      </c>
      <c r="L47" s="38">
        <f t="shared" si="40"/>
        <v>0</v>
      </c>
      <c r="M47" s="38">
        <f t="shared" si="40"/>
        <v>0</v>
      </c>
      <c r="N47" s="38">
        <f>IF(IF(N50=0,0,3),3,0)</f>
        <v>0</v>
      </c>
      <c r="O47" s="38">
        <f>IF(IF(O50=0,0,4),4,0)</f>
        <v>0</v>
      </c>
      <c r="P47" s="38">
        <f t="shared" ref="P47:U47" si="41">IF(IF(P50=0,0,3),3,0)</f>
        <v>0</v>
      </c>
      <c r="Q47" s="38">
        <f t="shared" si="41"/>
        <v>0</v>
      </c>
      <c r="R47" s="38">
        <f t="shared" si="41"/>
        <v>0</v>
      </c>
      <c r="S47" s="38">
        <f t="shared" si="41"/>
        <v>0</v>
      </c>
      <c r="T47" s="38">
        <f t="shared" si="41"/>
        <v>0</v>
      </c>
      <c r="U47" s="38">
        <f t="shared" si="41"/>
        <v>0</v>
      </c>
      <c r="V47" s="38">
        <f>SUM(F47:U47)</f>
        <v>9</v>
      </c>
      <c r="W47" s="39"/>
      <c r="X47" s="112"/>
      <c r="Y47" s="112"/>
      <c r="Z47" s="127"/>
    </row>
    <row r="48" spans="2:26" ht="19.5" thickTop="1" thickBot="1" x14ac:dyDescent="0.3">
      <c r="B48" s="158"/>
      <c r="C48" s="107"/>
      <c r="D48" s="101"/>
      <c r="E48" s="29" t="s">
        <v>216</v>
      </c>
      <c r="F48" s="75"/>
      <c r="G48" s="75"/>
      <c r="H48" s="75"/>
      <c r="I48" s="79">
        <v>40</v>
      </c>
      <c r="J48" s="79">
        <v>40</v>
      </c>
      <c r="K48" s="79">
        <v>40</v>
      </c>
      <c r="L48" s="79"/>
      <c r="M48" s="79"/>
      <c r="N48" s="41">
        <v>0</v>
      </c>
      <c r="O48" s="41">
        <v>0</v>
      </c>
      <c r="P48" s="41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/>
      <c r="W48" s="43"/>
      <c r="X48" s="101"/>
      <c r="Y48" s="101"/>
      <c r="Z48" s="128"/>
    </row>
    <row r="49" spans="2:26" ht="19.5" thickTop="1" thickBot="1" x14ac:dyDescent="0.3">
      <c r="B49" s="158"/>
      <c r="C49" s="107"/>
      <c r="D49" s="101"/>
      <c r="E49" s="30" t="s">
        <v>3</v>
      </c>
      <c r="F49" s="74"/>
      <c r="G49" s="74"/>
      <c r="H49" s="74"/>
      <c r="I49" s="74"/>
      <c r="J49" s="74"/>
      <c r="K49" s="74"/>
      <c r="L49" s="74"/>
      <c r="M49" s="74"/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6"/>
      <c r="W49" s="47"/>
      <c r="X49" s="101"/>
      <c r="Y49" s="101"/>
      <c r="Z49" s="128"/>
    </row>
    <row r="50" spans="2:26" ht="19.5" thickTop="1" thickBot="1" x14ac:dyDescent="0.3">
      <c r="B50" s="158"/>
      <c r="C50" s="107"/>
      <c r="D50" s="101"/>
      <c r="E50" s="31" t="s">
        <v>4</v>
      </c>
      <c r="F50" s="45">
        <f t="shared" ref="F50:U50" si="42">IF(F49&lt;30,F48,F48+F49)</f>
        <v>0</v>
      </c>
      <c r="G50" s="45">
        <f t="shared" si="42"/>
        <v>0</v>
      </c>
      <c r="H50" s="45">
        <f t="shared" si="42"/>
        <v>0</v>
      </c>
      <c r="I50" s="45">
        <f t="shared" si="42"/>
        <v>40</v>
      </c>
      <c r="J50" s="45">
        <f t="shared" si="42"/>
        <v>40</v>
      </c>
      <c r="K50" s="45">
        <f t="shared" si="42"/>
        <v>40</v>
      </c>
      <c r="L50" s="45">
        <f t="shared" si="42"/>
        <v>0</v>
      </c>
      <c r="M50" s="45">
        <f t="shared" si="42"/>
        <v>0</v>
      </c>
      <c r="N50" s="45">
        <f t="shared" si="42"/>
        <v>0</v>
      </c>
      <c r="O50" s="45">
        <f t="shared" si="42"/>
        <v>0</v>
      </c>
      <c r="P50" s="45">
        <f t="shared" si="42"/>
        <v>0</v>
      </c>
      <c r="Q50" s="45">
        <f t="shared" si="42"/>
        <v>0</v>
      </c>
      <c r="R50" s="45">
        <f t="shared" si="42"/>
        <v>0</v>
      </c>
      <c r="S50" s="45">
        <f t="shared" si="42"/>
        <v>0</v>
      </c>
      <c r="T50" s="45">
        <f t="shared" si="42"/>
        <v>0</v>
      </c>
      <c r="U50" s="45">
        <f t="shared" si="42"/>
        <v>0</v>
      </c>
      <c r="V50" s="46"/>
      <c r="W50" s="47"/>
      <c r="X50" s="101"/>
      <c r="Y50" s="101"/>
      <c r="Z50" s="128"/>
    </row>
    <row r="51" spans="2:26" ht="37.5" thickTop="1" thickBot="1" x14ac:dyDescent="0.3">
      <c r="B51" s="166"/>
      <c r="C51" s="163"/>
      <c r="D51" s="102"/>
      <c r="E51" s="32" t="s">
        <v>6</v>
      </c>
      <c r="F51" s="36">
        <f t="shared" ref="F51:M51" si="43">SUM(F47*F50)</f>
        <v>0</v>
      </c>
      <c r="G51" s="36">
        <f t="shared" si="43"/>
        <v>0</v>
      </c>
      <c r="H51" s="36">
        <f t="shared" si="43"/>
        <v>0</v>
      </c>
      <c r="I51" s="36">
        <f t="shared" si="43"/>
        <v>120</v>
      </c>
      <c r="J51" s="36">
        <f t="shared" si="43"/>
        <v>120</v>
      </c>
      <c r="K51" s="36">
        <f t="shared" si="43"/>
        <v>120</v>
      </c>
      <c r="L51" s="36">
        <f t="shared" si="43"/>
        <v>0</v>
      </c>
      <c r="M51" s="36">
        <f t="shared" si="43"/>
        <v>0</v>
      </c>
      <c r="N51" s="36">
        <f t="shared" ref="N51:U51" si="44">SUM(N47*N50)</f>
        <v>0</v>
      </c>
      <c r="O51" s="36">
        <f t="shared" si="44"/>
        <v>0</v>
      </c>
      <c r="P51" s="36">
        <f t="shared" si="44"/>
        <v>0</v>
      </c>
      <c r="Q51" s="36">
        <f t="shared" si="44"/>
        <v>0</v>
      </c>
      <c r="R51" s="36">
        <f t="shared" si="44"/>
        <v>0</v>
      </c>
      <c r="S51" s="36">
        <f t="shared" si="44"/>
        <v>0</v>
      </c>
      <c r="T51" s="36">
        <f t="shared" si="44"/>
        <v>0</v>
      </c>
      <c r="U51" s="36">
        <f t="shared" si="44"/>
        <v>0</v>
      </c>
      <c r="V51" s="50">
        <f>SUM(F51:U51)</f>
        <v>360</v>
      </c>
      <c r="W51" s="51">
        <f>SUM(V51/V47)</f>
        <v>40</v>
      </c>
      <c r="X51" s="102"/>
      <c r="Y51" s="102"/>
      <c r="Z51" s="129"/>
    </row>
    <row r="52" spans="2:26" ht="20.25" thickTop="1" thickBot="1" x14ac:dyDescent="0.35">
      <c r="B52" s="158">
        <v>-10</v>
      </c>
      <c r="C52" s="164" t="s">
        <v>209</v>
      </c>
      <c r="D52" s="101" t="s">
        <v>344</v>
      </c>
      <c r="E52" s="10" t="s">
        <v>5</v>
      </c>
      <c r="F52" s="38">
        <f t="shared" ref="F52:M52" si="45">IF(IF(F55=0,0,3),3,0)</f>
        <v>0</v>
      </c>
      <c r="G52" s="38">
        <f t="shared" si="45"/>
        <v>0</v>
      </c>
      <c r="H52" s="38">
        <f t="shared" si="45"/>
        <v>0</v>
      </c>
      <c r="I52" s="38">
        <f t="shared" si="45"/>
        <v>3</v>
      </c>
      <c r="J52" s="38">
        <f t="shared" si="45"/>
        <v>3</v>
      </c>
      <c r="K52" s="38">
        <f t="shared" si="45"/>
        <v>3</v>
      </c>
      <c r="L52" s="38">
        <f t="shared" si="45"/>
        <v>0</v>
      </c>
      <c r="M52" s="38">
        <f t="shared" si="45"/>
        <v>0</v>
      </c>
      <c r="N52" s="38">
        <f>IF(IF(N55=0,0,3),3,0)</f>
        <v>0</v>
      </c>
      <c r="O52" s="38">
        <f>IF(IF(O55=0,0,4),4,0)</f>
        <v>0</v>
      </c>
      <c r="P52" s="38">
        <f t="shared" ref="P52:U52" si="46">IF(IF(P55=0,0,3),3,0)</f>
        <v>0</v>
      </c>
      <c r="Q52" s="38">
        <f t="shared" si="46"/>
        <v>0</v>
      </c>
      <c r="R52" s="38">
        <f t="shared" si="46"/>
        <v>3</v>
      </c>
      <c r="S52" s="38">
        <f t="shared" si="46"/>
        <v>0</v>
      </c>
      <c r="T52" s="38">
        <f t="shared" si="46"/>
        <v>0</v>
      </c>
      <c r="U52" s="38">
        <f t="shared" si="46"/>
        <v>0</v>
      </c>
      <c r="V52" s="38">
        <f>SUM(F52:U52)</f>
        <v>12</v>
      </c>
      <c r="W52" s="39"/>
      <c r="X52" s="112"/>
      <c r="Y52" s="112"/>
      <c r="Z52" s="127"/>
    </row>
    <row r="53" spans="2:26" ht="19.5" thickTop="1" thickBot="1" x14ac:dyDescent="0.3">
      <c r="B53" s="158"/>
      <c r="C53" s="107"/>
      <c r="D53" s="101"/>
      <c r="E53" s="33" t="s">
        <v>216</v>
      </c>
      <c r="F53" s="75"/>
      <c r="G53" s="75"/>
      <c r="H53" s="75"/>
      <c r="I53" s="79">
        <v>40</v>
      </c>
      <c r="J53" s="79">
        <v>40</v>
      </c>
      <c r="K53" s="79">
        <v>33</v>
      </c>
      <c r="L53" s="79"/>
      <c r="M53" s="79"/>
      <c r="N53" s="85">
        <v>0</v>
      </c>
      <c r="O53" s="41">
        <v>0</v>
      </c>
      <c r="P53" s="41">
        <v>0</v>
      </c>
      <c r="Q53" s="42">
        <v>0</v>
      </c>
      <c r="R53" s="88">
        <v>22</v>
      </c>
      <c r="S53" s="42">
        <v>0</v>
      </c>
      <c r="T53" s="42">
        <v>0</v>
      </c>
      <c r="U53" s="42">
        <v>0</v>
      </c>
      <c r="V53" s="42"/>
      <c r="W53" s="43"/>
      <c r="X53" s="101"/>
      <c r="Y53" s="101"/>
      <c r="Z53" s="128"/>
    </row>
    <row r="54" spans="2:26" ht="19.5" thickTop="1" thickBot="1" x14ac:dyDescent="0.3">
      <c r="B54" s="158"/>
      <c r="C54" s="107"/>
      <c r="D54" s="101"/>
      <c r="E54" s="30" t="s">
        <v>3</v>
      </c>
      <c r="F54" s="74"/>
      <c r="G54" s="74"/>
      <c r="H54" s="74"/>
      <c r="I54" s="74"/>
      <c r="J54" s="74"/>
      <c r="K54" s="74"/>
      <c r="L54" s="74"/>
      <c r="M54" s="74"/>
      <c r="N54" s="86">
        <v>0</v>
      </c>
      <c r="O54" s="45">
        <v>0</v>
      </c>
      <c r="P54" s="45">
        <v>0</v>
      </c>
      <c r="Q54" s="45">
        <v>0</v>
      </c>
      <c r="R54" s="86">
        <v>0</v>
      </c>
      <c r="S54" s="45">
        <v>0</v>
      </c>
      <c r="T54" s="45">
        <v>0</v>
      </c>
      <c r="U54" s="45">
        <v>0</v>
      </c>
      <c r="V54" s="46"/>
      <c r="W54" s="47"/>
      <c r="X54" s="101"/>
      <c r="Y54" s="101"/>
      <c r="Z54" s="128"/>
    </row>
    <row r="55" spans="2:26" ht="19.5" thickTop="1" thickBot="1" x14ac:dyDescent="0.3">
      <c r="B55" s="158"/>
      <c r="C55" s="107"/>
      <c r="D55" s="101"/>
      <c r="E55" s="31" t="s">
        <v>4</v>
      </c>
      <c r="F55" s="45">
        <f t="shared" ref="F55:U55" si="47">IF(F54&lt;30,F53,F53+F54)</f>
        <v>0</v>
      </c>
      <c r="G55" s="45">
        <f t="shared" si="47"/>
        <v>0</v>
      </c>
      <c r="H55" s="45">
        <f t="shared" si="47"/>
        <v>0</v>
      </c>
      <c r="I55" s="45">
        <f t="shared" si="47"/>
        <v>40</v>
      </c>
      <c r="J55" s="45">
        <f t="shared" si="47"/>
        <v>40</v>
      </c>
      <c r="K55" s="45">
        <f t="shared" si="47"/>
        <v>33</v>
      </c>
      <c r="L55" s="45">
        <f t="shared" si="47"/>
        <v>0</v>
      </c>
      <c r="M55" s="45">
        <f t="shared" si="47"/>
        <v>0</v>
      </c>
      <c r="N55" s="86">
        <f t="shared" si="47"/>
        <v>0</v>
      </c>
      <c r="O55" s="45">
        <f t="shared" si="47"/>
        <v>0</v>
      </c>
      <c r="P55" s="45">
        <f t="shared" si="47"/>
        <v>0</v>
      </c>
      <c r="Q55" s="45">
        <f t="shared" si="47"/>
        <v>0</v>
      </c>
      <c r="R55" s="86">
        <f t="shared" si="47"/>
        <v>22</v>
      </c>
      <c r="S55" s="45">
        <f t="shared" si="47"/>
        <v>0</v>
      </c>
      <c r="T55" s="45">
        <f t="shared" si="47"/>
        <v>0</v>
      </c>
      <c r="U55" s="45">
        <f t="shared" si="47"/>
        <v>0</v>
      </c>
      <c r="V55" s="46"/>
      <c r="W55" s="47"/>
      <c r="X55" s="101"/>
      <c r="Y55" s="101"/>
      <c r="Z55" s="128"/>
    </row>
    <row r="56" spans="2:26" ht="37.5" thickTop="1" thickBot="1" x14ac:dyDescent="0.3">
      <c r="B56" s="161"/>
      <c r="C56" s="163"/>
      <c r="D56" s="102"/>
      <c r="E56" s="35" t="s">
        <v>6</v>
      </c>
      <c r="F56" s="36">
        <f t="shared" ref="F56:M56" si="48">SUM(F52*F55)</f>
        <v>0</v>
      </c>
      <c r="G56" s="36">
        <f t="shared" si="48"/>
        <v>0</v>
      </c>
      <c r="H56" s="36">
        <f t="shared" si="48"/>
        <v>0</v>
      </c>
      <c r="I56" s="36">
        <f t="shared" si="48"/>
        <v>120</v>
      </c>
      <c r="J56" s="36">
        <f t="shared" si="48"/>
        <v>120</v>
      </c>
      <c r="K56" s="36">
        <f t="shared" si="48"/>
        <v>99</v>
      </c>
      <c r="L56" s="36">
        <f t="shared" si="48"/>
        <v>0</v>
      </c>
      <c r="M56" s="36">
        <f t="shared" si="48"/>
        <v>0</v>
      </c>
      <c r="N56" s="87">
        <f t="shared" ref="N56:U56" si="49">SUM(N52*N55)</f>
        <v>0</v>
      </c>
      <c r="O56" s="36">
        <f t="shared" si="49"/>
        <v>0</v>
      </c>
      <c r="P56" s="36">
        <f t="shared" si="49"/>
        <v>0</v>
      </c>
      <c r="Q56" s="36">
        <f t="shared" si="49"/>
        <v>0</v>
      </c>
      <c r="R56" s="87">
        <f t="shared" si="49"/>
        <v>66</v>
      </c>
      <c r="S56" s="36">
        <f t="shared" si="49"/>
        <v>0</v>
      </c>
      <c r="T56" s="36">
        <f t="shared" si="49"/>
        <v>0</v>
      </c>
      <c r="U56" s="36">
        <f t="shared" si="49"/>
        <v>0</v>
      </c>
      <c r="V56" s="50">
        <f>SUM(F56:U56)</f>
        <v>405</v>
      </c>
      <c r="W56" s="51">
        <f>SUM(V56/V52)</f>
        <v>33.75</v>
      </c>
      <c r="X56" s="102"/>
      <c r="Y56" s="102"/>
      <c r="Z56" s="129"/>
    </row>
    <row r="57" spans="2:26" ht="20.25" thickTop="1" thickBot="1" x14ac:dyDescent="0.35">
      <c r="B57" s="162">
        <v>-11</v>
      </c>
      <c r="C57" s="164" t="s">
        <v>210</v>
      </c>
      <c r="D57" s="112" t="s">
        <v>343</v>
      </c>
      <c r="E57" s="10" t="s">
        <v>5</v>
      </c>
      <c r="F57" s="38">
        <f t="shared" ref="F57:M57" si="50">IF(IF(F60=0,0,3),3,0)</f>
        <v>0</v>
      </c>
      <c r="G57" s="38">
        <f t="shared" si="50"/>
        <v>0</v>
      </c>
      <c r="H57" s="38">
        <f t="shared" si="50"/>
        <v>0</v>
      </c>
      <c r="I57" s="38">
        <f t="shared" si="50"/>
        <v>3</v>
      </c>
      <c r="J57" s="38">
        <f t="shared" si="50"/>
        <v>3</v>
      </c>
      <c r="K57" s="38">
        <f t="shared" si="50"/>
        <v>3</v>
      </c>
      <c r="L57" s="38">
        <f t="shared" si="50"/>
        <v>0</v>
      </c>
      <c r="M57" s="38">
        <f t="shared" si="50"/>
        <v>0</v>
      </c>
      <c r="N57" s="38">
        <f>IF(IF(N60=0,0,3),3,0)</f>
        <v>0</v>
      </c>
      <c r="O57" s="38">
        <f>IF(IF(O60=0,0,4),4,0)</f>
        <v>0</v>
      </c>
      <c r="P57" s="38">
        <f t="shared" ref="P57:U57" si="51">IF(IF(P60=0,0,3),3,0)</f>
        <v>0</v>
      </c>
      <c r="Q57" s="38">
        <f t="shared" si="51"/>
        <v>0</v>
      </c>
      <c r="R57" s="38">
        <f t="shared" si="51"/>
        <v>0</v>
      </c>
      <c r="S57" s="38">
        <f t="shared" si="51"/>
        <v>0</v>
      </c>
      <c r="T57" s="38">
        <f t="shared" si="51"/>
        <v>0</v>
      </c>
      <c r="U57" s="38">
        <f t="shared" si="51"/>
        <v>0</v>
      </c>
      <c r="V57" s="38">
        <f>SUM(F57:U57)</f>
        <v>9</v>
      </c>
      <c r="W57" s="39"/>
      <c r="X57" s="112"/>
      <c r="Y57" s="112"/>
      <c r="Z57" s="127"/>
    </row>
    <row r="58" spans="2:26" ht="19.5" thickTop="1" thickBot="1" x14ac:dyDescent="0.3">
      <c r="B58" s="158"/>
      <c r="C58" s="107"/>
      <c r="D58" s="101"/>
      <c r="E58" s="33" t="s">
        <v>216</v>
      </c>
      <c r="F58" s="75"/>
      <c r="G58" s="75"/>
      <c r="H58" s="75"/>
      <c r="I58" s="79">
        <v>40</v>
      </c>
      <c r="J58" s="79">
        <v>40</v>
      </c>
      <c r="K58" s="79">
        <v>40</v>
      </c>
      <c r="L58" s="79"/>
      <c r="M58" s="79"/>
      <c r="N58" s="41">
        <v>0</v>
      </c>
      <c r="O58" s="41">
        <v>0</v>
      </c>
      <c r="P58" s="41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/>
      <c r="W58" s="43"/>
      <c r="X58" s="101"/>
      <c r="Y58" s="101"/>
      <c r="Z58" s="128"/>
    </row>
    <row r="59" spans="2:26" ht="19.5" thickTop="1" thickBot="1" x14ac:dyDescent="0.3">
      <c r="B59" s="158"/>
      <c r="C59" s="107"/>
      <c r="D59" s="101"/>
      <c r="E59" s="30" t="s">
        <v>3</v>
      </c>
      <c r="F59" s="74"/>
      <c r="G59" s="74"/>
      <c r="H59" s="74"/>
      <c r="I59" s="74"/>
      <c r="J59" s="74"/>
      <c r="K59" s="74"/>
      <c r="L59" s="74"/>
      <c r="M59" s="74"/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6"/>
      <c r="W59" s="47"/>
      <c r="X59" s="101"/>
      <c r="Y59" s="101"/>
      <c r="Z59" s="128"/>
    </row>
    <row r="60" spans="2:26" ht="19.5" thickTop="1" thickBot="1" x14ac:dyDescent="0.3">
      <c r="B60" s="158"/>
      <c r="C60" s="107"/>
      <c r="D60" s="101"/>
      <c r="E60" s="31" t="s">
        <v>4</v>
      </c>
      <c r="F60" s="45">
        <f t="shared" ref="F60:U60" si="52">IF(F59&lt;30,F58,F58+F59)</f>
        <v>0</v>
      </c>
      <c r="G60" s="45">
        <f t="shared" si="52"/>
        <v>0</v>
      </c>
      <c r="H60" s="45">
        <f t="shared" si="52"/>
        <v>0</v>
      </c>
      <c r="I60" s="45">
        <f t="shared" si="52"/>
        <v>40</v>
      </c>
      <c r="J60" s="45">
        <f t="shared" si="52"/>
        <v>40</v>
      </c>
      <c r="K60" s="45">
        <f t="shared" si="52"/>
        <v>40</v>
      </c>
      <c r="L60" s="45">
        <f t="shared" si="52"/>
        <v>0</v>
      </c>
      <c r="M60" s="45">
        <f t="shared" si="52"/>
        <v>0</v>
      </c>
      <c r="N60" s="45">
        <f t="shared" si="52"/>
        <v>0</v>
      </c>
      <c r="O60" s="45">
        <f t="shared" si="52"/>
        <v>0</v>
      </c>
      <c r="P60" s="45">
        <f t="shared" si="52"/>
        <v>0</v>
      </c>
      <c r="Q60" s="45">
        <f t="shared" si="52"/>
        <v>0</v>
      </c>
      <c r="R60" s="45">
        <f t="shared" si="52"/>
        <v>0</v>
      </c>
      <c r="S60" s="45">
        <f t="shared" si="52"/>
        <v>0</v>
      </c>
      <c r="T60" s="45">
        <f t="shared" si="52"/>
        <v>0</v>
      </c>
      <c r="U60" s="45">
        <f t="shared" si="52"/>
        <v>0</v>
      </c>
      <c r="V60" s="46"/>
      <c r="W60" s="47"/>
      <c r="X60" s="101"/>
      <c r="Y60" s="101"/>
      <c r="Z60" s="128"/>
    </row>
    <row r="61" spans="2:26" ht="37.5" thickTop="1" thickBot="1" x14ac:dyDescent="0.3">
      <c r="B61" s="161"/>
      <c r="C61" s="108"/>
      <c r="D61" s="102"/>
      <c r="E61" s="35" t="s">
        <v>6</v>
      </c>
      <c r="F61" s="36">
        <f t="shared" ref="F61:M61" si="53">SUM(F57*F60)</f>
        <v>0</v>
      </c>
      <c r="G61" s="36">
        <f t="shared" si="53"/>
        <v>0</v>
      </c>
      <c r="H61" s="36">
        <f t="shared" si="53"/>
        <v>0</v>
      </c>
      <c r="I61" s="36">
        <f t="shared" si="53"/>
        <v>120</v>
      </c>
      <c r="J61" s="36">
        <f t="shared" si="53"/>
        <v>120</v>
      </c>
      <c r="K61" s="36">
        <f t="shared" si="53"/>
        <v>120</v>
      </c>
      <c r="L61" s="36">
        <f t="shared" si="53"/>
        <v>0</v>
      </c>
      <c r="M61" s="36">
        <f t="shared" si="53"/>
        <v>0</v>
      </c>
      <c r="N61" s="36">
        <f t="shared" ref="N61:U61" si="54">SUM(N57*N60)</f>
        <v>0</v>
      </c>
      <c r="O61" s="36">
        <f t="shared" si="54"/>
        <v>0</v>
      </c>
      <c r="P61" s="36">
        <f t="shared" si="54"/>
        <v>0</v>
      </c>
      <c r="Q61" s="36">
        <f t="shared" si="54"/>
        <v>0</v>
      </c>
      <c r="R61" s="36">
        <f t="shared" si="54"/>
        <v>0</v>
      </c>
      <c r="S61" s="36">
        <f t="shared" si="54"/>
        <v>0</v>
      </c>
      <c r="T61" s="36">
        <f t="shared" si="54"/>
        <v>0</v>
      </c>
      <c r="U61" s="36">
        <f t="shared" si="54"/>
        <v>0</v>
      </c>
      <c r="V61" s="50">
        <f>SUM(F61:U61)</f>
        <v>360</v>
      </c>
      <c r="W61" s="51">
        <f>SUM(V61/V57)</f>
        <v>40</v>
      </c>
      <c r="X61" s="102"/>
      <c r="Y61" s="102"/>
      <c r="Z61" s="129"/>
    </row>
    <row r="62" spans="2:26" ht="20.25" thickTop="1" thickBot="1" x14ac:dyDescent="0.35">
      <c r="B62" s="162">
        <v>-12</v>
      </c>
      <c r="C62" s="106" t="s">
        <v>211</v>
      </c>
      <c r="D62" s="112" t="s">
        <v>342</v>
      </c>
      <c r="E62" s="10" t="s">
        <v>5</v>
      </c>
      <c r="F62" s="38">
        <f t="shared" ref="F62:M62" si="55">IF(IF(F65=0,0,3),3,0)</f>
        <v>0</v>
      </c>
      <c r="G62" s="38">
        <f t="shared" si="55"/>
        <v>0</v>
      </c>
      <c r="H62" s="38">
        <f t="shared" si="55"/>
        <v>0</v>
      </c>
      <c r="I62" s="38">
        <f t="shared" si="55"/>
        <v>3</v>
      </c>
      <c r="J62" s="38">
        <f t="shared" si="55"/>
        <v>3</v>
      </c>
      <c r="K62" s="38">
        <f t="shared" si="55"/>
        <v>3</v>
      </c>
      <c r="L62" s="38">
        <f t="shared" si="55"/>
        <v>0</v>
      </c>
      <c r="M62" s="38">
        <f t="shared" si="55"/>
        <v>0</v>
      </c>
      <c r="N62" s="38">
        <f>IF(IF(N65=0,0,3),3,0)</f>
        <v>0</v>
      </c>
      <c r="O62" s="38">
        <f>IF(IF(O65=0,0,4),4,0)</f>
        <v>0</v>
      </c>
      <c r="P62" s="38">
        <f t="shared" ref="P62:U62" si="56">IF(IF(P65=0,0,3),3,0)</f>
        <v>0</v>
      </c>
      <c r="Q62" s="38">
        <f t="shared" si="56"/>
        <v>0</v>
      </c>
      <c r="R62" s="38">
        <f t="shared" si="56"/>
        <v>0</v>
      </c>
      <c r="S62" s="38">
        <f t="shared" si="56"/>
        <v>0</v>
      </c>
      <c r="T62" s="38">
        <f t="shared" si="56"/>
        <v>0</v>
      </c>
      <c r="U62" s="38">
        <f t="shared" si="56"/>
        <v>0</v>
      </c>
      <c r="V62" s="38">
        <f>SUM(F62:U62)</f>
        <v>9</v>
      </c>
      <c r="W62" s="39"/>
      <c r="X62" s="112"/>
      <c r="Y62" s="112"/>
      <c r="Z62" s="127"/>
    </row>
    <row r="63" spans="2:26" ht="19.5" thickTop="1" thickBot="1" x14ac:dyDescent="0.3">
      <c r="B63" s="158"/>
      <c r="C63" s="107"/>
      <c r="D63" s="101"/>
      <c r="E63" s="33" t="s">
        <v>216</v>
      </c>
      <c r="F63" s="75"/>
      <c r="G63" s="75"/>
      <c r="H63" s="75"/>
      <c r="I63" s="79">
        <v>40</v>
      </c>
      <c r="J63" s="79">
        <v>40</v>
      </c>
      <c r="K63" s="79">
        <v>40</v>
      </c>
      <c r="L63" s="79"/>
      <c r="M63" s="79"/>
      <c r="N63" s="41">
        <v>0</v>
      </c>
      <c r="O63" s="41">
        <v>0</v>
      </c>
      <c r="P63" s="41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/>
      <c r="W63" s="43"/>
      <c r="X63" s="101"/>
      <c r="Y63" s="101"/>
      <c r="Z63" s="128"/>
    </row>
    <row r="64" spans="2:26" ht="19.5" thickTop="1" thickBot="1" x14ac:dyDescent="0.3">
      <c r="B64" s="158"/>
      <c r="C64" s="107"/>
      <c r="D64" s="101"/>
      <c r="E64" s="30" t="s">
        <v>3</v>
      </c>
      <c r="F64" s="74"/>
      <c r="G64" s="74"/>
      <c r="H64" s="74"/>
      <c r="I64" s="74"/>
      <c r="J64" s="74"/>
      <c r="K64" s="74"/>
      <c r="L64" s="74"/>
      <c r="M64" s="74"/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45">
        <v>0</v>
      </c>
      <c r="T64" s="45">
        <v>0</v>
      </c>
      <c r="U64" s="45">
        <v>0</v>
      </c>
      <c r="V64" s="46"/>
      <c r="W64" s="47"/>
      <c r="X64" s="101"/>
      <c r="Y64" s="101"/>
      <c r="Z64" s="128"/>
    </row>
    <row r="65" spans="2:26" ht="19.5" thickTop="1" thickBot="1" x14ac:dyDescent="0.3">
      <c r="B65" s="158"/>
      <c r="C65" s="107"/>
      <c r="D65" s="101"/>
      <c r="E65" s="31" t="s">
        <v>4</v>
      </c>
      <c r="F65" s="45">
        <f t="shared" ref="F65:U65" si="57">IF(F64&lt;30,F63,F63+F64)</f>
        <v>0</v>
      </c>
      <c r="G65" s="45">
        <f t="shared" si="57"/>
        <v>0</v>
      </c>
      <c r="H65" s="45">
        <f t="shared" si="57"/>
        <v>0</v>
      </c>
      <c r="I65" s="45">
        <f t="shared" si="57"/>
        <v>40</v>
      </c>
      <c r="J65" s="45">
        <f t="shared" si="57"/>
        <v>40</v>
      </c>
      <c r="K65" s="45">
        <f t="shared" si="57"/>
        <v>40</v>
      </c>
      <c r="L65" s="45">
        <f t="shared" si="57"/>
        <v>0</v>
      </c>
      <c r="M65" s="45">
        <f t="shared" si="57"/>
        <v>0</v>
      </c>
      <c r="N65" s="45">
        <f t="shared" si="57"/>
        <v>0</v>
      </c>
      <c r="O65" s="45">
        <f t="shared" si="57"/>
        <v>0</v>
      </c>
      <c r="P65" s="45">
        <f t="shared" si="57"/>
        <v>0</v>
      </c>
      <c r="Q65" s="45">
        <f t="shared" si="57"/>
        <v>0</v>
      </c>
      <c r="R65" s="45">
        <f t="shared" si="57"/>
        <v>0</v>
      </c>
      <c r="S65" s="45">
        <f t="shared" si="57"/>
        <v>0</v>
      </c>
      <c r="T65" s="45">
        <f t="shared" si="57"/>
        <v>0</v>
      </c>
      <c r="U65" s="45">
        <f t="shared" si="57"/>
        <v>0</v>
      </c>
      <c r="V65" s="46"/>
      <c r="W65" s="47"/>
      <c r="X65" s="101"/>
      <c r="Y65" s="101"/>
      <c r="Z65" s="128"/>
    </row>
    <row r="66" spans="2:26" ht="37.5" thickTop="1" thickBot="1" x14ac:dyDescent="0.3">
      <c r="B66" s="159"/>
      <c r="C66" s="108"/>
      <c r="D66" s="102"/>
      <c r="E66" s="32" t="s">
        <v>6</v>
      </c>
      <c r="F66" s="36">
        <f t="shared" ref="F66:M66" si="58">SUM(F62*F65)</f>
        <v>0</v>
      </c>
      <c r="G66" s="36">
        <f t="shared" si="58"/>
        <v>0</v>
      </c>
      <c r="H66" s="36">
        <f t="shared" si="58"/>
        <v>0</v>
      </c>
      <c r="I66" s="36">
        <f t="shared" si="58"/>
        <v>120</v>
      </c>
      <c r="J66" s="36">
        <f t="shared" si="58"/>
        <v>120</v>
      </c>
      <c r="K66" s="36">
        <f t="shared" si="58"/>
        <v>120</v>
      </c>
      <c r="L66" s="36">
        <f t="shared" si="58"/>
        <v>0</v>
      </c>
      <c r="M66" s="36">
        <f t="shared" si="58"/>
        <v>0</v>
      </c>
      <c r="N66" s="36">
        <f t="shared" ref="N66:U66" si="59">SUM(N62*N65)</f>
        <v>0</v>
      </c>
      <c r="O66" s="36">
        <f t="shared" si="59"/>
        <v>0</v>
      </c>
      <c r="P66" s="36">
        <f t="shared" si="59"/>
        <v>0</v>
      </c>
      <c r="Q66" s="36">
        <f t="shared" si="59"/>
        <v>0</v>
      </c>
      <c r="R66" s="36">
        <f t="shared" si="59"/>
        <v>0</v>
      </c>
      <c r="S66" s="36">
        <f t="shared" si="59"/>
        <v>0</v>
      </c>
      <c r="T66" s="36">
        <f t="shared" si="59"/>
        <v>0</v>
      </c>
      <c r="U66" s="36">
        <f t="shared" si="59"/>
        <v>0</v>
      </c>
      <c r="V66" s="50">
        <f>SUM(F66:U66)</f>
        <v>360</v>
      </c>
      <c r="W66" s="51">
        <f>SUM(V66/V62)</f>
        <v>40</v>
      </c>
      <c r="X66" s="102"/>
      <c r="Y66" s="102"/>
      <c r="Z66" s="129"/>
    </row>
    <row r="67" spans="2:26" ht="20.25" thickTop="1" thickBot="1" x14ac:dyDescent="0.35">
      <c r="B67" s="160">
        <v>-13</v>
      </c>
      <c r="C67" s="106" t="s">
        <v>212</v>
      </c>
      <c r="D67" s="112" t="s">
        <v>341</v>
      </c>
      <c r="E67" s="10" t="s">
        <v>5</v>
      </c>
      <c r="F67" s="38">
        <f t="shared" ref="F67:M67" si="60">IF(IF(F70=0,0,3),3,0)</f>
        <v>0</v>
      </c>
      <c r="G67" s="38">
        <f t="shared" si="60"/>
        <v>0</v>
      </c>
      <c r="H67" s="38">
        <f t="shared" si="60"/>
        <v>0</v>
      </c>
      <c r="I67" s="38">
        <f t="shared" si="60"/>
        <v>3</v>
      </c>
      <c r="J67" s="38">
        <f t="shared" si="60"/>
        <v>3</v>
      </c>
      <c r="K67" s="38">
        <f t="shared" si="60"/>
        <v>3</v>
      </c>
      <c r="L67" s="38">
        <f t="shared" si="60"/>
        <v>0</v>
      </c>
      <c r="M67" s="38">
        <f t="shared" si="60"/>
        <v>0</v>
      </c>
      <c r="N67" s="38">
        <f>IF(IF(N70=0,0,3),3,0)</f>
        <v>0</v>
      </c>
      <c r="O67" s="38">
        <f>IF(IF(O70=0,0,4),4,0)</f>
        <v>0</v>
      </c>
      <c r="P67" s="38">
        <f t="shared" ref="P67:U67" si="61">IF(IF(P70=0,0,3),3,0)</f>
        <v>0</v>
      </c>
      <c r="Q67" s="38">
        <f t="shared" si="61"/>
        <v>0</v>
      </c>
      <c r="R67" s="38">
        <f t="shared" si="61"/>
        <v>0</v>
      </c>
      <c r="S67" s="38">
        <f t="shared" si="61"/>
        <v>0</v>
      </c>
      <c r="T67" s="38">
        <f t="shared" si="61"/>
        <v>0</v>
      </c>
      <c r="U67" s="38">
        <f t="shared" si="61"/>
        <v>0</v>
      </c>
      <c r="V67" s="38">
        <f>SUM(F67:U67)</f>
        <v>9</v>
      </c>
      <c r="W67" s="39"/>
      <c r="X67" s="103"/>
      <c r="Y67" s="103"/>
      <c r="Z67" s="127"/>
    </row>
    <row r="68" spans="2:26" ht="19.5" thickTop="1" thickBot="1" x14ac:dyDescent="0.3">
      <c r="B68" s="158"/>
      <c r="C68" s="107"/>
      <c r="D68" s="101"/>
      <c r="E68" s="33" t="s">
        <v>216</v>
      </c>
      <c r="F68" s="41"/>
      <c r="G68" s="41"/>
      <c r="H68" s="41"/>
      <c r="I68" s="42">
        <v>40</v>
      </c>
      <c r="J68" s="42">
        <v>40</v>
      </c>
      <c r="K68" s="42">
        <v>40</v>
      </c>
      <c r="L68" s="42"/>
      <c r="M68" s="42"/>
      <c r="N68" s="41">
        <v>0</v>
      </c>
      <c r="O68" s="41">
        <v>0</v>
      </c>
      <c r="P68" s="41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/>
      <c r="W68" s="43"/>
      <c r="X68" s="104"/>
      <c r="Y68" s="104"/>
      <c r="Z68" s="128"/>
    </row>
    <row r="69" spans="2:26" ht="19.5" thickTop="1" thickBot="1" x14ac:dyDescent="0.3">
      <c r="B69" s="158"/>
      <c r="C69" s="107"/>
      <c r="D69" s="101"/>
      <c r="E69" s="30" t="s">
        <v>3</v>
      </c>
      <c r="F69" s="45"/>
      <c r="G69" s="45"/>
      <c r="H69" s="45"/>
      <c r="I69" s="45"/>
      <c r="J69" s="45"/>
      <c r="K69" s="45"/>
      <c r="L69" s="45"/>
      <c r="M69" s="45"/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6"/>
      <c r="W69" s="47"/>
      <c r="X69" s="104"/>
      <c r="Y69" s="104"/>
      <c r="Z69" s="128"/>
    </row>
    <row r="70" spans="2:26" ht="19.5" thickTop="1" thickBot="1" x14ac:dyDescent="0.3">
      <c r="B70" s="158"/>
      <c r="C70" s="107"/>
      <c r="D70" s="101"/>
      <c r="E70" s="31" t="s">
        <v>4</v>
      </c>
      <c r="F70" s="45">
        <f t="shared" ref="F70:U70" si="62">IF(F69&lt;30,F68,F68+F69)</f>
        <v>0</v>
      </c>
      <c r="G70" s="45">
        <f t="shared" si="62"/>
        <v>0</v>
      </c>
      <c r="H70" s="45">
        <f t="shared" si="62"/>
        <v>0</v>
      </c>
      <c r="I70" s="45">
        <f t="shared" si="62"/>
        <v>40</v>
      </c>
      <c r="J70" s="45">
        <f t="shared" si="62"/>
        <v>40</v>
      </c>
      <c r="K70" s="45">
        <f t="shared" si="62"/>
        <v>40</v>
      </c>
      <c r="L70" s="45">
        <f t="shared" si="62"/>
        <v>0</v>
      </c>
      <c r="M70" s="45">
        <f t="shared" si="62"/>
        <v>0</v>
      </c>
      <c r="N70" s="45">
        <f t="shared" si="62"/>
        <v>0</v>
      </c>
      <c r="O70" s="45">
        <f t="shared" si="62"/>
        <v>0</v>
      </c>
      <c r="P70" s="45">
        <f t="shared" si="62"/>
        <v>0</v>
      </c>
      <c r="Q70" s="45">
        <f t="shared" si="62"/>
        <v>0</v>
      </c>
      <c r="R70" s="45">
        <f t="shared" si="62"/>
        <v>0</v>
      </c>
      <c r="S70" s="45">
        <f t="shared" si="62"/>
        <v>0</v>
      </c>
      <c r="T70" s="45">
        <f t="shared" si="62"/>
        <v>0</v>
      </c>
      <c r="U70" s="45">
        <f t="shared" si="62"/>
        <v>0</v>
      </c>
      <c r="V70" s="46"/>
      <c r="W70" s="47"/>
      <c r="X70" s="104"/>
      <c r="Y70" s="104"/>
      <c r="Z70" s="128"/>
    </row>
    <row r="71" spans="2:26" ht="37.5" thickTop="1" thickBot="1" x14ac:dyDescent="0.3">
      <c r="B71" s="159"/>
      <c r="C71" s="108"/>
      <c r="D71" s="102"/>
      <c r="E71" s="32" t="s">
        <v>6</v>
      </c>
      <c r="F71" s="53">
        <f t="shared" ref="F71:M71" si="63">SUM(F67*F70)</f>
        <v>0</v>
      </c>
      <c r="G71" s="53">
        <f t="shared" si="63"/>
        <v>0</v>
      </c>
      <c r="H71" s="53">
        <f t="shared" si="63"/>
        <v>0</v>
      </c>
      <c r="I71" s="53">
        <f t="shared" si="63"/>
        <v>120</v>
      </c>
      <c r="J71" s="53">
        <f t="shared" si="63"/>
        <v>120</v>
      </c>
      <c r="K71" s="53">
        <f t="shared" si="63"/>
        <v>120</v>
      </c>
      <c r="L71" s="53">
        <f t="shared" si="63"/>
        <v>0</v>
      </c>
      <c r="M71" s="53">
        <f t="shared" si="63"/>
        <v>0</v>
      </c>
      <c r="N71" s="53">
        <f t="shared" ref="N71:U71" si="64">SUM(N67*N70)</f>
        <v>0</v>
      </c>
      <c r="O71" s="53">
        <f t="shared" si="64"/>
        <v>0</v>
      </c>
      <c r="P71" s="53">
        <f t="shared" si="64"/>
        <v>0</v>
      </c>
      <c r="Q71" s="53">
        <f t="shared" si="64"/>
        <v>0</v>
      </c>
      <c r="R71" s="53">
        <f t="shared" si="64"/>
        <v>0</v>
      </c>
      <c r="S71" s="53">
        <f t="shared" si="64"/>
        <v>0</v>
      </c>
      <c r="T71" s="53">
        <f t="shared" si="64"/>
        <v>0</v>
      </c>
      <c r="U71" s="53">
        <f t="shared" si="64"/>
        <v>0</v>
      </c>
      <c r="V71" s="54">
        <f>SUM(F71:U71)</f>
        <v>360</v>
      </c>
      <c r="W71" s="53">
        <f>SUM(V71/V67)</f>
        <v>40</v>
      </c>
      <c r="X71" s="105"/>
      <c r="Y71" s="105"/>
      <c r="Z71" s="129"/>
    </row>
    <row r="72" spans="2:26" ht="13.5" thickTop="1" x14ac:dyDescent="0.2"/>
  </sheetData>
  <mergeCells count="87">
    <mergeCell ref="B67:B71"/>
    <mergeCell ref="C67:C71"/>
    <mergeCell ref="D67:D71"/>
    <mergeCell ref="X67:X71"/>
    <mergeCell ref="Y67:Y71"/>
    <mergeCell ref="Z67:Z71"/>
    <mergeCell ref="B62:B66"/>
    <mergeCell ref="C62:C66"/>
    <mergeCell ref="D62:D66"/>
    <mergeCell ref="X62:X66"/>
    <mergeCell ref="Y62:Y66"/>
    <mergeCell ref="Z62:Z66"/>
    <mergeCell ref="B57:B61"/>
    <mergeCell ref="C57:C61"/>
    <mergeCell ref="D57:D61"/>
    <mergeCell ref="X57:X61"/>
    <mergeCell ref="Y57:Y61"/>
    <mergeCell ref="Z57:Z61"/>
    <mergeCell ref="B52:B56"/>
    <mergeCell ref="C52:C56"/>
    <mergeCell ref="D52:D56"/>
    <mergeCell ref="X52:X56"/>
    <mergeCell ref="Y52:Y56"/>
    <mergeCell ref="Z52:Z56"/>
    <mergeCell ref="B47:B51"/>
    <mergeCell ref="C47:C51"/>
    <mergeCell ref="D47:D51"/>
    <mergeCell ref="X47:X51"/>
    <mergeCell ref="Y47:Y51"/>
    <mergeCell ref="Z47:Z51"/>
    <mergeCell ref="B42:B46"/>
    <mergeCell ref="C42:C46"/>
    <mergeCell ref="D42:D46"/>
    <mergeCell ref="X42:X46"/>
    <mergeCell ref="Y42:Y46"/>
    <mergeCell ref="Z42:Z46"/>
    <mergeCell ref="B37:B41"/>
    <mergeCell ref="C37:C41"/>
    <mergeCell ref="D37:D41"/>
    <mergeCell ref="X37:X41"/>
    <mergeCell ref="Y37:Y41"/>
    <mergeCell ref="Z37:Z41"/>
    <mergeCell ref="B32:B36"/>
    <mergeCell ref="C32:C36"/>
    <mergeCell ref="D32:D36"/>
    <mergeCell ref="X32:X36"/>
    <mergeCell ref="Y32:Y36"/>
    <mergeCell ref="Z32:Z36"/>
    <mergeCell ref="B27:B31"/>
    <mergeCell ref="C27:C31"/>
    <mergeCell ref="D27:D31"/>
    <mergeCell ref="X27:X31"/>
    <mergeCell ref="Y27:Y31"/>
    <mergeCell ref="Z27:Z31"/>
    <mergeCell ref="B22:B26"/>
    <mergeCell ref="C22:C26"/>
    <mergeCell ref="D22:D26"/>
    <mergeCell ref="X22:X26"/>
    <mergeCell ref="Y22:Y26"/>
    <mergeCell ref="Z22:Z26"/>
    <mergeCell ref="B17:B21"/>
    <mergeCell ref="C17:C21"/>
    <mergeCell ref="D17:D21"/>
    <mergeCell ref="X17:X21"/>
    <mergeCell ref="Y17:Y21"/>
    <mergeCell ref="Z17:Z21"/>
    <mergeCell ref="Z7:Z11"/>
    <mergeCell ref="B12:B16"/>
    <mergeCell ref="C12:C16"/>
    <mergeCell ref="D12:D16"/>
    <mergeCell ref="X12:X16"/>
    <mergeCell ref="Y12:Y16"/>
    <mergeCell ref="Z12:Z16"/>
    <mergeCell ref="V5:V6"/>
    <mergeCell ref="W5:W6"/>
    <mergeCell ref="Y5:Y6"/>
    <mergeCell ref="B7:B11"/>
    <mergeCell ref="C7:C11"/>
    <mergeCell ref="D7:D11"/>
    <mergeCell ref="X7:X11"/>
    <mergeCell ref="Y7:Y11"/>
    <mergeCell ref="B5:B6"/>
    <mergeCell ref="C5:C6"/>
    <mergeCell ref="D5:D6"/>
    <mergeCell ref="E5:E6"/>
    <mergeCell ref="F5:M5"/>
    <mergeCell ref="N5:U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FB2AD-71BC-4D79-97BF-6FDADA82C57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الاول محاسبة</vt:lpstr>
      <vt:lpstr>الثاني محاسبة</vt:lpstr>
      <vt:lpstr>الثالث محاسبة</vt:lpstr>
      <vt:lpstr>الرابع محاسبة</vt:lpstr>
      <vt:lpstr>الخامس محاسبة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GAREANE ALGREANE</cp:lastModifiedBy>
  <cp:lastPrinted>2025-04-29T10:20:32Z</cp:lastPrinted>
  <dcterms:created xsi:type="dcterms:W3CDTF">2015-06-04T06:53:41Z</dcterms:created>
  <dcterms:modified xsi:type="dcterms:W3CDTF">2026-01-24T05:52:03Z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{7D4FB2AD-71BC-4D79-97BF-6FDADA82C574}</vt:lpwstr>
  </property>
</Properties>
</file>